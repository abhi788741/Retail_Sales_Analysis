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kapur\Downloads\"/>
    </mc:Choice>
  </mc:AlternateContent>
  <bookViews>
    <workbookView xWindow="0" yWindow="0" windowWidth="23040" windowHeight="9264" firstSheet="6" activeTab="10"/>
  </bookViews>
  <sheets>
    <sheet name="Data" sheetId="1" r:id="rId1"/>
    <sheet name="lookup_operations" sheetId="13" r:id="rId2"/>
    <sheet name="index-match_operations" sheetId="12" r:id="rId3"/>
    <sheet name="sales_by_category" sheetId="4" r:id="rId4"/>
    <sheet name="sales_by_month" sheetId="5" r:id="rId5"/>
    <sheet name="sales_by_gender" sheetId="6" r:id="rId6"/>
    <sheet name="sales_by_agegroup_gender" sheetId="7" r:id="rId7"/>
    <sheet name="QuantityVsSalesbyCategory" sheetId="8" r:id="rId8"/>
    <sheet name="sales_by_day" sheetId="9" r:id="rId9"/>
    <sheet name="sales_by_quarter" sheetId="10" r:id="rId10"/>
    <sheet name="Dashboard" sheetId="11" r:id="rId11"/>
  </sheets>
  <definedNames>
    <definedName name="_xlnm._FilterDatabase" localSheetId="0" hidden="1">Data!$A$1:$O$1</definedName>
    <definedName name="Slicer_Age_Group">#N/A</definedName>
    <definedName name="Slicer_Gender">#N/A</definedName>
    <definedName name="Slicer_Month">#N/A</definedName>
    <definedName name="Slicer_Product_Category">#N/A</definedName>
  </definedNames>
  <calcPr calcId="152511"/>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13" i="12" l="1"/>
  <c r="S11" i="12"/>
  <c r="S12" i="12"/>
  <c r="S5" i="12"/>
  <c r="R14" i="1"/>
  <c r="R13" i="1"/>
  <c r="R21" i="1" l="1"/>
  <c r="R17" i="1"/>
  <c r="R8" i="1"/>
  <c r="J1002" i="1"/>
  <c r="S21" i="12" l="1"/>
  <c r="O1001" i="12"/>
  <c r="N1001" i="12"/>
  <c r="M1001" i="12"/>
  <c r="L1001" i="12"/>
  <c r="K1001" i="12"/>
  <c r="F1001" i="12"/>
  <c r="O1000" i="12"/>
  <c r="N1000" i="12"/>
  <c r="M1000" i="12"/>
  <c r="L1000" i="12"/>
  <c r="K1000" i="12"/>
  <c r="F1000" i="12"/>
  <c r="O999" i="12"/>
  <c r="N999" i="12"/>
  <c r="M999" i="12"/>
  <c r="L999" i="12"/>
  <c r="K999" i="12"/>
  <c r="F999" i="12"/>
  <c r="O998" i="12"/>
  <c r="N998" i="12"/>
  <c r="M998" i="12"/>
  <c r="L998" i="12"/>
  <c r="K998" i="12"/>
  <c r="F998" i="12"/>
  <c r="O997" i="12"/>
  <c r="N997" i="12"/>
  <c r="M997" i="12"/>
  <c r="L997" i="12"/>
  <c r="K997" i="12"/>
  <c r="F997" i="12"/>
  <c r="O996" i="12"/>
  <c r="N996" i="12"/>
  <c r="M996" i="12"/>
  <c r="L996" i="12"/>
  <c r="K996" i="12"/>
  <c r="F996" i="12"/>
  <c r="O995" i="12"/>
  <c r="N995" i="12"/>
  <c r="M995" i="12"/>
  <c r="L995" i="12"/>
  <c r="K995" i="12"/>
  <c r="F995" i="12"/>
  <c r="O994" i="12"/>
  <c r="N994" i="12"/>
  <c r="M994" i="12"/>
  <c r="L994" i="12"/>
  <c r="K994" i="12"/>
  <c r="F994" i="12"/>
  <c r="O993" i="12"/>
  <c r="N993" i="12"/>
  <c r="M993" i="12"/>
  <c r="L993" i="12"/>
  <c r="K993" i="12"/>
  <c r="F993" i="12"/>
  <c r="O992" i="12"/>
  <c r="N992" i="12"/>
  <c r="M992" i="12"/>
  <c r="L992" i="12"/>
  <c r="K992" i="12"/>
  <c r="F992" i="12"/>
  <c r="O991" i="12"/>
  <c r="N991" i="12"/>
  <c r="M991" i="12"/>
  <c r="L991" i="12"/>
  <c r="K991" i="12"/>
  <c r="F991" i="12"/>
  <c r="O990" i="12"/>
  <c r="N990" i="12"/>
  <c r="M990" i="12"/>
  <c r="L990" i="12"/>
  <c r="K990" i="12"/>
  <c r="F990" i="12"/>
  <c r="O989" i="12"/>
  <c r="N989" i="12"/>
  <c r="M989" i="12"/>
  <c r="L989" i="12"/>
  <c r="K989" i="12"/>
  <c r="F989" i="12"/>
  <c r="O988" i="12"/>
  <c r="N988" i="12"/>
  <c r="M988" i="12"/>
  <c r="L988" i="12"/>
  <c r="K988" i="12"/>
  <c r="F988" i="12"/>
  <c r="O987" i="12"/>
  <c r="N987" i="12"/>
  <c r="M987" i="12"/>
  <c r="L987" i="12"/>
  <c r="K987" i="12"/>
  <c r="F987" i="12"/>
  <c r="O986" i="12"/>
  <c r="N986" i="12"/>
  <c r="M986" i="12"/>
  <c r="L986" i="12"/>
  <c r="K986" i="12"/>
  <c r="F986" i="12"/>
  <c r="O985" i="12"/>
  <c r="N985" i="12"/>
  <c r="M985" i="12"/>
  <c r="L985" i="12"/>
  <c r="K985" i="12"/>
  <c r="F985" i="12"/>
  <c r="O984" i="12"/>
  <c r="N984" i="12"/>
  <c r="M984" i="12"/>
  <c r="L984" i="12"/>
  <c r="K984" i="12"/>
  <c r="F984" i="12"/>
  <c r="O983" i="12"/>
  <c r="N983" i="12"/>
  <c r="M983" i="12"/>
  <c r="L983" i="12"/>
  <c r="K983" i="12"/>
  <c r="F983" i="12"/>
  <c r="O982" i="12"/>
  <c r="N982" i="12"/>
  <c r="M982" i="12"/>
  <c r="L982" i="12"/>
  <c r="K982" i="12"/>
  <c r="F982" i="12"/>
  <c r="O981" i="12"/>
  <c r="N981" i="12"/>
  <c r="M981" i="12"/>
  <c r="L981" i="12"/>
  <c r="K981" i="12"/>
  <c r="F981" i="12"/>
  <c r="O980" i="12"/>
  <c r="N980" i="12"/>
  <c r="M980" i="12"/>
  <c r="L980" i="12"/>
  <c r="K980" i="12"/>
  <c r="F980" i="12"/>
  <c r="O979" i="12"/>
  <c r="N979" i="12"/>
  <c r="M979" i="12"/>
  <c r="L979" i="12"/>
  <c r="K979" i="12"/>
  <c r="F979" i="12"/>
  <c r="O978" i="12"/>
  <c r="N978" i="12"/>
  <c r="M978" i="12"/>
  <c r="L978" i="12"/>
  <c r="K978" i="12"/>
  <c r="F978" i="12"/>
  <c r="O977" i="12"/>
  <c r="N977" i="12"/>
  <c r="M977" i="12"/>
  <c r="L977" i="12"/>
  <c r="K977" i="12"/>
  <c r="F977" i="12"/>
  <c r="O976" i="12"/>
  <c r="N976" i="12"/>
  <c r="M976" i="12"/>
  <c r="L976" i="12"/>
  <c r="K976" i="12"/>
  <c r="F976" i="12"/>
  <c r="O975" i="12"/>
  <c r="N975" i="12"/>
  <c r="M975" i="12"/>
  <c r="L975" i="12"/>
  <c r="K975" i="12"/>
  <c r="F975" i="12"/>
  <c r="O974" i="12"/>
  <c r="N974" i="12"/>
  <c r="M974" i="12"/>
  <c r="L974" i="12"/>
  <c r="K974" i="12"/>
  <c r="F974" i="12"/>
  <c r="O973" i="12"/>
  <c r="N973" i="12"/>
  <c r="M973" i="12"/>
  <c r="L973" i="12"/>
  <c r="K973" i="12"/>
  <c r="F973" i="12"/>
  <c r="O972" i="12"/>
  <c r="N972" i="12"/>
  <c r="M972" i="12"/>
  <c r="L972" i="12"/>
  <c r="K972" i="12"/>
  <c r="F972" i="12"/>
  <c r="O971" i="12"/>
  <c r="N971" i="12"/>
  <c r="M971" i="12"/>
  <c r="L971" i="12"/>
  <c r="K971" i="12"/>
  <c r="F971" i="12"/>
  <c r="O970" i="12"/>
  <c r="N970" i="12"/>
  <c r="M970" i="12"/>
  <c r="L970" i="12"/>
  <c r="K970" i="12"/>
  <c r="F970" i="12"/>
  <c r="O969" i="12"/>
  <c r="N969" i="12"/>
  <c r="M969" i="12"/>
  <c r="L969" i="12"/>
  <c r="K969" i="12"/>
  <c r="F969" i="12"/>
  <c r="O968" i="12"/>
  <c r="N968" i="12"/>
  <c r="M968" i="12"/>
  <c r="L968" i="12"/>
  <c r="K968" i="12"/>
  <c r="F968" i="12"/>
  <c r="O967" i="12"/>
  <c r="N967" i="12"/>
  <c r="M967" i="12"/>
  <c r="L967" i="12"/>
  <c r="K967" i="12"/>
  <c r="F967" i="12"/>
  <c r="O966" i="12"/>
  <c r="N966" i="12"/>
  <c r="M966" i="12"/>
  <c r="L966" i="12"/>
  <c r="K966" i="12"/>
  <c r="F966" i="12"/>
  <c r="O965" i="12"/>
  <c r="N965" i="12"/>
  <c r="M965" i="12"/>
  <c r="L965" i="12"/>
  <c r="K965" i="12"/>
  <c r="F965" i="12"/>
  <c r="O964" i="12"/>
  <c r="N964" i="12"/>
  <c r="M964" i="12"/>
  <c r="L964" i="12"/>
  <c r="K964" i="12"/>
  <c r="F964" i="12"/>
  <c r="O963" i="12"/>
  <c r="N963" i="12"/>
  <c r="M963" i="12"/>
  <c r="L963" i="12"/>
  <c r="K963" i="12"/>
  <c r="F963" i="12"/>
  <c r="O962" i="12"/>
  <c r="N962" i="12"/>
  <c r="M962" i="12"/>
  <c r="L962" i="12"/>
  <c r="K962" i="12"/>
  <c r="F962" i="12"/>
  <c r="O961" i="12"/>
  <c r="N961" i="12"/>
  <c r="M961" i="12"/>
  <c r="L961" i="12"/>
  <c r="K961" i="12"/>
  <c r="F961" i="12"/>
  <c r="O960" i="12"/>
  <c r="N960" i="12"/>
  <c r="M960" i="12"/>
  <c r="L960" i="12"/>
  <c r="K960" i="12"/>
  <c r="F960" i="12"/>
  <c r="O959" i="12"/>
  <c r="N959" i="12"/>
  <c r="M959" i="12"/>
  <c r="L959" i="12"/>
  <c r="K959" i="12"/>
  <c r="F959" i="12"/>
  <c r="O958" i="12"/>
  <c r="N958" i="12"/>
  <c r="M958" i="12"/>
  <c r="L958" i="12"/>
  <c r="K958" i="12"/>
  <c r="F958" i="12"/>
  <c r="O957" i="12"/>
  <c r="N957" i="12"/>
  <c r="M957" i="12"/>
  <c r="L957" i="12"/>
  <c r="K957" i="12"/>
  <c r="F957" i="12"/>
  <c r="O956" i="12"/>
  <c r="N956" i="12"/>
  <c r="M956" i="12"/>
  <c r="L956" i="12"/>
  <c r="K956" i="12"/>
  <c r="F956" i="12"/>
  <c r="O955" i="12"/>
  <c r="N955" i="12"/>
  <c r="M955" i="12"/>
  <c r="L955" i="12"/>
  <c r="K955" i="12"/>
  <c r="F955" i="12"/>
  <c r="O954" i="12"/>
  <c r="N954" i="12"/>
  <c r="M954" i="12"/>
  <c r="L954" i="12"/>
  <c r="K954" i="12"/>
  <c r="F954" i="12"/>
  <c r="O953" i="12"/>
  <c r="N953" i="12"/>
  <c r="M953" i="12"/>
  <c r="L953" i="12"/>
  <c r="K953" i="12"/>
  <c r="F953" i="12"/>
  <c r="O952" i="12"/>
  <c r="N952" i="12"/>
  <c r="M952" i="12"/>
  <c r="L952" i="12"/>
  <c r="K952" i="12"/>
  <c r="F952" i="12"/>
  <c r="O951" i="12"/>
  <c r="N951" i="12"/>
  <c r="M951" i="12"/>
  <c r="L951" i="12"/>
  <c r="K951" i="12"/>
  <c r="F951" i="12"/>
  <c r="O950" i="12"/>
  <c r="N950" i="12"/>
  <c r="M950" i="12"/>
  <c r="L950" i="12"/>
  <c r="K950" i="12"/>
  <c r="F950" i="12"/>
  <c r="O949" i="12"/>
  <c r="N949" i="12"/>
  <c r="M949" i="12"/>
  <c r="L949" i="12"/>
  <c r="K949" i="12"/>
  <c r="F949" i="12"/>
  <c r="O948" i="12"/>
  <c r="N948" i="12"/>
  <c r="M948" i="12"/>
  <c r="L948" i="12"/>
  <c r="K948" i="12"/>
  <c r="F948" i="12"/>
  <c r="O947" i="12"/>
  <c r="N947" i="12"/>
  <c r="M947" i="12"/>
  <c r="L947" i="12"/>
  <c r="K947" i="12"/>
  <c r="F947" i="12"/>
  <c r="O946" i="12"/>
  <c r="N946" i="12"/>
  <c r="M946" i="12"/>
  <c r="L946" i="12"/>
  <c r="K946" i="12"/>
  <c r="F946" i="12"/>
  <c r="O945" i="12"/>
  <c r="N945" i="12"/>
  <c r="M945" i="12"/>
  <c r="L945" i="12"/>
  <c r="K945" i="12"/>
  <c r="F945" i="12"/>
  <c r="O944" i="12"/>
  <c r="N944" i="12"/>
  <c r="M944" i="12"/>
  <c r="L944" i="12"/>
  <c r="K944" i="12"/>
  <c r="F944" i="12"/>
  <c r="O943" i="12"/>
  <c r="N943" i="12"/>
  <c r="M943" i="12"/>
  <c r="L943" i="12"/>
  <c r="K943" i="12"/>
  <c r="F943" i="12"/>
  <c r="O942" i="12"/>
  <c r="N942" i="12"/>
  <c r="M942" i="12"/>
  <c r="L942" i="12"/>
  <c r="K942" i="12"/>
  <c r="F942" i="12"/>
  <c r="O941" i="12"/>
  <c r="N941" i="12"/>
  <c r="M941" i="12"/>
  <c r="L941" i="12"/>
  <c r="K941" i="12"/>
  <c r="F941" i="12"/>
  <c r="O940" i="12"/>
  <c r="N940" i="12"/>
  <c r="M940" i="12"/>
  <c r="L940" i="12"/>
  <c r="K940" i="12"/>
  <c r="F940" i="12"/>
  <c r="O939" i="12"/>
  <c r="N939" i="12"/>
  <c r="M939" i="12"/>
  <c r="L939" i="12"/>
  <c r="K939" i="12"/>
  <c r="F939" i="12"/>
  <c r="O938" i="12"/>
  <c r="N938" i="12"/>
  <c r="M938" i="12"/>
  <c r="L938" i="12"/>
  <c r="K938" i="12"/>
  <c r="F938" i="12"/>
  <c r="O937" i="12"/>
  <c r="N937" i="12"/>
  <c r="M937" i="12"/>
  <c r="L937" i="12"/>
  <c r="K937" i="12"/>
  <c r="F937" i="12"/>
  <c r="O936" i="12"/>
  <c r="N936" i="12"/>
  <c r="M936" i="12"/>
  <c r="L936" i="12"/>
  <c r="K936" i="12"/>
  <c r="F936" i="12"/>
  <c r="O935" i="12"/>
  <c r="N935" i="12"/>
  <c r="M935" i="12"/>
  <c r="L935" i="12"/>
  <c r="K935" i="12"/>
  <c r="F935" i="12"/>
  <c r="O934" i="12"/>
  <c r="N934" i="12"/>
  <c r="M934" i="12"/>
  <c r="L934" i="12"/>
  <c r="K934" i="12"/>
  <c r="F934" i="12"/>
  <c r="O933" i="12"/>
  <c r="N933" i="12"/>
  <c r="M933" i="12"/>
  <c r="L933" i="12"/>
  <c r="K933" i="12"/>
  <c r="F933" i="12"/>
  <c r="O932" i="12"/>
  <c r="N932" i="12"/>
  <c r="M932" i="12"/>
  <c r="L932" i="12"/>
  <c r="K932" i="12"/>
  <c r="F932" i="12"/>
  <c r="O931" i="12"/>
  <c r="N931" i="12"/>
  <c r="M931" i="12"/>
  <c r="L931" i="12"/>
  <c r="K931" i="12"/>
  <c r="F931" i="12"/>
  <c r="O930" i="12"/>
  <c r="N930" i="12"/>
  <c r="M930" i="12"/>
  <c r="L930" i="12"/>
  <c r="K930" i="12"/>
  <c r="F930" i="12"/>
  <c r="O929" i="12"/>
  <c r="N929" i="12"/>
  <c r="M929" i="12"/>
  <c r="L929" i="12"/>
  <c r="K929" i="12"/>
  <c r="F929" i="12"/>
  <c r="O928" i="12"/>
  <c r="N928" i="12"/>
  <c r="M928" i="12"/>
  <c r="L928" i="12"/>
  <c r="K928" i="12"/>
  <c r="F928" i="12"/>
  <c r="O927" i="12"/>
  <c r="N927" i="12"/>
  <c r="M927" i="12"/>
  <c r="L927" i="12"/>
  <c r="K927" i="12"/>
  <c r="F927" i="12"/>
  <c r="O926" i="12"/>
  <c r="N926" i="12"/>
  <c r="M926" i="12"/>
  <c r="L926" i="12"/>
  <c r="K926" i="12"/>
  <c r="F926" i="12"/>
  <c r="O925" i="12"/>
  <c r="N925" i="12"/>
  <c r="M925" i="12"/>
  <c r="L925" i="12"/>
  <c r="K925" i="12"/>
  <c r="F925" i="12"/>
  <c r="O924" i="12"/>
  <c r="N924" i="12"/>
  <c r="M924" i="12"/>
  <c r="L924" i="12"/>
  <c r="K924" i="12"/>
  <c r="F924" i="12"/>
  <c r="O923" i="12"/>
  <c r="N923" i="12"/>
  <c r="M923" i="12"/>
  <c r="L923" i="12"/>
  <c r="K923" i="12"/>
  <c r="F923" i="12"/>
  <c r="O922" i="12"/>
  <c r="N922" i="12"/>
  <c r="M922" i="12"/>
  <c r="L922" i="12"/>
  <c r="K922" i="12"/>
  <c r="F922" i="12"/>
  <c r="O921" i="12"/>
  <c r="N921" i="12"/>
  <c r="M921" i="12"/>
  <c r="L921" i="12"/>
  <c r="K921" i="12"/>
  <c r="F921" i="12"/>
  <c r="O920" i="12"/>
  <c r="N920" i="12"/>
  <c r="M920" i="12"/>
  <c r="L920" i="12"/>
  <c r="K920" i="12"/>
  <c r="F920" i="12"/>
  <c r="O919" i="12"/>
  <c r="N919" i="12"/>
  <c r="M919" i="12"/>
  <c r="L919" i="12"/>
  <c r="K919" i="12"/>
  <c r="F919" i="12"/>
  <c r="O918" i="12"/>
  <c r="N918" i="12"/>
  <c r="M918" i="12"/>
  <c r="L918" i="12"/>
  <c r="K918" i="12"/>
  <c r="F918" i="12"/>
  <c r="O917" i="12"/>
  <c r="N917" i="12"/>
  <c r="M917" i="12"/>
  <c r="L917" i="12"/>
  <c r="K917" i="12"/>
  <c r="F917" i="12"/>
  <c r="O916" i="12"/>
  <c r="N916" i="12"/>
  <c r="M916" i="12"/>
  <c r="L916" i="12"/>
  <c r="K916" i="12"/>
  <c r="F916" i="12"/>
  <c r="O915" i="12"/>
  <c r="N915" i="12"/>
  <c r="M915" i="12"/>
  <c r="L915" i="12"/>
  <c r="K915" i="12"/>
  <c r="F915" i="12"/>
  <c r="O914" i="12"/>
  <c r="N914" i="12"/>
  <c r="M914" i="12"/>
  <c r="L914" i="12"/>
  <c r="K914" i="12"/>
  <c r="F914" i="12"/>
  <c r="O913" i="12"/>
  <c r="N913" i="12"/>
  <c r="M913" i="12"/>
  <c r="L913" i="12"/>
  <c r="K913" i="12"/>
  <c r="F913" i="12"/>
  <c r="O912" i="12"/>
  <c r="N912" i="12"/>
  <c r="M912" i="12"/>
  <c r="L912" i="12"/>
  <c r="K912" i="12"/>
  <c r="F912" i="12"/>
  <c r="O911" i="12"/>
  <c r="N911" i="12"/>
  <c r="M911" i="12"/>
  <c r="L911" i="12"/>
  <c r="K911" i="12"/>
  <c r="F911" i="12"/>
  <c r="O910" i="12"/>
  <c r="N910" i="12"/>
  <c r="M910" i="12"/>
  <c r="L910" i="12"/>
  <c r="K910" i="12"/>
  <c r="F910" i="12"/>
  <c r="O909" i="12"/>
  <c r="N909" i="12"/>
  <c r="M909" i="12"/>
  <c r="L909" i="12"/>
  <c r="K909" i="12"/>
  <c r="F909" i="12"/>
  <c r="O908" i="12"/>
  <c r="N908" i="12"/>
  <c r="M908" i="12"/>
  <c r="L908" i="12"/>
  <c r="K908" i="12"/>
  <c r="F908" i="12"/>
  <c r="O907" i="12"/>
  <c r="N907" i="12"/>
  <c r="M907" i="12"/>
  <c r="L907" i="12"/>
  <c r="K907" i="12"/>
  <c r="F907" i="12"/>
  <c r="O906" i="12"/>
  <c r="N906" i="12"/>
  <c r="M906" i="12"/>
  <c r="L906" i="12"/>
  <c r="K906" i="12"/>
  <c r="F906" i="12"/>
  <c r="O905" i="12"/>
  <c r="N905" i="12"/>
  <c r="M905" i="12"/>
  <c r="L905" i="12"/>
  <c r="K905" i="12"/>
  <c r="F905" i="12"/>
  <c r="O904" i="12"/>
  <c r="N904" i="12"/>
  <c r="M904" i="12"/>
  <c r="L904" i="12"/>
  <c r="K904" i="12"/>
  <c r="F904" i="12"/>
  <c r="O903" i="12"/>
  <c r="N903" i="12"/>
  <c r="M903" i="12"/>
  <c r="L903" i="12"/>
  <c r="K903" i="12"/>
  <c r="F903" i="12"/>
  <c r="O902" i="12"/>
  <c r="N902" i="12"/>
  <c r="M902" i="12"/>
  <c r="L902" i="12"/>
  <c r="K902" i="12"/>
  <c r="F902" i="12"/>
  <c r="O901" i="12"/>
  <c r="N901" i="12"/>
  <c r="M901" i="12"/>
  <c r="L901" i="12"/>
  <c r="K901" i="12"/>
  <c r="F901" i="12"/>
  <c r="O900" i="12"/>
  <c r="N900" i="12"/>
  <c r="M900" i="12"/>
  <c r="L900" i="12"/>
  <c r="K900" i="12"/>
  <c r="F900" i="12"/>
  <c r="O899" i="12"/>
  <c r="N899" i="12"/>
  <c r="M899" i="12"/>
  <c r="L899" i="12"/>
  <c r="K899" i="12"/>
  <c r="F899" i="12"/>
  <c r="O898" i="12"/>
  <c r="N898" i="12"/>
  <c r="M898" i="12"/>
  <c r="L898" i="12"/>
  <c r="K898" i="12"/>
  <c r="F898" i="12"/>
  <c r="O897" i="12"/>
  <c r="N897" i="12"/>
  <c r="M897" i="12"/>
  <c r="L897" i="12"/>
  <c r="K897" i="12"/>
  <c r="F897" i="12"/>
  <c r="O896" i="12"/>
  <c r="N896" i="12"/>
  <c r="M896" i="12"/>
  <c r="L896" i="12"/>
  <c r="K896" i="12"/>
  <c r="F896" i="12"/>
  <c r="O895" i="12"/>
  <c r="N895" i="12"/>
  <c r="M895" i="12"/>
  <c r="L895" i="12"/>
  <c r="K895" i="12"/>
  <c r="F895" i="12"/>
  <c r="O894" i="12"/>
  <c r="N894" i="12"/>
  <c r="M894" i="12"/>
  <c r="L894" i="12"/>
  <c r="K894" i="12"/>
  <c r="F894" i="12"/>
  <c r="O893" i="12"/>
  <c r="N893" i="12"/>
  <c r="M893" i="12"/>
  <c r="L893" i="12"/>
  <c r="K893" i="12"/>
  <c r="F893" i="12"/>
  <c r="O892" i="12"/>
  <c r="N892" i="12"/>
  <c r="M892" i="12"/>
  <c r="L892" i="12"/>
  <c r="K892" i="12"/>
  <c r="F892" i="12"/>
  <c r="O891" i="12"/>
  <c r="N891" i="12"/>
  <c r="M891" i="12"/>
  <c r="L891" i="12"/>
  <c r="K891" i="12"/>
  <c r="F891" i="12"/>
  <c r="O890" i="12"/>
  <c r="N890" i="12"/>
  <c r="M890" i="12"/>
  <c r="L890" i="12"/>
  <c r="K890" i="12"/>
  <c r="F890" i="12"/>
  <c r="O889" i="12"/>
  <c r="N889" i="12"/>
  <c r="M889" i="12"/>
  <c r="L889" i="12"/>
  <c r="K889" i="12"/>
  <c r="F889" i="12"/>
  <c r="O888" i="12"/>
  <c r="N888" i="12"/>
  <c r="M888" i="12"/>
  <c r="L888" i="12"/>
  <c r="K888" i="12"/>
  <c r="F888" i="12"/>
  <c r="O887" i="12"/>
  <c r="N887" i="12"/>
  <c r="M887" i="12"/>
  <c r="L887" i="12"/>
  <c r="K887" i="12"/>
  <c r="F887" i="12"/>
  <c r="O886" i="12"/>
  <c r="N886" i="12"/>
  <c r="M886" i="12"/>
  <c r="L886" i="12"/>
  <c r="K886" i="12"/>
  <c r="F886" i="12"/>
  <c r="O885" i="12"/>
  <c r="N885" i="12"/>
  <c r="M885" i="12"/>
  <c r="L885" i="12"/>
  <c r="K885" i="12"/>
  <c r="F885" i="12"/>
  <c r="O884" i="12"/>
  <c r="N884" i="12"/>
  <c r="M884" i="12"/>
  <c r="L884" i="12"/>
  <c r="K884" i="12"/>
  <c r="F884" i="12"/>
  <c r="O883" i="12"/>
  <c r="N883" i="12"/>
  <c r="M883" i="12"/>
  <c r="L883" i="12"/>
  <c r="K883" i="12"/>
  <c r="F883" i="12"/>
  <c r="O882" i="12"/>
  <c r="N882" i="12"/>
  <c r="M882" i="12"/>
  <c r="L882" i="12"/>
  <c r="K882" i="12"/>
  <c r="F882" i="12"/>
  <c r="O881" i="12"/>
  <c r="N881" i="12"/>
  <c r="M881" i="12"/>
  <c r="L881" i="12"/>
  <c r="K881" i="12"/>
  <c r="F881" i="12"/>
  <c r="O880" i="12"/>
  <c r="N880" i="12"/>
  <c r="M880" i="12"/>
  <c r="L880" i="12"/>
  <c r="K880" i="12"/>
  <c r="F880" i="12"/>
  <c r="O879" i="12"/>
  <c r="N879" i="12"/>
  <c r="M879" i="12"/>
  <c r="L879" i="12"/>
  <c r="K879" i="12"/>
  <c r="F879" i="12"/>
  <c r="O878" i="12"/>
  <c r="N878" i="12"/>
  <c r="M878" i="12"/>
  <c r="L878" i="12"/>
  <c r="K878" i="12"/>
  <c r="F878" i="12"/>
  <c r="O877" i="12"/>
  <c r="N877" i="12"/>
  <c r="M877" i="12"/>
  <c r="L877" i="12"/>
  <c r="K877" i="12"/>
  <c r="F877" i="12"/>
  <c r="O876" i="12"/>
  <c r="N876" i="12"/>
  <c r="M876" i="12"/>
  <c r="L876" i="12"/>
  <c r="K876" i="12"/>
  <c r="F876" i="12"/>
  <c r="O875" i="12"/>
  <c r="N875" i="12"/>
  <c r="M875" i="12"/>
  <c r="L875" i="12"/>
  <c r="K875" i="12"/>
  <c r="F875" i="12"/>
  <c r="O874" i="12"/>
  <c r="N874" i="12"/>
  <c r="M874" i="12"/>
  <c r="L874" i="12"/>
  <c r="K874" i="12"/>
  <c r="F874" i="12"/>
  <c r="O873" i="12"/>
  <c r="N873" i="12"/>
  <c r="M873" i="12"/>
  <c r="L873" i="12"/>
  <c r="K873" i="12"/>
  <c r="F873" i="12"/>
  <c r="O872" i="12"/>
  <c r="N872" i="12"/>
  <c r="M872" i="12"/>
  <c r="L872" i="12"/>
  <c r="K872" i="12"/>
  <c r="F872" i="12"/>
  <c r="O871" i="12"/>
  <c r="N871" i="12"/>
  <c r="M871" i="12"/>
  <c r="L871" i="12"/>
  <c r="K871" i="12"/>
  <c r="F871" i="12"/>
  <c r="O870" i="12"/>
  <c r="N870" i="12"/>
  <c r="M870" i="12"/>
  <c r="L870" i="12"/>
  <c r="K870" i="12"/>
  <c r="F870" i="12"/>
  <c r="O869" i="12"/>
  <c r="N869" i="12"/>
  <c r="M869" i="12"/>
  <c r="L869" i="12"/>
  <c r="K869" i="12"/>
  <c r="F869" i="12"/>
  <c r="O868" i="12"/>
  <c r="N868" i="12"/>
  <c r="M868" i="12"/>
  <c r="L868" i="12"/>
  <c r="K868" i="12"/>
  <c r="F868" i="12"/>
  <c r="O867" i="12"/>
  <c r="N867" i="12"/>
  <c r="M867" i="12"/>
  <c r="L867" i="12"/>
  <c r="K867" i="12"/>
  <c r="F867" i="12"/>
  <c r="O866" i="12"/>
  <c r="N866" i="12"/>
  <c r="M866" i="12"/>
  <c r="L866" i="12"/>
  <c r="K866" i="12"/>
  <c r="F866" i="12"/>
  <c r="O865" i="12"/>
  <c r="N865" i="12"/>
  <c r="M865" i="12"/>
  <c r="L865" i="12"/>
  <c r="K865" i="12"/>
  <c r="F865" i="12"/>
  <c r="O864" i="12"/>
  <c r="N864" i="12"/>
  <c r="M864" i="12"/>
  <c r="L864" i="12"/>
  <c r="K864" i="12"/>
  <c r="F864" i="12"/>
  <c r="O863" i="12"/>
  <c r="N863" i="12"/>
  <c r="M863" i="12"/>
  <c r="L863" i="12"/>
  <c r="K863" i="12"/>
  <c r="F863" i="12"/>
  <c r="O862" i="12"/>
  <c r="N862" i="12"/>
  <c r="M862" i="12"/>
  <c r="L862" i="12"/>
  <c r="K862" i="12"/>
  <c r="F862" i="12"/>
  <c r="O861" i="12"/>
  <c r="N861" i="12"/>
  <c r="M861" i="12"/>
  <c r="L861" i="12"/>
  <c r="K861" i="12"/>
  <c r="F861" i="12"/>
  <c r="O860" i="12"/>
  <c r="N860" i="12"/>
  <c r="M860" i="12"/>
  <c r="L860" i="12"/>
  <c r="K860" i="12"/>
  <c r="F860" i="12"/>
  <c r="O859" i="12"/>
  <c r="N859" i="12"/>
  <c r="M859" i="12"/>
  <c r="L859" i="12"/>
  <c r="K859" i="12"/>
  <c r="F859" i="12"/>
  <c r="O858" i="12"/>
  <c r="N858" i="12"/>
  <c r="M858" i="12"/>
  <c r="L858" i="12"/>
  <c r="K858" i="12"/>
  <c r="F858" i="12"/>
  <c r="O857" i="12"/>
  <c r="N857" i="12"/>
  <c r="M857" i="12"/>
  <c r="L857" i="12"/>
  <c r="K857" i="12"/>
  <c r="F857" i="12"/>
  <c r="O856" i="12"/>
  <c r="N856" i="12"/>
  <c r="M856" i="12"/>
  <c r="L856" i="12"/>
  <c r="K856" i="12"/>
  <c r="F856" i="12"/>
  <c r="O855" i="12"/>
  <c r="N855" i="12"/>
  <c r="M855" i="12"/>
  <c r="L855" i="12"/>
  <c r="K855" i="12"/>
  <c r="F855" i="12"/>
  <c r="O854" i="12"/>
  <c r="N854" i="12"/>
  <c r="M854" i="12"/>
  <c r="L854" i="12"/>
  <c r="K854" i="12"/>
  <c r="F854" i="12"/>
  <c r="O853" i="12"/>
  <c r="N853" i="12"/>
  <c r="M853" i="12"/>
  <c r="L853" i="12"/>
  <c r="K853" i="12"/>
  <c r="F853" i="12"/>
  <c r="O852" i="12"/>
  <c r="N852" i="12"/>
  <c r="M852" i="12"/>
  <c r="L852" i="12"/>
  <c r="K852" i="12"/>
  <c r="F852" i="12"/>
  <c r="O851" i="12"/>
  <c r="N851" i="12"/>
  <c r="M851" i="12"/>
  <c r="L851" i="12"/>
  <c r="K851" i="12"/>
  <c r="F851" i="12"/>
  <c r="O850" i="12"/>
  <c r="N850" i="12"/>
  <c r="M850" i="12"/>
  <c r="L850" i="12"/>
  <c r="K850" i="12"/>
  <c r="F850" i="12"/>
  <c r="O849" i="12"/>
  <c r="N849" i="12"/>
  <c r="M849" i="12"/>
  <c r="L849" i="12"/>
  <c r="K849" i="12"/>
  <c r="F849" i="12"/>
  <c r="O848" i="12"/>
  <c r="N848" i="12"/>
  <c r="M848" i="12"/>
  <c r="L848" i="12"/>
  <c r="K848" i="12"/>
  <c r="F848" i="12"/>
  <c r="O847" i="12"/>
  <c r="N847" i="12"/>
  <c r="M847" i="12"/>
  <c r="L847" i="12"/>
  <c r="K847" i="12"/>
  <c r="F847" i="12"/>
  <c r="O846" i="12"/>
  <c r="N846" i="12"/>
  <c r="M846" i="12"/>
  <c r="L846" i="12"/>
  <c r="K846" i="12"/>
  <c r="F846" i="12"/>
  <c r="O845" i="12"/>
  <c r="N845" i="12"/>
  <c r="M845" i="12"/>
  <c r="L845" i="12"/>
  <c r="K845" i="12"/>
  <c r="F845" i="12"/>
  <c r="O844" i="12"/>
  <c r="N844" i="12"/>
  <c r="M844" i="12"/>
  <c r="L844" i="12"/>
  <c r="K844" i="12"/>
  <c r="F844" i="12"/>
  <c r="O843" i="12"/>
  <c r="N843" i="12"/>
  <c r="M843" i="12"/>
  <c r="L843" i="12"/>
  <c r="K843" i="12"/>
  <c r="F843" i="12"/>
  <c r="O842" i="12"/>
  <c r="N842" i="12"/>
  <c r="M842" i="12"/>
  <c r="L842" i="12"/>
  <c r="K842" i="12"/>
  <c r="F842" i="12"/>
  <c r="O841" i="12"/>
  <c r="N841" i="12"/>
  <c r="M841" i="12"/>
  <c r="L841" i="12"/>
  <c r="K841" i="12"/>
  <c r="F841" i="12"/>
  <c r="O840" i="12"/>
  <c r="N840" i="12"/>
  <c r="M840" i="12"/>
  <c r="L840" i="12"/>
  <c r="K840" i="12"/>
  <c r="F840" i="12"/>
  <c r="O839" i="12"/>
  <c r="N839" i="12"/>
  <c r="M839" i="12"/>
  <c r="L839" i="12"/>
  <c r="K839" i="12"/>
  <c r="F839" i="12"/>
  <c r="O838" i="12"/>
  <c r="N838" i="12"/>
  <c r="M838" i="12"/>
  <c r="L838" i="12"/>
  <c r="K838" i="12"/>
  <c r="F838" i="12"/>
  <c r="O837" i="12"/>
  <c r="N837" i="12"/>
  <c r="M837" i="12"/>
  <c r="L837" i="12"/>
  <c r="K837" i="12"/>
  <c r="F837" i="12"/>
  <c r="O836" i="12"/>
  <c r="N836" i="12"/>
  <c r="M836" i="12"/>
  <c r="L836" i="12"/>
  <c r="K836" i="12"/>
  <c r="F836" i="12"/>
  <c r="O835" i="12"/>
  <c r="N835" i="12"/>
  <c r="M835" i="12"/>
  <c r="L835" i="12"/>
  <c r="K835" i="12"/>
  <c r="F835" i="12"/>
  <c r="O834" i="12"/>
  <c r="N834" i="12"/>
  <c r="M834" i="12"/>
  <c r="L834" i="12"/>
  <c r="K834" i="12"/>
  <c r="F834" i="12"/>
  <c r="O833" i="12"/>
  <c r="N833" i="12"/>
  <c r="M833" i="12"/>
  <c r="L833" i="12"/>
  <c r="K833" i="12"/>
  <c r="F833" i="12"/>
  <c r="O832" i="12"/>
  <c r="N832" i="12"/>
  <c r="M832" i="12"/>
  <c r="L832" i="12"/>
  <c r="K832" i="12"/>
  <c r="F832" i="12"/>
  <c r="O831" i="12"/>
  <c r="N831" i="12"/>
  <c r="M831" i="12"/>
  <c r="L831" i="12"/>
  <c r="K831" i="12"/>
  <c r="F831" i="12"/>
  <c r="O830" i="12"/>
  <c r="N830" i="12"/>
  <c r="M830" i="12"/>
  <c r="L830" i="12"/>
  <c r="K830" i="12"/>
  <c r="F830" i="12"/>
  <c r="O829" i="12"/>
  <c r="N829" i="12"/>
  <c r="M829" i="12"/>
  <c r="L829" i="12"/>
  <c r="K829" i="12"/>
  <c r="F829" i="12"/>
  <c r="O828" i="12"/>
  <c r="N828" i="12"/>
  <c r="M828" i="12"/>
  <c r="L828" i="12"/>
  <c r="K828" i="12"/>
  <c r="F828" i="12"/>
  <c r="O827" i="12"/>
  <c r="N827" i="12"/>
  <c r="M827" i="12"/>
  <c r="L827" i="12"/>
  <c r="K827" i="12"/>
  <c r="F827" i="12"/>
  <c r="O826" i="12"/>
  <c r="N826" i="12"/>
  <c r="M826" i="12"/>
  <c r="L826" i="12"/>
  <c r="K826" i="12"/>
  <c r="F826" i="12"/>
  <c r="O825" i="12"/>
  <c r="N825" i="12"/>
  <c r="M825" i="12"/>
  <c r="L825" i="12"/>
  <c r="K825" i="12"/>
  <c r="F825" i="12"/>
  <c r="O824" i="12"/>
  <c r="N824" i="12"/>
  <c r="M824" i="12"/>
  <c r="L824" i="12"/>
  <c r="K824" i="12"/>
  <c r="F824" i="12"/>
  <c r="O823" i="12"/>
  <c r="N823" i="12"/>
  <c r="M823" i="12"/>
  <c r="L823" i="12"/>
  <c r="K823" i="12"/>
  <c r="F823" i="12"/>
  <c r="O822" i="12"/>
  <c r="N822" i="12"/>
  <c r="M822" i="12"/>
  <c r="L822" i="12"/>
  <c r="K822" i="12"/>
  <c r="F822" i="12"/>
  <c r="O821" i="12"/>
  <c r="N821" i="12"/>
  <c r="M821" i="12"/>
  <c r="L821" i="12"/>
  <c r="K821" i="12"/>
  <c r="F821" i="12"/>
  <c r="O820" i="12"/>
  <c r="N820" i="12"/>
  <c r="M820" i="12"/>
  <c r="L820" i="12"/>
  <c r="K820" i="12"/>
  <c r="F820" i="12"/>
  <c r="O819" i="12"/>
  <c r="N819" i="12"/>
  <c r="M819" i="12"/>
  <c r="L819" i="12"/>
  <c r="K819" i="12"/>
  <c r="F819" i="12"/>
  <c r="O818" i="12"/>
  <c r="N818" i="12"/>
  <c r="M818" i="12"/>
  <c r="L818" i="12"/>
  <c r="K818" i="12"/>
  <c r="F818" i="12"/>
  <c r="O817" i="12"/>
  <c r="N817" i="12"/>
  <c r="M817" i="12"/>
  <c r="L817" i="12"/>
  <c r="K817" i="12"/>
  <c r="F817" i="12"/>
  <c r="O816" i="12"/>
  <c r="N816" i="12"/>
  <c r="M816" i="12"/>
  <c r="L816" i="12"/>
  <c r="K816" i="12"/>
  <c r="F816" i="12"/>
  <c r="O815" i="12"/>
  <c r="N815" i="12"/>
  <c r="M815" i="12"/>
  <c r="L815" i="12"/>
  <c r="K815" i="12"/>
  <c r="F815" i="12"/>
  <c r="O814" i="12"/>
  <c r="N814" i="12"/>
  <c r="M814" i="12"/>
  <c r="L814" i="12"/>
  <c r="K814" i="12"/>
  <c r="F814" i="12"/>
  <c r="O813" i="12"/>
  <c r="N813" i="12"/>
  <c r="M813" i="12"/>
  <c r="L813" i="12"/>
  <c r="K813" i="12"/>
  <c r="F813" i="12"/>
  <c r="O812" i="12"/>
  <c r="N812" i="12"/>
  <c r="M812" i="12"/>
  <c r="L812" i="12"/>
  <c r="K812" i="12"/>
  <c r="F812" i="12"/>
  <c r="O811" i="12"/>
  <c r="N811" i="12"/>
  <c r="M811" i="12"/>
  <c r="L811" i="12"/>
  <c r="K811" i="12"/>
  <c r="F811" i="12"/>
  <c r="O810" i="12"/>
  <c r="N810" i="12"/>
  <c r="M810" i="12"/>
  <c r="L810" i="12"/>
  <c r="K810" i="12"/>
  <c r="F810" i="12"/>
  <c r="O809" i="12"/>
  <c r="N809" i="12"/>
  <c r="M809" i="12"/>
  <c r="L809" i="12"/>
  <c r="K809" i="12"/>
  <c r="F809" i="12"/>
  <c r="O808" i="12"/>
  <c r="N808" i="12"/>
  <c r="M808" i="12"/>
  <c r="L808" i="12"/>
  <c r="K808" i="12"/>
  <c r="F808" i="12"/>
  <c r="O807" i="12"/>
  <c r="N807" i="12"/>
  <c r="M807" i="12"/>
  <c r="L807" i="12"/>
  <c r="K807" i="12"/>
  <c r="F807" i="12"/>
  <c r="O806" i="12"/>
  <c r="N806" i="12"/>
  <c r="M806" i="12"/>
  <c r="L806" i="12"/>
  <c r="K806" i="12"/>
  <c r="F806" i="12"/>
  <c r="O805" i="12"/>
  <c r="N805" i="12"/>
  <c r="M805" i="12"/>
  <c r="L805" i="12"/>
  <c r="K805" i="12"/>
  <c r="F805" i="12"/>
  <c r="O804" i="12"/>
  <c r="N804" i="12"/>
  <c r="M804" i="12"/>
  <c r="L804" i="12"/>
  <c r="K804" i="12"/>
  <c r="F804" i="12"/>
  <c r="O803" i="12"/>
  <c r="N803" i="12"/>
  <c r="M803" i="12"/>
  <c r="L803" i="12"/>
  <c r="K803" i="12"/>
  <c r="F803" i="12"/>
  <c r="O802" i="12"/>
  <c r="N802" i="12"/>
  <c r="M802" i="12"/>
  <c r="L802" i="12"/>
  <c r="K802" i="12"/>
  <c r="F802" i="12"/>
  <c r="O801" i="12"/>
  <c r="N801" i="12"/>
  <c r="M801" i="12"/>
  <c r="L801" i="12"/>
  <c r="K801" i="12"/>
  <c r="F801" i="12"/>
  <c r="O800" i="12"/>
  <c r="N800" i="12"/>
  <c r="M800" i="12"/>
  <c r="L800" i="12"/>
  <c r="K800" i="12"/>
  <c r="F800" i="12"/>
  <c r="O799" i="12"/>
  <c r="N799" i="12"/>
  <c r="M799" i="12"/>
  <c r="L799" i="12"/>
  <c r="K799" i="12"/>
  <c r="F799" i="12"/>
  <c r="O798" i="12"/>
  <c r="N798" i="12"/>
  <c r="M798" i="12"/>
  <c r="L798" i="12"/>
  <c r="K798" i="12"/>
  <c r="F798" i="12"/>
  <c r="O797" i="12"/>
  <c r="N797" i="12"/>
  <c r="M797" i="12"/>
  <c r="L797" i="12"/>
  <c r="K797" i="12"/>
  <c r="F797" i="12"/>
  <c r="O796" i="12"/>
  <c r="N796" i="12"/>
  <c r="M796" i="12"/>
  <c r="L796" i="12"/>
  <c r="K796" i="12"/>
  <c r="F796" i="12"/>
  <c r="O795" i="12"/>
  <c r="N795" i="12"/>
  <c r="M795" i="12"/>
  <c r="L795" i="12"/>
  <c r="K795" i="12"/>
  <c r="F795" i="12"/>
  <c r="O794" i="12"/>
  <c r="N794" i="12"/>
  <c r="M794" i="12"/>
  <c r="L794" i="12"/>
  <c r="K794" i="12"/>
  <c r="F794" i="12"/>
  <c r="O793" i="12"/>
  <c r="N793" i="12"/>
  <c r="M793" i="12"/>
  <c r="L793" i="12"/>
  <c r="K793" i="12"/>
  <c r="F793" i="12"/>
  <c r="O792" i="12"/>
  <c r="N792" i="12"/>
  <c r="M792" i="12"/>
  <c r="L792" i="12"/>
  <c r="K792" i="12"/>
  <c r="F792" i="12"/>
  <c r="O791" i="12"/>
  <c r="N791" i="12"/>
  <c r="M791" i="12"/>
  <c r="L791" i="12"/>
  <c r="K791" i="12"/>
  <c r="F791" i="12"/>
  <c r="O790" i="12"/>
  <c r="N790" i="12"/>
  <c r="M790" i="12"/>
  <c r="L790" i="12"/>
  <c r="K790" i="12"/>
  <c r="F790" i="12"/>
  <c r="O789" i="12"/>
  <c r="N789" i="12"/>
  <c r="M789" i="12"/>
  <c r="L789" i="12"/>
  <c r="K789" i="12"/>
  <c r="F789" i="12"/>
  <c r="O788" i="12"/>
  <c r="N788" i="12"/>
  <c r="M788" i="12"/>
  <c r="L788" i="12"/>
  <c r="K788" i="12"/>
  <c r="F788" i="12"/>
  <c r="O787" i="12"/>
  <c r="N787" i="12"/>
  <c r="M787" i="12"/>
  <c r="L787" i="12"/>
  <c r="K787" i="12"/>
  <c r="F787" i="12"/>
  <c r="O786" i="12"/>
  <c r="N786" i="12"/>
  <c r="M786" i="12"/>
  <c r="L786" i="12"/>
  <c r="K786" i="12"/>
  <c r="F786" i="12"/>
  <c r="O785" i="12"/>
  <c r="N785" i="12"/>
  <c r="M785" i="12"/>
  <c r="L785" i="12"/>
  <c r="K785" i="12"/>
  <c r="F785" i="12"/>
  <c r="O784" i="12"/>
  <c r="N784" i="12"/>
  <c r="M784" i="12"/>
  <c r="L784" i="12"/>
  <c r="K784" i="12"/>
  <c r="F784" i="12"/>
  <c r="O783" i="12"/>
  <c r="N783" i="12"/>
  <c r="M783" i="12"/>
  <c r="L783" i="12"/>
  <c r="K783" i="12"/>
  <c r="F783" i="12"/>
  <c r="O782" i="12"/>
  <c r="N782" i="12"/>
  <c r="M782" i="12"/>
  <c r="L782" i="12"/>
  <c r="K782" i="12"/>
  <c r="F782" i="12"/>
  <c r="O781" i="12"/>
  <c r="N781" i="12"/>
  <c r="M781" i="12"/>
  <c r="L781" i="12"/>
  <c r="K781" i="12"/>
  <c r="F781" i="12"/>
  <c r="O780" i="12"/>
  <c r="N780" i="12"/>
  <c r="M780" i="12"/>
  <c r="L780" i="12"/>
  <c r="K780" i="12"/>
  <c r="F780" i="12"/>
  <c r="O779" i="12"/>
  <c r="N779" i="12"/>
  <c r="M779" i="12"/>
  <c r="L779" i="12"/>
  <c r="K779" i="12"/>
  <c r="F779" i="12"/>
  <c r="O778" i="12"/>
  <c r="N778" i="12"/>
  <c r="M778" i="12"/>
  <c r="L778" i="12"/>
  <c r="K778" i="12"/>
  <c r="F778" i="12"/>
  <c r="O777" i="12"/>
  <c r="N777" i="12"/>
  <c r="M777" i="12"/>
  <c r="L777" i="12"/>
  <c r="K777" i="12"/>
  <c r="F777" i="12"/>
  <c r="O776" i="12"/>
  <c r="N776" i="12"/>
  <c r="M776" i="12"/>
  <c r="L776" i="12"/>
  <c r="K776" i="12"/>
  <c r="F776" i="12"/>
  <c r="O775" i="12"/>
  <c r="N775" i="12"/>
  <c r="M775" i="12"/>
  <c r="L775" i="12"/>
  <c r="K775" i="12"/>
  <c r="F775" i="12"/>
  <c r="O774" i="12"/>
  <c r="N774" i="12"/>
  <c r="M774" i="12"/>
  <c r="L774" i="12"/>
  <c r="K774" i="12"/>
  <c r="F774" i="12"/>
  <c r="O773" i="12"/>
  <c r="N773" i="12"/>
  <c r="M773" i="12"/>
  <c r="L773" i="12"/>
  <c r="K773" i="12"/>
  <c r="F773" i="12"/>
  <c r="O772" i="12"/>
  <c r="N772" i="12"/>
  <c r="M772" i="12"/>
  <c r="L772" i="12"/>
  <c r="K772" i="12"/>
  <c r="F772" i="12"/>
  <c r="O771" i="12"/>
  <c r="N771" i="12"/>
  <c r="M771" i="12"/>
  <c r="L771" i="12"/>
  <c r="K771" i="12"/>
  <c r="F771" i="12"/>
  <c r="O770" i="12"/>
  <c r="N770" i="12"/>
  <c r="M770" i="12"/>
  <c r="L770" i="12"/>
  <c r="K770" i="12"/>
  <c r="F770" i="12"/>
  <c r="O769" i="12"/>
  <c r="N769" i="12"/>
  <c r="M769" i="12"/>
  <c r="L769" i="12"/>
  <c r="K769" i="12"/>
  <c r="F769" i="12"/>
  <c r="O768" i="12"/>
  <c r="N768" i="12"/>
  <c r="M768" i="12"/>
  <c r="L768" i="12"/>
  <c r="K768" i="12"/>
  <c r="F768" i="12"/>
  <c r="O767" i="12"/>
  <c r="N767" i="12"/>
  <c r="M767" i="12"/>
  <c r="L767" i="12"/>
  <c r="K767" i="12"/>
  <c r="F767" i="12"/>
  <c r="O766" i="12"/>
  <c r="N766" i="12"/>
  <c r="M766" i="12"/>
  <c r="L766" i="12"/>
  <c r="K766" i="12"/>
  <c r="F766" i="12"/>
  <c r="O765" i="12"/>
  <c r="N765" i="12"/>
  <c r="M765" i="12"/>
  <c r="L765" i="12"/>
  <c r="K765" i="12"/>
  <c r="F765" i="12"/>
  <c r="O764" i="12"/>
  <c r="N764" i="12"/>
  <c r="M764" i="12"/>
  <c r="L764" i="12"/>
  <c r="K764" i="12"/>
  <c r="F764" i="12"/>
  <c r="O763" i="12"/>
  <c r="N763" i="12"/>
  <c r="M763" i="12"/>
  <c r="L763" i="12"/>
  <c r="K763" i="12"/>
  <c r="F763" i="12"/>
  <c r="O762" i="12"/>
  <c r="N762" i="12"/>
  <c r="M762" i="12"/>
  <c r="L762" i="12"/>
  <c r="K762" i="12"/>
  <c r="F762" i="12"/>
  <c r="O761" i="12"/>
  <c r="N761" i="12"/>
  <c r="M761" i="12"/>
  <c r="L761" i="12"/>
  <c r="K761" i="12"/>
  <c r="F761" i="12"/>
  <c r="O760" i="12"/>
  <c r="N760" i="12"/>
  <c r="M760" i="12"/>
  <c r="L760" i="12"/>
  <c r="K760" i="12"/>
  <c r="F760" i="12"/>
  <c r="O759" i="12"/>
  <c r="N759" i="12"/>
  <c r="M759" i="12"/>
  <c r="L759" i="12"/>
  <c r="K759" i="12"/>
  <c r="F759" i="12"/>
  <c r="O758" i="12"/>
  <c r="N758" i="12"/>
  <c r="M758" i="12"/>
  <c r="L758" i="12"/>
  <c r="K758" i="12"/>
  <c r="F758" i="12"/>
  <c r="O757" i="12"/>
  <c r="N757" i="12"/>
  <c r="M757" i="12"/>
  <c r="L757" i="12"/>
  <c r="K757" i="12"/>
  <c r="F757" i="12"/>
  <c r="O756" i="12"/>
  <c r="N756" i="12"/>
  <c r="M756" i="12"/>
  <c r="L756" i="12"/>
  <c r="K756" i="12"/>
  <c r="F756" i="12"/>
  <c r="O755" i="12"/>
  <c r="N755" i="12"/>
  <c r="M755" i="12"/>
  <c r="L755" i="12"/>
  <c r="K755" i="12"/>
  <c r="F755" i="12"/>
  <c r="O754" i="12"/>
  <c r="N754" i="12"/>
  <c r="M754" i="12"/>
  <c r="L754" i="12"/>
  <c r="K754" i="12"/>
  <c r="F754" i="12"/>
  <c r="O753" i="12"/>
  <c r="N753" i="12"/>
  <c r="M753" i="12"/>
  <c r="L753" i="12"/>
  <c r="K753" i="12"/>
  <c r="F753" i="12"/>
  <c r="O752" i="12"/>
  <c r="N752" i="12"/>
  <c r="M752" i="12"/>
  <c r="L752" i="12"/>
  <c r="K752" i="12"/>
  <c r="F752" i="12"/>
  <c r="O751" i="12"/>
  <c r="N751" i="12"/>
  <c r="M751" i="12"/>
  <c r="L751" i="12"/>
  <c r="K751" i="12"/>
  <c r="F751" i="12"/>
  <c r="O750" i="12"/>
  <c r="N750" i="12"/>
  <c r="M750" i="12"/>
  <c r="L750" i="12"/>
  <c r="K750" i="12"/>
  <c r="F750" i="12"/>
  <c r="O749" i="12"/>
  <c r="N749" i="12"/>
  <c r="M749" i="12"/>
  <c r="L749" i="12"/>
  <c r="K749" i="12"/>
  <c r="F749" i="12"/>
  <c r="O748" i="12"/>
  <c r="N748" i="12"/>
  <c r="M748" i="12"/>
  <c r="L748" i="12"/>
  <c r="K748" i="12"/>
  <c r="F748" i="12"/>
  <c r="O747" i="12"/>
  <c r="N747" i="12"/>
  <c r="M747" i="12"/>
  <c r="L747" i="12"/>
  <c r="K747" i="12"/>
  <c r="F747" i="12"/>
  <c r="O746" i="12"/>
  <c r="N746" i="12"/>
  <c r="M746" i="12"/>
  <c r="L746" i="12"/>
  <c r="K746" i="12"/>
  <c r="F746" i="12"/>
  <c r="O745" i="12"/>
  <c r="N745" i="12"/>
  <c r="M745" i="12"/>
  <c r="L745" i="12"/>
  <c r="K745" i="12"/>
  <c r="F745" i="12"/>
  <c r="O744" i="12"/>
  <c r="N744" i="12"/>
  <c r="M744" i="12"/>
  <c r="L744" i="12"/>
  <c r="K744" i="12"/>
  <c r="F744" i="12"/>
  <c r="O743" i="12"/>
  <c r="N743" i="12"/>
  <c r="M743" i="12"/>
  <c r="L743" i="12"/>
  <c r="K743" i="12"/>
  <c r="F743" i="12"/>
  <c r="O742" i="12"/>
  <c r="N742" i="12"/>
  <c r="M742" i="12"/>
  <c r="L742" i="12"/>
  <c r="K742" i="12"/>
  <c r="F742" i="12"/>
  <c r="O741" i="12"/>
  <c r="N741" i="12"/>
  <c r="M741" i="12"/>
  <c r="L741" i="12"/>
  <c r="K741" i="12"/>
  <c r="F741" i="12"/>
  <c r="O740" i="12"/>
  <c r="N740" i="12"/>
  <c r="M740" i="12"/>
  <c r="L740" i="12"/>
  <c r="K740" i="12"/>
  <c r="F740" i="12"/>
  <c r="O739" i="12"/>
  <c r="N739" i="12"/>
  <c r="M739" i="12"/>
  <c r="L739" i="12"/>
  <c r="K739" i="12"/>
  <c r="F739" i="12"/>
  <c r="O738" i="12"/>
  <c r="N738" i="12"/>
  <c r="M738" i="12"/>
  <c r="L738" i="12"/>
  <c r="K738" i="12"/>
  <c r="F738" i="12"/>
  <c r="O737" i="12"/>
  <c r="N737" i="12"/>
  <c r="M737" i="12"/>
  <c r="L737" i="12"/>
  <c r="K737" i="12"/>
  <c r="F737" i="12"/>
  <c r="O736" i="12"/>
  <c r="N736" i="12"/>
  <c r="M736" i="12"/>
  <c r="L736" i="12"/>
  <c r="K736" i="12"/>
  <c r="F736" i="12"/>
  <c r="O735" i="12"/>
  <c r="N735" i="12"/>
  <c r="M735" i="12"/>
  <c r="L735" i="12"/>
  <c r="K735" i="12"/>
  <c r="F735" i="12"/>
  <c r="O734" i="12"/>
  <c r="N734" i="12"/>
  <c r="M734" i="12"/>
  <c r="L734" i="12"/>
  <c r="K734" i="12"/>
  <c r="F734" i="12"/>
  <c r="O733" i="12"/>
  <c r="N733" i="12"/>
  <c r="M733" i="12"/>
  <c r="L733" i="12"/>
  <c r="K733" i="12"/>
  <c r="F733" i="12"/>
  <c r="O732" i="12"/>
  <c r="N732" i="12"/>
  <c r="M732" i="12"/>
  <c r="L732" i="12"/>
  <c r="K732" i="12"/>
  <c r="F732" i="12"/>
  <c r="O731" i="12"/>
  <c r="N731" i="12"/>
  <c r="M731" i="12"/>
  <c r="L731" i="12"/>
  <c r="K731" i="12"/>
  <c r="F731" i="12"/>
  <c r="O730" i="12"/>
  <c r="N730" i="12"/>
  <c r="M730" i="12"/>
  <c r="L730" i="12"/>
  <c r="K730" i="12"/>
  <c r="F730" i="12"/>
  <c r="O729" i="12"/>
  <c r="N729" i="12"/>
  <c r="M729" i="12"/>
  <c r="L729" i="12"/>
  <c r="K729" i="12"/>
  <c r="F729" i="12"/>
  <c r="O728" i="12"/>
  <c r="N728" i="12"/>
  <c r="M728" i="12"/>
  <c r="L728" i="12"/>
  <c r="K728" i="12"/>
  <c r="F728" i="12"/>
  <c r="O727" i="12"/>
  <c r="N727" i="12"/>
  <c r="M727" i="12"/>
  <c r="L727" i="12"/>
  <c r="K727" i="12"/>
  <c r="F727" i="12"/>
  <c r="O726" i="12"/>
  <c r="N726" i="12"/>
  <c r="M726" i="12"/>
  <c r="L726" i="12"/>
  <c r="K726" i="12"/>
  <c r="F726" i="12"/>
  <c r="O725" i="12"/>
  <c r="N725" i="12"/>
  <c r="M725" i="12"/>
  <c r="L725" i="12"/>
  <c r="K725" i="12"/>
  <c r="F725" i="12"/>
  <c r="O724" i="12"/>
  <c r="N724" i="12"/>
  <c r="M724" i="12"/>
  <c r="L724" i="12"/>
  <c r="K724" i="12"/>
  <c r="F724" i="12"/>
  <c r="O723" i="12"/>
  <c r="N723" i="12"/>
  <c r="M723" i="12"/>
  <c r="L723" i="12"/>
  <c r="K723" i="12"/>
  <c r="F723" i="12"/>
  <c r="O722" i="12"/>
  <c r="N722" i="12"/>
  <c r="M722" i="12"/>
  <c r="L722" i="12"/>
  <c r="K722" i="12"/>
  <c r="F722" i="12"/>
  <c r="O721" i="12"/>
  <c r="N721" i="12"/>
  <c r="M721" i="12"/>
  <c r="L721" i="12"/>
  <c r="K721" i="12"/>
  <c r="F721" i="12"/>
  <c r="O720" i="12"/>
  <c r="N720" i="12"/>
  <c r="M720" i="12"/>
  <c r="L720" i="12"/>
  <c r="K720" i="12"/>
  <c r="F720" i="12"/>
  <c r="O719" i="12"/>
  <c r="N719" i="12"/>
  <c r="M719" i="12"/>
  <c r="L719" i="12"/>
  <c r="K719" i="12"/>
  <c r="F719" i="12"/>
  <c r="O718" i="12"/>
  <c r="N718" i="12"/>
  <c r="M718" i="12"/>
  <c r="L718" i="12"/>
  <c r="K718" i="12"/>
  <c r="F718" i="12"/>
  <c r="O717" i="12"/>
  <c r="N717" i="12"/>
  <c r="M717" i="12"/>
  <c r="L717" i="12"/>
  <c r="K717" i="12"/>
  <c r="F717" i="12"/>
  <c r="O716" i="12"/>
  <c r="N716" i="12"/>
  <c r="M716" i="12"/>
  <c r="L716" i="12"/>
  <c r="K716" i="12"/>
  <c r="F716" i="12"/>
  <c r="O715" i="12"/>
  <c r="N715" i="12"/>
  <c r="M715" i="12"/>
  <c r="L715" i="12"/>
  <c r="K715" i="12"/>
  <c r="F715" i="12"/>
  <c r="O714" i="12"/>
  <c r="N714" i="12"/>
  <c r="M714" i="12"/>
  <c r="L714" i="12"/>
  <c r="K714" i="12"/>
  <c r="F714" i="12"/>
  <c r="O713" i="12"/>
  <c r="N713" i="12"/>
  <c r="M713" i="12"/>
  <c r="L713" i="12"/>
  <c r="K713" i="12"/>
  <c r="F713" i="12"/>
  <c r="O712" i="12"/>
  <c r="N712" i="12"/>
  <c r="M712" i="12"/>
  <c r="L712" i="12"/>
  <c r="K712" i="12"/>
  <c r="F712" i="12"/>
  <c r="O711" i="12"/>
  <c r="N711" i="12"/>
  <c r="M711" i="12"/>
  <c r="L711" i="12"/>
  <c r="K711" i="12"/>
  <c r="F711" i="12"/>
  <c r="O710" i="12"/>
  <c r="N710" i="12"/>
  <c r="M710" i="12"/>
  <c r="L710" i="12"/>
  <c r="K710" i="12"/>
  <c r="F710" i="12"/>
  <c r="O709" i="12"/>
  <c r="N709" i="12"/>
  <c r="M709" i="12"/>
  <c r="L709" i="12"/>
  <c r="K709" i="12"/>
  <c r="F709" i="12"/>
  <c r="O708" i="12"/>
  <c r="N708" i="12"/>
  <c r="M708" i="12"/>
  <c r="L708" i="12"/>
  <c r="K708" i="12"/>
  <c r="F708" i="12"/>
  <c r="O707" i="12"/>
  <c r="N707" i="12"/>
  <c r="M707" i="12"/>
  <c r="L707" i="12"/>
  <c r="K707" i="12"/>
  <c r="F707" i="12"/>
  <c r="O706" i="12"/>
  <c r="N706" i="12"/>
  <c r="M706" i="12"/>
  <c r="L706" i="12"/>
  <c r="K706" i="12"/>
  <c r="F706" i="12"/>
  <c r="O705" i="12"/>
  <c r="N705" i="12"/>
  <c r="M705" i="12"/>
  <c r="L705" i="12"/>
  <c r="K705" i="12"/>
  <c r="F705" i="12"/>
  <c r="O704" i="12"/>
  <c r="N704" i="12"/>
  <c r="M704" i="12"/>
  <c r="L704" i="12"/>
  <c r="K704" i="12"/>
  <c r="F704" i="12"/>
  <c r="O703" i="12"/>
  <c r="N703" i="12"/>
  <c r="M703" i="12"/>
  <c r="L703" i="12"/>
  <c r="K703" i="12"/>
  <c r="F703" i="12"/>
  <c r="O702" i="12"/>
  <c r="N702" i="12"/>
  <c r="M702" i="12"/>
  <c r="L702" i="12"/>
  <c r="K702" i="12"/>
  <c r="F702" i="12"/>
  <c r="O701" i="12"/>
  <c r="N701" i="12"/>
  <c r="M701" i="12"/>
  <c r="L701" i="12"/>
  <c r="K701" i="12"/>
  <c r="F701" i="12"/>
  <c r="O700" i="12"/>
  <c r="N700" i="12"/>
  <c r="M700" i="12"/>
  <c r="L700" i="12"/>
  <c r="K700" i="12"/>
  <c r="F700" i="12"/>
  <c r="O699" i="12"/>
  <c r="N699" i="12"/>
  <c r="M699" i="12"/>
  <c r="L699" i="12"/>
  <c r="K699" i="12"/>
  <c r="F699" i="12"/>
  <c r="O698" i="12"/>
  <c r="N698" i="12"/>
  <c r="M698" i="12"/>
  <c r="L698" i="12"/>
  <c r="K698" i="12"/>
  <c r="F698" i="12"/>
  <c r="O697" i="12"/>
  <c r="N697" i="12"/>
  <c r="M697" i="12"/>
  <c r="L697" i="12"/>
  <c r="K697" i="12"/>
  <c r="F697" i="12"/>
  <c r="O696" i="12"/>
  <c r="N696" i="12"/>
  <c r="M696" i="12"/>
  <c r="L696" i="12"/>
  <c r="K696" i="12"/>
  <c r="F696" i="12"/>
  <c r="O695" i="12"/>
  <c r="N695" i="12"/>
  <c r="M695" i="12"/>
  <c r="L695" i="12"/>
  <c r="K695" i="12"/>
  <c r="F695" i="12"/>
  <c r="O694" i="12"/>
  <c r="N694" i="12"/>
  <c r="M694" i="12"/>
  <c r="L694" i="12"/>
  <c r="K694" i="12"/>
  <c r="F694" i="12"/>
  <c r="O693" i="12"/>
  <c r="N693" i="12"/>
  <c r="M693" i="12"/>
  <c r="L693" i="12"/>
  <c r="K693" i="12"/>
  <c r="F693" i="12"/>
  <c r="O692" i="12"/>
  <c r="N692" i="12"/>
  <c r="M692" i="12"/>
  <c r="L692" i="12"/>
  <c r="K692" i="12"/>
  <c r="F692" i="12"/>
  <c r="O691" i="12"/>
  <c r="N691" i="12"/>
  <c r="M691" i="12"/>
  <c r="L691" i="12"/>
  <c r="K691" i="12"/>
  <c r="F691" i="12"/>
  <c r="O690" i="12"/>
  <c r="N690" i="12"/>
  <c r="M690" i="12"/>
  <c r="L690" i="12"/>
  <c r="K690" i="12"/>
  <c r="F690" i="12"/>
  <c r="O689" i="12"/>
  <c r="N689" i="12"/>
  <c r="M689" i="12"/>
  <c r="L689" i="12"/>
  <c r="K689" i="12"/>
  <c r="F689" i="12"/>
  <c r="O688" i="12"/>
  <c r="N688" i="12"/>
  <c r="M688" i="12"/>
  <c r="L688" i="12"/>
  <c r="K688" i="12"/>
  <c r="F688" i="12"/>
  <c r="O687" i="12"/>
  <c r="N687" i="12"/>
  <c r="M687" i="12"/>
  <c r="L687" i="12"/>
  <c r="K687" i="12"/>
  <c r="F687" i="12"/>
  <c r="O686" i="12"/>
  <c r="N686" i="12"/>
  <c r="M686" i="12"/>
  <c r="L686" i="12"/>
  <c r="K686" i="12"/>
  <c r="F686" i="12"/>
  <c r="O685" i="12"/>
  <c r="N685" i="12"/>
  <c r="M685" i="12"/>
  <c r="L685" i="12"/>
  <c r="K685" i="12"/>
  <c r="F685" i="12"/>
  <c r="O684" i="12"/>
  <c r="N684" i="12"/>
  <c r="M684" i="12"/>
  <c r="L684" i="12"/>
  <c r="K684" i="12"/>
  <c r="F684" i="12"/>
  <c r="O683" i="12"/>
  <c r="N683" i="12"/>
  <c r="M683" i="12"/>
  <c r="L683" i="12"/>
  <c r="K683" i="12"/>
  <c r="F683" i="12"/>
  <c r="O682" i="12"/>
  <c r="N682" i="12"/>
  <c r="M682" i="12"/>
  <c r="L682" i="12"/>
  <c r="K682" i="12"/>
  <c r="F682" i="12"/>
  <c r="O681" i="12"/>
  <c r="N681" i="12"/>
  <c r="M681" i="12"/>
  <c r="L681" i="12"/>
  <c r="K681" i="12"/>
  <c r="F681" i="12"/>
  <c r="O680" i="12"/>
  <c r="N680" i="12"/>
  <c r="M680" i="12"/>
  <c r="L680" i="12"/>
  <c r="K680" i="12"/>
  <c r="F680" i="12"/>
  <c r="O679" i="12"/>
  <c r="N679" i="12"/>
  <c r="M679" i="12"/>
  <c r="L679" i="12"/>
  <c r="K679" i="12"/>
  <c r="F679" i="12"/>
  <c r="O678" i="12"/>
  <c r="N678" i="12"/>
  <c r="M678" i="12"/>
  <c r="L678" i="12"/>
  <c r="K678" i="12"/>
  <c r="F678" i="12"/>
  <c r="O677" i="12"/>
  <c r="N677" i="12"/>
  <c r="M677" i="12"/>
  <c r="L677" i="12"/>
  <c r="K677" i="12"/>
  <c r="F677" i="12"/>
  <c r="O676" i="12"/>
  <c r="N676" i="12"/>
  <c r="M676" i="12"/>
  <c r="L676" i="12"/>
  <c r="K676" i="12"/>
  <c r="F676" i="12"/>
  <c r="O675" i="12"/>
  <c r="N675" i="12"/>
  <c r="M675" i="12"/>
  <c r="L675" i="12"/>
  <c r="K675" i="12"/>
  <c r="F675" i="12"/>
  <c r="O674" i="12"/>
  <c r="N674" i="12"/>
  <c r="M674" i="12"/>
  <c r="L674" i="12"/>
  <c r="K674" i="12"/>
  <c r="F674" i="12"/>
  <c r="O673" i="12"/>
  <c r="N673" i="12"/>
  <c r="M673" i="12"/>
  <c r="L673" i="12"/>
  <c r="K673" i="12"/>
  <c r="F673" i="12"/>
  <c r="O672" i="12"/>
  <c r="N672" i="12"/>
  <c r="M672" i="12"/>
  <c r="L672" i="12"/>
  <c r="K672" i="12"/>
  <c r="F672" i="12"/>
  <c r="O671" i="12"/>
  <c r="N671" i="12"/>
  <c r="M671" i="12"/>
  <c r="L671" i="12"/>
  <c r="K671" i="12"/>
  <c r="F671" i="12"/>
  <c r="O670" i="12"/>
  <c r="N670" i="12"/>
  <c r="M670" i="12"/>
  <c r="L670" i="12"/>
  <c r="K670" i="12"/>
  <c r="F670" i="12"/>
  <c r="O669" i="12"/>
  <c r="N669" i="12"/>
  <c r="M669" i="12"/>
  <c r="L669" i="12"/>
  <c r="K669" i="12"/>
  <c r="F669" i="12"/>
  <c r="O668" i="12"/>
  <c r="N668" i="12"/>
  <c r="M668" i="12"/>
  <c r="L668" i="12"/>
  <c r="K668" i="12"/>
  <c r="F668" i="12"/>
  <c r="O667" i="12"/>
  <c r="N667" i="12"/>
  <c r="M667" i="12"/>
  <c r="L667" i="12"/>
  <c r="K667" i="12"/>
  <c r="F667" i="12"/>
  <c r="O666" i="12"/>
  <c r="N666" i="12"/>
  <c r="M666" i="12"/>
  <c r="L666" i="12"/>
  <c r="K666" i="12"/>
  <c r="F666" i="12"/>
  <c r="O665" i="12"/>
  <c r="N665" i="12"/>
  <c r="M665" i="12"/>
  <c r="L665" i="12"/>
  <c r="K665" i="12"/>
  <c r="F665" i="12"/>
  <c r="O664" i="12"/>
  <c r="N664" i="12"/>
  <c r="M664" i="12"/>
  <c r="L664" i="12"/>
  <c r="K664" i="12"/>
  <c r="F664" i="12"/>
  <c r="O663" i="12"/>
  <c r="N663" i="12"/>
  <c r="M663" i="12"/>
  <c r="L663" i="12"/>
  <c r="K663" i="12"/>
  <c r="F663" i="12"/>
  <c r="O662" i="12"/>
  <c r="N662" i="12"/>
  <c r="M662" i="12"/>
  <c r="L662" i="12"/>
  <c r="K662" i="12"/>
  <c r="F662" i="12"/>
  <c r="O661" i="12"/>
  <c r="N661" i="12"/>
  <c r="M661" i="12"/>
  <c r="L661" i="12"/>
  <c r="K661" i="12"/>
  <c r="F661" i="12"/>
  <c r="O660" i="12"/>
  <c r="N660" i="12"/>
  <c r="M660" i="12"/>
  <c r="L660" i="12"/>
  <c r="K660" i="12"/>
  <c r="F660" i="12"/>
  <c r="O659" i="12"/>
  <c r="N659" i="12"/>
  <c r="M659" i="12"/>
  <c r="L659" i="12"/>
  <c r="K659" i="12"/>
  <c r="F659" i="12"/>
  <c r="O658" i="12"/>
  <c r="N658" i="12"/>
  <c r="M658" i="12"/>
  <c r="L658" i="12"/>
  <c r="K658" i="12"/>
  <c r="F658" i="12"/>
  <c r="O657" i="12"/>
  <c r="N657" i="12"/>
  <c r="M657" i="12"/>
  <c r="L657" i="12"/>
  <c r="K657" i="12"/>
  <c r="F657" i="12"/>
  <c r="O656" i="12"/>
  <c r="N656" i="12"/>
  <c r="M656" i="12"/>
  <c r="L656" i="12"/>
  <c r="K656" i="12"/>
  <c r="F656" i="12"/>
  <c r="O655" i="12"/>
  <c r="N655" i="12"/>
  <c r="M655" i="12"/>
  <c r="L655" i="12"/>
  <c r="K655" i="12"/>
  <c r="F655" i="12"/>
  <c r="O654" i="12"/>
  <c r="N654" i="12"/>
  <c r="M654" i="12"/>
  <c r="L654" i="12"/>
  <c r="K654" i="12"/>
  <c r="F654" i="12"/>
  <c r="O653" i="12"/>
  <c r="N653" i="12"/>
  <c r="M653" i="12"/>
  <c r="L653" i="12"/>
  <c r="K653" i="12"/>
  <c r="F653" i="12"/>
  <c r="O652" i="12"/>
  <c r="N652" i="12"/>
  <c r="M652" i="12"/>
  <c r="L652" i="12"/>
  <c r="K652" i="12"/>
  <c r="F652" i="12"/>
  <c r="O651" i="12"/>
  <c r="N651" i="12"/>
  <c r="M651" i="12"/>
  <c r="L651" i="12"/>
  <c r="K651" i="12"/>
  <c r="F651" i="12"/>
  <c r="O650" i="12"/>
  <c r="N650" i="12"/>
  <c r="M650" i="12"/>
  <c r="L650" i="12"/>
  <c r="K650" i="12"/>
  <c r="F650" i="12"/>
  <c r="O649" i="12"/>
  <c r="N649" i="12"/>
  <c r="M649" i="12"/>
  <c r="L649" i="12"/>
  <c r="K649" i="12"/>
  <c r="F649" i="12"/>
  <c r="O648" i="12"/>
  <c r="N648" i="12"/>
  <c r="M648" i="12"/>
  <c r="L648" i="12"/>
  <c r="K648" i="12"/>
  <c r="F648" i="12"/>
  <c r="O647" i="12"/>
  <c r="N647" i="12"/>
  <c r="M647" i="12"/>
  <c r="L647" i="12"/>
  <c r="K647" i="12"/>
  <c r="F647" i="12"/>
  <c r="O646" i="12"/>
  <c r="N646" i="12"/>
  <c r="M646" i="12"/>
  <c r="L646" i="12"/>
  <c r="K646" i="12"/>
  <c r="F646" i="12"/>
  <c r="O645" i="12"/>
  <c r="N645" i="12"/>
  <c r="M645" i="12"/>
  <c r="L645" i="12"/>
  <c r="K645" i="12"/>
  <c r="F645" i="12"/>
  <c r="O644" i="12"/>
  <c r="N644" i="12"/>
  <c r="M644" i="12"/>
  <c r="L644" i="12"/>
  <c r="K644" i="12"/>
  <c r="F644" i="12"/>
  <c r="O643" i="12"/>
  <c r="N643" i="12"/>
  <c r="M643" i="12"/>
  <c r="L643" i="12"/>
  <c r="K643" i="12"/>
  <c r="F643" i="12"/>
  <c r="O642" i="12"/>
  <c r="N642" i="12"/>
  <c r="M642" i="12"/>
  <c r="L642" i="12"/>
  <c r="K642" i="12"/>
  <c r="F642" i="12"/>
  <c r="O641" i="12"/>
  <c r="N641" i="12"/>
  <c r="M641" i="12"/>
  <c r="L641" i="12"/>
  <c r="K641" i="12"/>
  <c r="F641" i="12"/>
  <c r="O640" i="12"/>
  <c r="N640" i="12"/>
  <c r="M640" i="12"/>
  <c r="L640" i="12"/>
  <c r="K640" i="12"/>
  <c r="F640" i="12"/>
  <c r="O639" i="12"/>
  <c r="N639" i="12"/>
  <c r="M639" i="12"/>
  <c r="L639" i="12"/>
  <c r="K639" i="12"/>
  <c r="F639" i="12"/>
  <c r="O638" i="12"/>
  <c r="N638" i="12"/>
  <c r="M638" i="12"/>
  <c r="L638" i="12"/>
  <c r="K638" i="12"/>
  <c r="F638" i="12"/>
  <c r="O637" i="12"/>
  <c r="N637" i="12"/>
  <c r="M637" i="12"/>
  <c r="L637" i="12"/>
  <c r="K637" i="12"/>
  <c r="F637" i="12"/>
  <c r="O636" i="12"/>
  <c r="N636" i="12"/>
  <c r="M636" i="12"/>
  <c r="L636" i="12"/>
  <c r="K636" i="12"/>
  <c r="F636" i="12"/>
  <c r="O635" i="12"/>
  <c r="N635" i="12"/>
  <c r="M635" i="12"/>
  <c r="L635" i="12"/>
  <c r="K635" i="12"/>
  <c r="F635" i="12"/>
  <c r="O634" i="12"/>
  <c r="N634" i="12"/>
  <c r="M634" i="12"/>
  <c r="L634" i="12"/>
  <c r="K634" i="12"/>
  <c r="F634" i="12"/>
  <c r="O633" i="12"/>
  <c r="N633" i="12"/>
  <c r="M633" i="12"/>
  <c r="L633" i="12"/>
  <c r="K633" i="12"/>
  <c r="F633" i="12"/>
  <c r="O632" i="12"/>
  <c r="N632" i="12"/>
  <c r="M632" i="12"/>
  <c r="L632" i="12"/>
  <c r="K632" i="12"/>
  <c r="F632" i="12"/>
  <c r="O631" i="12"/>
  <c r="N631" i="12"/>
  <c r="M631" i="12"/>
  <c r="L631" i="12"/>
  <c r="K631" i="12"/>
  <c r="F631" i="12"/>
  <c r="O630" i="12"/>
  <c r="N630" i="12"/>
  <c r="M630" i="12"/>
  <c r="L630" i="12"/>
  <c r="K630" i="12"/>
  <c r="F630" i="12"/>
  <c r="O629" i="12"/>
  <c r="N629" i="12"/>
  <c r="M629" i="12"/>
  <c r="L629" i="12"/>
  <c r="K629" i="12"/>
  <c r="F629" i="12"/>
  <c r="O628" i="12"/>
  <c r="N628" i="12"/>
  <c r="M628" i="12"/>
  <c r="L628" i="12"/>
  <c r="K628" i="12"/>
  <c r="F628" i="12"/>
  <c r="O627" i="12"/>
  <c r="N627" i="12"/>
  <c r="M627" i="12"/>
  <c r="L627" i="12"/>
  <c r="K627" i="12"/>
  <c r="F627" i="12"/>
  <c r="O626" i="12"/>
  <c r="N626" i="12"/>
  <c r="M626" i="12"/>
  <c r="L626" i="12"/>
  <c r="K626" i="12"/>
  <c r="F626" i="12"/>
  <c r="O625" i="12"/>
  <c r="N625" i="12"/>
  <c r="M625" i="12"/>
  <c r="L625" i="12"/>
  <c r="K625" i="12"/>
  <c r="F625" i="12"/>
  <c r="O624" i="12"/>
  <c r="N624" i="12"/>
  <c r="M624" i="12"/>
  <c r="L624" i="12"/>
  <c r="K624" i="12"/>
  <c r="F624" i="12"/>
  <c r="O623" i="12"/>
  <c r="N623" i="12"/>
  <c r="M623" i="12"/>
  <c r="L623" i="12"/>
  <c r="K623" i="12"/>
  <c r="F623" i="12"/>
  <c r="O622" i="12"/>
  <c r="N622" i="12"/>
  <c r="M622" i="12"/>
  <c r="L622" i="12"/>
  <c r="K622" i="12"/>
  <c r="F622" i="12"/>
  <c r="O621" i="12"/>
  <c r="N621" i="12"/>
  <c r="M621" i="12"/>
  <c r="L621" i="12"/>
  <c r="K621" i="12"/>
  <c r="F621" i="12"/>
  <c r="O620" i="12"/>
  <c r="N620" i="12"/>
  <c r="M620" i="12"/>
  <c r="L620" i="12"/>
  <c r="K620" i="12"/>
  <c r="F620" i="12"/>
  <c r="O619" i="12"/>
  <c r="N619" i="12"/>
  <c r="M619" i="12"/>
  <c r="L619" i="12"/>
  <c r="K619" i="12"/>
  <c r="F619" i="12"/>
  <c r="O618" i="12"/>
  <c r="N618" i="12"/>
  <c r="M618" i="12"/>
  <c r="L618" i="12"/>
  <c r="K618" i="12"/>
  <c r="F618" i="12"/>
  <c r="O617" i="12"/>
  <c r="N617" i="12"/>
  <c r="M617" i="12"/>
  <c r="L617" i="12"/>
  <c r="K617" i="12"/>
  <c r="F617" i="12"/>
  <c r="O616" i="12"/>
  <c r="N616" i="12"/>
  <c r="M616" i="12"/>
  <c r="L616" i="12"/>
  <c r="K616" i="12"/>
  <c r="F616" i="12"/>
  <c r="O615" i="12"/>
  <c r="N615" i="12"/>
  <c r="M615" i="12"/>
  <c r="L615" i="12"/>
  <c r="K615" i="12"/>
  <c r="F615" i="12"/>
  <c r="O614" i="12"/>
  <c r="N614" i="12"/>
  <c r="M614" i="12"/>
  <c r="L614" i="12"/>
  <c r="K614" i="12"/>
  <c r="F614" i="12"/>
  <c r="O613" i="12"/>
  <c r="N613" i="12"/>
  <c r="M613" i="12"/>
  <c r="L613" i="12"/>
  <c r="K613" i="12"/>
  <c r="F613" i="12"/>
  <c r="O612" i="12"/>
  <c r="N612" i="12"/>
  <c r="M612" i="12"/>
  <c r="L612" i="12"/>
  <c r="K612" i="12"/>
  <c r="F612" i="12"/>
  <c r="O611" i="12"/>
  <c r="N611" i="12"/>
  <c r="M611" i="12"/>
  <c r="L611" i="12"/>
  <c r="K611" i="12"/>
  <c r="F611" i="12"/>
  <c r="O610" i="12"/>
  <c r="N610" i="12"/>
  <c r="M610" i="12"/>
  <c r="L610" i="12"/>
  <c r="K610" i="12"/>
  <c r="F610" i="12"/>
  <c r="O609" i="12"/>
  <c r="N609" i="12"/>
  <c r="M609" i="12"/>
  <c r="L609" i="12"/>
  <c r="K609" i="12"/>
  <c r="F609" i="12"/>
  <c r="O608" i="12"/>
  <c r="N608" i="12"/>
  <c r="M608" i="12"/>
  <c r="L608" i="12"/>
  <c r="K608" i="12"/>
  <c r="F608" i="12"/>
  <c r="O607" i="12"/>
  <c r="N607" i="12"/>
  <c r="M607" i="12"/>
  <c r="L607" i="12"/>
  <c r="K607" i="12"/>
  <c r="F607" i="12"/>
  <c r="O606" i="12"/>
  <c r="N606" i="12"/>
  <c r="M606" i="12"/>
  <c r="L606" i="12"/>
  <c r="K606" i="12"/>
  <c r="F606" i="12"/>
  <c r="O605" i="12"/>
  <c r="N605" i="12"/>
  <c r="M605" i="12"/>
  <c r="L605" i="12"/>
  <c r="K605" i="12"/>
  <c r="F605" i="12"/>
  <c r="O604" i="12"/>
  <c r="N604" i="12"/>
  <c r="M604" i="12"/>
  <c r="L604" i="12"/>
  <c r="K604" i="12"/>
  <c r="F604" i="12"/>
  <c r="O603" i="12"/>
  <c r="N603" i="12"/>
  <c r="M603" i="12"/>
  <c r="L603" i="12"/>
  <c r="K603" i="12"/>
  <c r="F603" i="12"/>
  <c r="O602" i="12"/>
  <c r="N602" i="12"/>
  <c r="M602" i="12"/>
  <c r="L602" i="12"/>
  <c r="K602" i="12"/>
  <c r="F602" i="12"/>
  <c r="O601" i="12"/>
  <c r="N601" i="12"/>
  <c r="M601" i="12"/>
  <c r="L601" i="12"/>
  <c r="K601" i="12"/>
  <c r="F601" i="12"/>
  <c r="O600" i="12"/>
  <c r="N600" i="12"/>
  <c r="M600" i="12"/>
  <c r="L600" i="12"/>
  <c r="K600" i="12"/>
  <c r="F600" i="12"/>
  <c r="O599" i="12"/>
  <c r="N599" i="12"/>
  <c r="M599" i="12"/>
  <c r="L599" i="12"/>
  <c r="K599" i="12"/>
  <c r="F599" i="12"/>
  <c r="O598" i="12"/>
  <c r="N598" i="12"/>
  <c r="M598" i="12"/>
  <c r="L598" i="12"/>
  <c r="K598" i="12"/>
  <c r="F598" i="12"/>
  <c r="O597" i="12"/>
  <c r="N597" i="12"/>
  <c r="M597" i="12"/>
  <c r="L597" i="12"/>
  <c r="K597" i="12"/>
  <c r="F597" i="12"/>
  <c r="O596" i="12"/>
  <c r="N596" i="12"/>
  <c r="M596" i="12"/>
  <c r="L596" i="12"/>
  <c r="K596" i="12"/>
  <c r="F596" i="12"/>
  <c r="O595" i="12"/>
  <c r="N595" i="12"/>
  <c r="M595" i="12"/>
  <c r="L595" i="12"/>
  <c r="K595" i="12"/>
  <c r="F595" i="12"/>
  <c r="O594" i="12"/>
  <c r="N594" i="12"/>
  <c r="M594" i="12"/>
  <c r="L594" i="12"/>
  <c r="K594" i="12"/>
  <c r="F594" i="12"/>
  <c r="O593" i="12"/>
  <c r="N593" i="12"/>
  <c r="M593" i="12"/>
  <c r="L593" i="12"/>
  <c r="K593" i="12"/>
  <c r="F593" i="12"/>
  <c r="O592" i="12"/>
  <c r="N592" i="12"/>
  <c r="M592" i="12"/>
  <c r="L592" i="12"/>
  <c r="K592" i="12"/>
  <c r="F592" i="12"/>
  <c r="O591" i="12"/>
  <c r="N591" i="12"/>
  <c r="M591" i="12"/>
  <c r="L591" i="12"/>
  <c r="K591" i="12"/>
  <c r="F591" i="12"/>
  <c r="O590" i="12"/>
  <c r="N590" i="12"/>
  <c r="M590" i="12"/>
  <c r="L590" i="12"/>
  <c r="K590" i="12"/>
  <c r="F590" i="12"/>
  <c r="O589" i="12"/>
  <c r="N589" i="12"/>
  <c r="M589" i="12"/>
  <c r="L589" i="12"/>
  <c r="K589" i="12"/>
  <c r="F589" i="12"/>
  <c r="O588" i="12"/>
  <c r="N588" i="12"/>
  <c r="M588" i="12"/>
  <c r="L588" i="12"/>
  <c r="K588" i="12"/>
  <c r="F588" i="12"/>
  <c r="O587" i="12"/>
  <c r="N587" i="12"/>
  <c r="M587" i="12"/>
  <c r="L587" i="12"/>
  <c r="K587" i="12"/>
  <c r="F587" i="12"/>
  <c r="O586" i="12"/>
  <c r="N586" i="12"/>
  <c r="M586" i="12"/>
  <c r="L586" i="12"/>
  <c r="K586" i="12"/>
  <c r="F586" i="12"/>
  <c r="O585" i="12"/>
  <c r="N585" i="12"/>
  <c r="M585" i="12"/>
  <c r="L585" i="12"/>
  <c r="K585" i="12"/>
  <c r="F585" i="12"/>
  <c r="O584" i="12"/>
  <c r="N584" i="12"/>
  <c r="M584" i="12"/>
  <c r="L584" i="12"/>
  <c r="K584" i="12"/>
  <c r="F584" i="12"/>
  <c r="O583" i="12"/>
  <c r="N583" i="12"/>
  <c r="M583" i="12"/>
  <c r="L583" i="12"/>
  <c r="K583" i="12"/>
  <c r="F583" i="12"/>
  <c r="O582" i="12"/>
  <c r="N582" i="12"/>
  <c r="M582" i="12"/>
  <c r="L582" i="12"/>
  <c r="K582" i="12"/>
  <c r="F582" i="12"/>
  <c r="O581" i="12"/>
  <c r="N581" i="12"/>
  <c r="M581" i="12"/>
  <c r="L581" i="12"/>
  <c r="K581" i="12"/>
  <c r="F581" i="12"/>
  <c r="O580" i="12"/>
  <c r="N580" i="12"/>
  <c r="M580" i="12"/>
  <c r="L580" i="12"/>
  <c r="K580" i="12"/>
  <c r="F580" i="12"/>
  <c r="O579" i="12"/>
  <c r="N579" i="12"/>
  <c r="M579" i="12"/>
  <c r="L579" i="12"/>
  <c r="K579" i="12"/>
  <c r="F579" i="12"/>
  <c r="O578" i="12"/>
  <c r="N578" i="12"/>
  <c r="M578" i="12"/>
  <c r="L578" i="12"/>
  <c r="K578" i="12"/>
  <c r="F578" i="12"/>
  <c r="O577" i="12"/>
  <c r="N577" i="12"/>
  <c r="M577" i="12"/>
  <c r="L577" i="12"/>
  <c r="K577" i="12"/>
  <c r="F577" i="12"/>
  <c r="O576" i="12"/>
  <c r="N576" i="12"/>
  <c r="M576" i="12"/>
  <c r="L576" i="12"/>
  <c r="K576" i="12"/>
  <c r="F576" i="12"/>
  <c r="O575" i="12"/>
  <c r="N575" i="12"/>
  <c r="M575" i="12"/>
  <c r="L575" i="12"/>
  <c r="K575" i="12"/>
  <c r="F575" i="12"/>
  <c r="O574" i="12"/>
  <c r="N574" i="12"/>
  <c r="M574" i="12"/>
  <c r="L574" i="12"/>
  <c r="K574" i="12"/>
  <c r="F574" i="12"/>
  <c r="O573" i="12"/>
  <c r="N573" i="12"/>
  <c r="M573" i="12"/>
  <c r="L573" i="12"/>
  <c r="K573" i="12"/>
  <c r="F573" i="12"/>
  <c r="O572" i="12"/>
  <c r="N572" i="12"/>
  <c r="M572" i="12"/>
  <c r="L572" i="12"/>
  <c r="K572" i="12"/>
  <c r="F572" i="12"/>
  <c r="O571" i="12"/>
  <c r="N571" i="12"/>
  <c r="M571" i="12"/>
  <c r="L571" i="12"/>
  <c r="K571" i="12"/>
  <c r="F571" i="12"/>
  <c r="O570" i="12"/>
  <c r="N570" i="12"/>
  <c r="M570" i="12"/>
  <c r="L570" i="12"/>
  <c r="K570" i="12"/>
  <c r="F570" i="12"/>
  <c r="O569" i="12"/>
  <c r="N569" i="12"/>
  <c r="M569" i="12"/>
  <c r="L569" i="12"/>
  <c r="K569" i="12"/>
  <c r="F569" i="12"/>
  <c r="O568" i="12"/>
  <c r="N568" i="12"/>
  <c r="M568" i="12"/>
  <c r="L568" i="12"/>
  <c r="K568" i="12"/>
  <c r="F568" i="12"/>
  <c r="O567" i="12"/>
  <c r="N567" i="12"/>
  <c r="M567" i="12"/>
  <c r="L567" i="12"/>
  <c r="K567" i="12"/>
  <c r="F567" i="12"/>
  <c r="O566" i="12"/>
  <c r="N566" i="12"/>
  <c r="M566" i="12"/>
  <c r="L566" i="12"/>
  <c r="K566" i="12"/>
  <c r="F566" i="12"/>
  <c r="O565" i="12"/>
  <c r="N565" i="12"/>
  <c r="M565" i="12"/>
  <c r="L565" i="12"/>
  <c r="K565" i="12"/>
  <c r="F565" i="12"/>
  <c r="O564" i="12"/>
  <c r="N564" i="12"/>
  <c r="M564" i="12"/>
  <c r="L564" i="12"/>
  <c r="K564" i="12"/>
  <c r="F564" i="12"/>
  <c r="O563" i="12"/>
  <c r="N563" i="12"/>
  <c r="M563" i="12"/>
  <c r="L563" i="12"/>
  <c r="K563" i="12"/>
  <c r="F563" i="12"/>
  <c r="O562" i="12"/>
  <c r="N562" i="12"/>
  <c r="M562" i="12"/>
  <c r="L562" i="12"/>
  <c r="K562" i="12"/>
  <c r="F562" i="12"/>
  <c r="O561" i="12"/>
  <c r="N561" i="12"/>
  <c r="M561" i="12"/>
  <c r="L561" i="12"/>
  <c r="K561" i="12"/>
  <c r="F561" i="12"/>
  <c r="O560" i="12"/>
  <c r="N560" i="12"/>
  <c r="M560" i="12"/>
  <c r="L560" i="12"/>
  <c r="K560" i="12"/>
  <c r="F560" i="12"/>
  <c r="O559" i="12"/>
  <c r="N559" i="12"/>
  <c r="M559" i="12"/>
  <c r="L559" i="12"/>
  <c r="K559" i="12"/>
  <c r="F559" i="12"/>
  <c r="O558" i="12"/>
  <c r="N558" i="12"/>
  <c r="M558" i="12"/>
  <c r="L558" i="12"/>
  <c r="K558" i="12"/>
  <c r="F558" i="12"/>
  <c r="O557" i="12"/>
  <c r="N557" i="12"/>
  <c r="M557" i="12"/>
  <c r="L557" i="12"/>
  <c r="K557" i="12"/>
  <c r="F557" i="12"/>
  <c r="O556" i="12"/>
  <c r="N556" i="12"/>
  <c r="M556" i="12"/>
  <c r="L556" i="12"/>
  <c r="K556" i="12"/>
  <c r="F556" i="12"/>
  <c r="O555" i="12"/>
  <c r="N555" i="12"/>
  <c r="M555" i="12"/>
  <c r="L555" i="12"/>
  <c r="K555" i="12"/>
  <c r="F555" i="12"/>
  <c r="O554" i="12"/>
  <c r="N554" i="12"/>
  <c r="M554" i="12"/>
  <c r="L554" i="12"/>
  <c r="K554" i="12"/>
  <c r="F554" i="12"/>
  <c r="O553" i="12"/>
  <c r="N553" i="12"/>
  <c r="M553" i="12"/>
  <c r="L553" i="12"/>
  <c r="K553" i="12"/>
  <c r="F553" i="12"/>
  <c r="O552" i="12"/>
  <c r="N552" i="12"/>
  <c r="M552" i="12"/>
  <c r="L552" i="12"/>
  <c r="K552" i="12"/>
  <c r="F552" i="12"/>
  <c r="O551" i="12"/>
  <c r="N551" i="12"/>
  <c r="M551" i="12"/>
  <c r="L551" i="12"/>
  <c r="K551" i="12"/>
  <c r="F551" i="12"/>
  <c r="O550" i="12"/>
  <c r="N550" i="12"/>
  <c r="M550" i="12"/>
  <c r="L550" i="12"/>
  <c r="K550" i="12"/>
  <c r="F550" i="12"/>
  <c r="O549" i="12"/>
  <c r="N549" i="12"/>
  <c r="M549" i="12"/>
  <c r="L549" i="12"/>
  <c r="K549" i="12"/>
  <c r="F549" i="12"/>
  <c r="O548" i="12"/>
  <c r="N548" i="12"/>
  <c r="M548" i="12"/>
  <c r="L548" i="12"/>
  <c r="K548" i="12"/>
  <c r="F548" i="12"/>
  <c r="O547" i="12"/>
  <c r="N547" i="12"/>
  <c r="M547" i="12"/>
  <c r="L547" i="12"/>
  <c r="K547" i="12"/>
  <c r="F547" i="12"/>
  <c r="O546" i="12"/>
  <c r="N546" i="12"/>
  <c r="M546" i="12"/>
  <c r="L546" i="12"/>
  <c r="K546" i="12"/>
  <c r="F546" i="12"/>
  <c r="O545" i="12"/>
  <c r="N545" i="12"/>
  <c r="M545" i="12"/>
  <c r="L545" i="12"/>
  <c r="K545" i="12"/>
  <c r="F545" i="12"/>
  <c r="O544" i="12"/>
  <c r="N544" i="12"/>
  <c r="M544" i="12"/>
  <c r="L544" i="12"/>
  <c r="K544" i="12"/>
  <c r="F544" i="12"/>
  <c r="O543" i="12"/>
  <c r="N543" i="12"/>
  <c r="M543" i="12"/>
  <c r="L543" i="12"/>
  <c r="K543" i="12"/>
  <c r="F543" i="12"/>
  <c r="O542" i="12"/>
  <c r="N542" i="12"/>
  <c r="M542" i="12"/>
  <c r="L542" i="12"/>
  <c r="K542" i="12"/>
  <c r="F542" i="12"/>
  <c r="O541" i="12"/>
  <c r="N541" i="12"/>
  <c r="M541" i="12"/>
  <c r="L541" i="12"/>
  <c r="K541" i="12"/>
  <c r="F541" i="12"/>
  <c r="O540" i="12"/>
  <c r="N540" i="12"/>
  <c r="M540" i="12"/>
  <c r="L540" i="12"/>
  <c r="K540" i="12"/>
  <c r="F540" i="12"/>
  <c r="O539" i="12"/>
  <c r="N539" i="12"/>
  <c r="M539" i="12"/>
  <c r="L539" i="12"/>
  <c r="K539" i="12"/>
  <c r="F539" i="12"/>
  <c r="O538" i="12"/>
  <c r="N538" i="12"/>
  <c r="M538" i="12"/>
  <c r="L538" i="12"/>
  <c r="K538" i="12"/>
  <c r="F538" i="12"/>
  <c r="O537" i="12"/>
  <c r="N537" i="12"/>
  <c r="M537" i="12"/>
  <c r="L537" i="12"/>
  <c r="K537" i="12"/>
  <c r="F537" i="12"/>
  <c r="O536" i="12"/>
  <c r="N536" i="12"/>
  <c r="M536" i="12"/>
  <c r="L536" i="12"/>
  <c r="K536" i="12"/>
  <c r="F536" i="12"/>
  <c r="O535" i="12"/>
  <c r="N535" i="12"/>
  <c r="M535" i="12"/>
  <c r="L535" i="12"/>
  <c r="K535" i="12"/>
  <c r="F535" i="12"/>
  <c r="O534" i="12"/>
  <c r="N534" i="12"/>
  <c r="M534" i="12"/>
  <c r="L534" i="12"/>
  <c r="K534" i="12"/>
  <c r="F534" i="12"/>
  <c r="O533" i="12"/>
  <c r="N533" i="12"/>
  <c r="M533" i="12"/>
  <c r="L533" i="12"/>
  <c r="K533" i="12"/>
  <c r="F533" i="12"/>
  <c r="O532" i="12"/>
  <c r="N532" i="12"/>
  <c r="M532" i="12"/>
  <c r="L532" i="12"/>
  <c r="K532" i="12"/>
  <c r="F532" i="12"/>
  <c r="O531" i="12"/>
  <c r="N531" i="12"/>
  <c r="M531" i="12"/>
  <c r="L531" i="12"/>
  <c r="K531" i="12"/>
  <c r="F531" i="12"/>
  <c r="O530" i="12"/>
  <c r="N530" i="12"/>
  <c r="M530" i="12"/>
  <c r="L530" i="12"/>
  <c r="K530" i="12"/>
  <c r="F530" i="12"/>
  <c r="O529" i="12"/>
  <c r="N529" i="12"/>
  <c r="M529" i="12"/>
  <c r="L529" i="12"/>
  <c r="K529" i="12"/>
  <c r="F529" i="12"/>
  <c r="O528" i="12"/>
  <c r="N528" i="12"/>
  <c r="M528" i="12"/>
  <c r="L528" i="12"/>
  <c r="K528" i="12"/>
  <c r="F528" i="12"/>
  <c r="O527" i="12"/>
  <c r="N527" i="12"/>
  <c r="M527" i="12"/>
  <c r="L527" i="12"/>
  <c r="K527" i="12"/>
  <c r="F527" i="12"/>
  <c r="O526" i="12"/>
  <c r="N526" i="12"/>
  <c r="M526" i="12"/>
  <c r="L526" i="12"/>
  <c r="K526" i="12"/>
  <c r="F526" i="12"/>
  <c r="O525" i="12"/>
  <c r="N525" i="12"/>
  <c r="M525" i="12"/>
  <c r="L525" i="12"/>
  <c r="K525" i="12"/>
  <c r="F525" i="12"/>
  <c r="O524" i="12"/>
  <c r="N524" i="12"/>
  <c r="M524" i="12"/>
  <c r="L524" i="12"/>
  <c r="K524" i="12"/>
  <c r="F524" i="12"/>
  <c r="O523" i="12"/>
  <c r="N523" i="12"/>
  <c r="M523" i="12"/>
  <c r="L523" i="12"/>
  <c r="K523" i="12"/>
  <c r="F523" i="12"/>
  <c r="O522" i="12"/>
  <c r="N522" i="12"/>
  <c r="M522" i="12"/>
  <c r="L522" i="12"/>
  <c r="K522" i="12"/>
  <c r="F522" i="12"/>
  <c r="O521" i="12"/>
  <c r="N521" i="12"/>
  <c r="M521" i="12"/>
  <c r="L521" i="12"/>
  <c r="K521" i="12"/>
  <c r="F521" i="12"/>
  <c r="O520" i="12"/>
  <c r="N520" i="12"/>
  <c r="M520" i="12"/>
  <c r="L520" i="12"/>
  <c r="K520" i="12"/>
  <c r="F520" i="12"/>
  <c r="O519" i="12"/>
  <c r="N519" i="12"/>
  <c r="M519" i="12"/>
  <c r="L519" i="12"/>
  <c r="K519" i="12"/>
  <c r="F519" i="12"/>
  <c r="O518" i="12"/>
  <c r="N518" i="12"/>
  <c r="M518" i="12"/>
  <c r="L518" i="12"/>
  <c r="K518" i="12"/>
  <c r="F518" i="12"/>
  <c r="O517" i="12"/>
  <c r="N517" i="12"/>
  <c r="M517" i="12"/>
  <c r="L517" i="12"/>
  <c r="K517" i="12"/>
  <c r="F517" i="12"/>
  <c r="O516" i="12"/>
  <c r="N516" i="12"/>
  <c r="M516" i="12"/>
  <c r="L516" i="12"/>
  <c r="K516" i="12"/>
  <c r="F516" i="12"/>
  <c r="O515" i="12"/>
  <c r="N515" i="12"/>
  <c r="M515" i="12"/>
  <c r="L515" i="12"/>
  <c r="K515" i="12"/>
  <c r="F515" i="12"/>
  <c r="O514" i="12"/>
  <c r="N514" i="12"/>
  <c r="M514" i="12"/>
  <c r="L514" i="12"/>
  <c r="K514" i="12"/>
  <c r="F514" i="12"/>
  <c r="O513" i="12"/>
  <c r="N513" i="12"/>
  <c r="M513" i="12"/>
  <c r="L513" i="12"/>
  <c r="K513" i="12"/>
  <c r="F513" i="12"/>
  <c r="O512" i="12"/>
  <c r="N512" i="12"/>
  <c r="M512" i="12"/>
  <c r="L512" i="12"/>
  <c r="K512" i="12"/>
  <c r="F512" i="12"/>
  <c r="O511" i="12"/>
  <c r="N511" i="12"/>
  <c r="M511" i="12"/>
  <c r="L511" i="12"/>
  <c r="K511" i="12"/>
  <c r="F511" i="12"/>
  <c r="O510" i="12"/>
  <c r="N510" i="12"/>
  <c r="M510" i="12"/>
  <c r="L510" i="12"/>
  <c r="K510" i="12"/>
  <c r="F510" i="12"/>
  <c r="O509" i="12"/>
  <c r="N509" i="12"/>
  <c r="M509" i="12"/>
  <c r="L509" i="12"/>
  <c r="K509" i="12"/>
  <c r="F509" i="12"/>
  <c r="O508" i="12"/>
  <c r="N508" i="12"/>
  <c r="M508" i="12"/>
  <c r="L508" i="12"/>
  <c r="K508" i="12"/>
  <c r="F508" i="12"/>
  <c r="O507" i="12"/>
  <c r="N507" i="12"/>
  <c r="M507" i="12"/>
  <c r="L507" i="12"/>
  <c r="K507" i="12"/>
  <c r="F507" i="12"/>
  <c r="O506" i="12"/>
  <c r="N506" i="12"/>
  <c r="M506" i="12"/>
  <c r="L506" i="12"/>
  <c r="K506" i="12"/>
  <c r="F506" i="12"/>
  <c r="O505" i="12"/>
  <c r="N505" i="12"/>
  <c r="M505" i="12"/>
  <c r="L505" i="12"/>
  <c r="K505" i="12"/>
  <c r="F505" i="12"/>
  <c r="O504" i="12"/>
  <c r="N504" i="12"/>
  <c r="M504" i="12"/>
  <c r="L504" i="12"/>
  <c r="K504" i="12"/>
  <c r="F504" i="12"/>
  <c r="O503" i="12"/>
  <c r="N503" i="12"/>
  <c r="M503" i="12"/>
  <c r="L503" i="12"/>
  <c r="K503" i="12"/>
  <c r="F503" i="12"/>
  <c r="O502" i="12"/>
  <c r="N502" i="12"/>
  <c r="M502" i="12"/>
  <c r="L502" i="12"/>
  <c r="K502" i="12"/>
  <c r="F502" i="12"/>
  <c r="O501" i="12"/>
  <c r="N501" i="12"/>
  <c r="M501" i="12"/>
  <c r="L501" i="12"/>
  <c r="K501" i="12"/>
  <c r="F501" i="12"/>
  <c r="O500" i="12"/>
  <c r="N500" i="12"/>
  <c r="M500" i="12"/>
  <c r="L500" i="12"/>
  <c r="K500" i="12"/>
  <c r="F500" i="12"/>
  <c r="O499" i="12"/>
  <c r="N499" i="12"/>
  <c r="M499" i="12"/>
  <c r="L499" i="12"/>
  <c r="K499" i="12"/>
  <c r="F499" i="12"/>
  <c r="O498" i="12"/>
  <c r="N498" i="12"/>
  <c r="M498" i="12"/>
  <c r="L498" i="12"/>
  <c r="K498" i="12"/>
  <c r="F498" i="12"/>
  <c r="O497" i="12"/>
  <c r="N497" i="12"/>
  <c r="M497" i="12"/>
  <c r="L497" i="12"/>
  <c r="K497" i="12"/>
  <c r="F497" i="12"/>
  <c r="O496" i="12"/>
  <c r="N496" i="12"/>
  <c r="M496" i="12"/>
  <c r="L496" i="12"/>
  <c r="K496" i="12"/>
  <c r="F496" i="12"/>
  <c r="O495" i="12"/>
  <c r="N495" i="12"/>
  <c r="M495" i="12"/>
  <c r="L495" i="12"/>
  <c r="K495" i="12"/>
  <c r="F495" i="12"/>
  <c r="O494" i="12"/>
  <c r="N494" i="12"/>
  <c r="M494" i="12"/>
  <c r="L494" i="12"/>
  <c r="K494" i="12"/>
  <c r="F494" i="12"/>
  <c r="O493" i="12"/>
  <c r="N493" i="12"/>
  <c r="M493" i="12"/>
  <c r="L493" i="12"/>
  <c r="K493" i="12"/>
  <c r="F493" i="12"/>
  <c r="O492" i="12"/>
  <c r="N492" i="12"/>
  <c r="M492" i="12"/>
  <c r="L492" i="12"/>
  <c r="K492" i="12"/>
  <c r="F492" i="12"/>
  <c r="O491" i="12"/>
  <c r="N491" i="12"/>
  <c r="M491" i="12"/>
  <c r="L491" i="12"/>
  <c r="K491" i="12"/>
  <c r="F491" i="12"/>
  <c r="O490" i="12"/>
  <c r="N490" i="12"/>
  <c r="M490" i="12"/>
  <c r="L490" i="12"/>
  <c r="K490" i="12"/>
  <c r="F490" i="12"/>
  <c r="O489" i="12"/>
  <c r="N489" i="12"/>
  <c r="M489" i="12"/>
  <c r="L489" i="12"/>
  <c r="K489" i="12"/>
  <c r="F489" i="12"/>
  <c r="O488" i="12"/>
  <c r="N488" i="12"/>
  <c r="M488" i="12"/>
  <c r="L488" i="12"/>
  <c r="K488" i="12"/>
  <c r="F488" i="12"/>
  <c r="O487" i="12"/>
  <c r="N487" i="12"/>
  <c r="M487" i="12"/>
  <c r="L487" i="12"/>
  <c r="K487" i="12"/>
  <c r="F487" i="12"/>
  <c r="O486" i="12"/>
  <c r="N486" i="12"/>
  <c r="M486" i="12"/>
  <c r="L486" i="12"/>
  <c r="K486" i="12"/>
  <c r="F486" i="12"/>
  <c r="O485" i="12"/>
  <c r="N485" i="12"/>
  <c r="M485" i="12"/>
  <c r="L485" i="12"/>
  <c r="K485" i="12"/>
  <c r="F485" i="12"/>
  <c r="O484" i="12"/>
  <c r="N484" i="12"/>
  <c r="M484" i="12"/>
  <c r="L484" i="12"/>
  <c r="K484" i="12"/>
  <c r="F484" i="12"/>
  <c r="O483" i="12"/>
  <c r="N483" i="12"/>
  <c r="M483" i="12"/>
  <c r="L483" i="12"/>
  <c r="K483" i="12"/>
  <c r="F483" i="12"/>
  <c r="O482" i="12"/>
  <c r="N482" i="12"/>
  <c r="M482" i="12"/>
  <c r="L482" i="12"/>
  <c r="K482" i="12"/>
  <c r="F482" i="12"/>
  <c r="O481" i="12"/>
  <c r="N481" i="12"/>
  <c r="M481" i="12"/>
  <c r="L481" i="12"/>
  <c r="K481" i="12"/>
  <c r="F481" i="12"/>
  <c r="O480" i="12"/>
  <c r="N480" i="12"/>
  <c r="M480" i="12"/>
  <c r="L480" i="12"/>
  <c r="K480" i="12"/>
  <c r="F480" i="12"/>
  <c r="O479" i="12"/>
  <c r="N479" i="12"/>
  <c r="M479" i="12"/>
  <c r="L479" i="12"/>
  <c r="K479" i="12"/>
  <c r="F479" i="12"/>
  <c r="O478" i="12"/>
  <c r="N478" i="12"/>
  <c r="M478" i="12"/>
  <c r="L478" i="12"/>
  <c r="K478" i="12"/>
  <c r="F478" i="12"/>
  <c r="O477" i="12"/>
  <c r="N477" i="12"/>
  <c r="M477" i="12"/>
  <c r="L477" i="12"/>
  <c r="K477" i="12"/>
  <c r="F477" i="12"/>
  <c r="O476" i="12"/>
  <c r="N476" i="12"/>
  <c r="M476" i="12"/>
  <c r="L476" i="12"/>
  <c r="K476" i="12"/>
  <c r="F476" i="12"/>
  <c r="O475" i="12"/>
  <c r="N475" i="12"/>
  <c r="M475" i="12"/>
  <c r="L475" i="12"/>
  <c r="K475" i="12"/>
  <c r="F475" i="12"/>
  <c r="O474" i="12"/>
  <c r="N474" i="12"/>
  <c r="M474" i="12"/>
  <c r="L474" i="12"/>
  <c r="K474" i="12"/>
  <c r="F474" i="12"/>
  <c r="O473" i="12"/>
  <c r="N473" i="12"/>
  <c r="M473" i="12"/>
  <c r="L473" i="12"/>
  <c r="K473" i="12"/>
  <c r="F473" i="12"/>
  <c r="O472" i="12"/>
  <c r="N472" i="12"/>
  <c r="M472" i="12"/>
  <c r="L472" i="12"/>
  <c r="K472" i="12"/>
  <c r="F472" i="12"/>
  <c r="O471" i="12"/>
  <c r="N471" i="12"/>
  <c r="M471" i="12"/>
  <c r="L471" i="12"/>
  <c r="K471" i="12"/>
  <c r="F471" i="12"/>
  <c r="O470" i="12"/>
  <c r="N470" i="12"/>
  <c r="M470" i="12"/>
  <c r="L470" i="12"/>
  <c r="K470" i="12"/>
  <c r="F470" i="12"/>
  <c r="O469" i="12"/>
  <c r="N469" i="12"/>
  <c r="M469" i="12"/>
  <c r="L469" i="12"/>
  <c r="K469" i="12"/>
  <c r="F469" i="12"/>
  <c r="O468" i="12"/>
  <c r="N468" i="12"/>
  <c r="M468" i="12"/>
  <c r="L468" i="12"/>
  <c r="K468" i="12"/>
  <c r="F468" i="12"/>
  <c r="O467" i="12"/>
  <c r="N467" i="12"/>
  <c r="M467" i="12"/>
  <c r="L467" i="12"/>
  <c r="K467" i="12"/>
  <c r="F467" i="12"/>
  <c r="O466" i="12"/>
  <c r="N466" i="12"/>
  <c r="M466" i="12"/>
  <c r="L466" i="12"/>
  <c r="K466" i="12"/>
  <c r="F466" i="12"/>
  <c r="O465" i="12"/>
  <c r="N465" i="12"/>
  <c r="M465" i="12"/>
  <c r="L465" i="12"/>
  <c r="K465" i="12"/>
  <c r="F465" i="12"/>
  <c r="O464" i="12"/>
  <c r="N464" i="12"/>
  <c r="M464" i="12"/>
  <c r="L464" i="12"/>
  <c r="K464" i="12"/>
  <c r="F464" i="12"/>
  <c r="O463" i="12"/>
  <c r="N463" i="12"/>
  <c r="M463" i="12"/>
  <c r="L463" i="12"/>
  <c r="K463" i="12"/>
  <c r="F463" i="12"/>
  <c r="O462" i="12"/>
  <c r="N462" i="12"/>
  <c r="M462" i="12"/>
  <c r="L462" i="12"/>
  <c r="K462" i="12"/>
  <c r="F462" i="12"/>
  <c r="O461" i="12"/>
  <c r="N461" i="12"/>
  <c r="M461" i="12"/>
  <c r="L461" i="12"/>
  <c r="K461" i="12"/>
  <c r="F461" i="12"/>
  <c r="O460" i="12"/>
  <c r="N460" i="12"/>
  <c r="M460" i="12"/>
  <c r="L460" i="12"/>
  <c r="K460" i="12"/>
  <c r="F460" i="12"/>
  <c r="O459" i="12"/>
  <c r="N459" i="12"/>
  <c r="M459" i="12"/>
  <c r="L459" i="12"/>
  <c r="K459" i="12"/>
  <c r="F459" i="12"/>
  <c r="O458" i="12"/>
  <c r="N458" i="12"/>
  <c r="M458" i="12"/>
  <c r="L458" i="12"/>
  <c r="K458" i="12"/>
  <c r="F458" i="12"/>
  <c r="O457" i="12"/>
  <c r="N457" i="12"/>
  <c r="M457" i="12"/>
  <c r="L457" i="12"/>
  <c r="K457" i="12"/>
  <c r="F457" i="12"/>
  <c r="O456" i="12"/>
  <c r="N456" i="12"/>
  <c r="M456" i="12"/>
  <c r="L456" i="12"/>
  <c r="K456" i="12"/>
  <c r="F456" i="12"/>
  <c r="O455" i="12"/>
  <c r="N455" i="12"/>
  <c r="M455" i="12"/>
  <c r="L455" i="12"/>
  <c r="K455" i="12"/>
  <c r="F455" i="12"/>
  <c r="O454" i="12"/>
  <c r="N454" i="12"/>
  <c r="M454" i="12"/>
  <c r="L454" i="12"/>
  <c r="K454" i="12"/>
  <c r="F454" i="12"/>
  <c r="O453" i="12"/>
  <c r="N453" i="12"/>
  <c r="M453" i="12"/>
  <c r="L453" i="12"/>
  <c r="K453" i="12"/>
  <c r="F453" i="12"/>
  <c r="O452" i="12"/>
  <c r="N452" i="12"/>
  <c r="M452" i="12"/>
  <c r="L452" i="12"/>
  <c r="K452" i="12"/>
  <c r="F452" i="12"/>
  <c r="O451" i="12"/>
  <c r="N451" i="12"/>
  <c r="M451" i="12"/>
  <c r="L451" i="12"/>
  <c r="K451" i="12"/>
  <c r="F451" i="12"/>
  <c r="O450" i="12"/>
  <c r="N450" i="12"/>
  <c r="M450" i="12"/>
  <c r="L450" i="12"/>
  <c r="K450" i="12"/>
  <c r="F450" i="12"/>
  <c r="O449" i="12"/>
  <c r="N449" i="12"/>
  <c r="M449" i="12"/>
  <c r="L449" i="12"/>
  <c r="K449" i="12"/>
  <c r="F449" i="12"/>
  <c r="O448" i="12"/>
  <c r="N448" i="12"/>
  <c r="M448" i="12"/>
  <c r="L448" i="12"/>
  <c r="K448" i="12"/>
  <c r="F448" i="12"/>
  <c r="O447" i="12"/>
  <c r="N447" i="12"/>
  <c r="M447" i="12"/>
  <c r="L447" i="12"/>
  <c r="K447" i="12"/>
  <c r="F447" i="12"/>
  <c r="O446" i="12"/>
  <c r="N446" i="12"/>
  <c r="M446" i="12"/>
  <c r="L446" i="12"/>
  <c r="K446" i="12"/>
  <c r="F446" i="12"/>
  <c r="O445" i="12"/>
  <c r="N445" i="12"/>
  <c r="M445" i="12"/>
  <c r="L445" i="12"/>
  <c r="K445" i="12"/>
  <c r="F445" i="12"/>
  <c r="O444" i="12"/>
  <c r="N444" i="12"/>
  <c r="M444" i="12"/>
  <c r="L444" i="12"/>
  <c r="K444" i="12"/>
  <c r="F444" i="12"/>
  <c r="O443" i="12"/>
  <c r="N443" i="12"/>
  <c r="M443" i="12"/>
  <c r="L443" i="12"/>
  <c r="K443" i="12"/>
  <c r="F443" i="12"/>
  <c r="O442" i="12"/>
  <c r="N442" i="12"/>
  <c r="M442" i="12"/>
  <c r="L442" i="12"/>
  <c r="K442" i="12"/>
  <c r="F442" i="12"/>
  <c r="O441" i="12"/>
  <c r="N441" i="12"/>
  <c r="M441" i="12"/>
  <c r="L441" i="12"/>
  <c r="K441" i="12"/>
  <c r="F441" i="12"/>
  <c r="O440" i="12"/>
  <c r="N440" i="12"/>
  <c r="M440" i="12"/>
  <c r="L440" i="12"/>
  <c r="K440" i="12"/>
  <c r="F440" i="12"/>
  <c r="O439" i="12"/>
  <c r="N439" i="12"/>
  <c r="M439" i="12"/>
  <c r="L439" i="12"/>
  <c r="K439" i="12"/>
  <c r="F439" i="12"/>
  <c r="O438" i="12"/>
  <c r="N438" i="12"/>
  <c r="M438" i="12"/>
  <c r="L438" i="12"/>
  <c r="K438" i="12"/>
  <c r="F438" i="12"/>
  <c r="O437" i="12"/>
  <c r="N437" i="12"/>
  <c r="M437" i="12"/>
  <c r="L437" i="12"/>
  <c r="K437" i="12"/>
  <c r="F437" i="12"/>
  <c r="O436" i="12"/>
  <c r="N436" i="12"/>
  <c r="M436" i="12"/>
  <c r="L436" i="12"/>
  <c r="K436" i="12"/>
  <c r="F436" i="12"/>
  <c r="O435" i="12"/>
  <c r="N435" i="12"/>
  <c r="M435" i="12"/>
  <c r="L435" i="12"/>
  <c r="K435" i="12"/>
  <c r="F435" i="12"/>
  <c r="O434" i="12"/>
  <c r="N434" i="12"/>
  <c r="M434" i="12"/>
  <c r="L434" i="12"/>
  <c r="K434" i="12"/>
  <c r="F434" i="12"/>
  <c r="O433" i="12"/>
  <c r="N433" i="12"/>
  <c r="M433" i="12"/>
  <c r="L433" i="12"/>
  <c r="K433" i="12"/>
  <c r="F433" i="12"/>
  <c r="O432" i="12"/>
  <c r="N432" i="12"/>
  <c r="M432" i="12"/>
  <c r="L432" i="12"/>
  <c r="K432" i="12"/>
  <c r="F432" i="12"/>
  <c r="O431" i="12"/>
  <c r="N431" i="12"/>
  <c r="M431" i="12"/>
  <c r="L431" i="12"/>
  <c r="K431" i="12"/>
  <c r="F431" i="12"/>
  <c r="O430" i="12"/>
  <c r="N430" i="12"/>
  <c r="M430" i="12"/>
  <c r="L430" i="12"/>
  <c r="K430" i="12"/>
  <c r="F430" i="12"/>
  <c r="O429" i="12"/>
  <c r="N429" i="12"/>
  <c r="M429" i="12"/>
  <c r="L429" i="12"/>
  <c r="K429" i="12"/>
  <c r="F429" i="12"/>
  <c r="O428" i="12"/>
  <c r="N428" i="12"/>
  <c r="M428" i="12"/>
  <c r="L428" i="12"/>
  <c r="K428" i="12"/>
  <c r="F428" i="12"/>
  <c r="O427" i="12"/>
  <c r="N427" i="12"/>
  <c r="M427" i="12"/>
  <c r="L427" i="12"/>
  <c r="K427" i="12"/>
  <c r="F427" i="12"/>
  <c r="O426" i="12"/>
  <c r="N426" i="12"/>
  <c r="M426" i="12"/>
  <c r="L426" i="12"/>
  <c r="K426" i="12"/>
  <c r="F426" i="12"/>
  <c r="O425" i="12"/>
  <c r="N425" i="12"/>
  <c r="M425" i="12"/>
  <c r="L425" i="12"/>
  <c r="K425" i="12"/>
  <c r="F425" i="12"/>
  <c r="O424" i="12"/>
  <c r="N424" i="12"/>
  <c r="M424" i="12"/>
  <c r="L424" i="12"/>
  <c r="K424" i="12"/>
  <c r="F424" i="12"/>
  <c r="O423" i="12"/>
  <c r="N423" i="12"/>
  <c r="M423" i="12"/>
  <c r="L423" i="12"/>
  <c r="K423" i="12"/>
  <c r="F423" i="12"/>
  <c r="O422" i="12"/>
  <c r="N422" i="12"/>
  <c r="M422" i="12"/>
  <c r="L422" i="12"/>
  <c r="K422" i="12"/>
  <c r="F422" i="12"/>
  <c r="O421" i="12"/>
  <c r="N421" i="12"/>
  <c r="M421" i="12"/>
  <c r="L421" i="12"/>
  <c r="K421" i="12"/>
  <c r="F421" i="12"/>
  <c r="O420" i="12"/>
  <c r="N420" i="12"/>
  <c r="M420" i="12"/>
  <c r="L420" i="12"/>
  <c r="K420" i="12"/>
  <c r="F420" i="12"/>
  <c r="O419" i="12"/>
  <c r="N419" i="12"/>
  <c r="M419" i="12"/>
  <c r="L419" i="12"/>
  <c r="K419" i="12"/>
  <c r="F419" i="12"/>
  <c r="O418" i="12"/>
  <c r="N418" i="12"/>
  <c r="M418" i="12"/>
  <c r="L418" i="12"/>
  <c r="K418" i="12"/>
  <c r="F418" i="12"/>
  <c r="O417" i="12"/>
  <c r="N417" i="12"/>
  <c r="M417" i="12"/>
  <c r="L417" i="12"/>
  <c r="K417" i="12"/>
  <c r="F417" i="12"/>
  <c r="O416" i="12"/>
  <c r="N416" i="12"/>
  <c r="M416" i="12"/>
  <c r="L416" i="12"/>
  <c r="K416" i="12"/>
  <c r="F416" i="12"/>
  <c r="O415" i="12"/>
  <c r="N415" i="12"/>
  <c r="M415" i="12"/>
  <c r="L415" i="12"/>
  <c r="K415" i="12"/>
  <c r="F415" i="12"/>
  <c r="O414" i="12"/>
  <c r="N414" i="12"/>
  <c r="M414" i="12"/>
  <c r="L414" i="12"/>
  <c r="K414" i="12"/>
  <c r="F414" i="12"/>
  <c r="O413" i="12"/>
  <c r="N413" i="12"/>
  <c r="M413" i="12"/>
  <c r="L413" i="12"/>
  <c r="K413" i="12"/>
  <c r="F413" i="12"/>
  <c r="O412" i="12"/>
  <c r="N412" i="12"/>
  <c r="M412" i="12"/>
  <c r="L412" i="12"/>
  <c r="K412" i="12"/>
  <c r="F412" i="12"/>
  <c r="O411" i="12"/>
  <c r="N411" i="12"/>
  <c r="M411" i="12"/>
  <c r="L411" i="12"/>
  <c r="K411" i="12"/>
  <c r="F411" i="12"/>
  <c r="O410" i="12"/>
  <c r="N410" i="12"/>
  <c r="M410" i="12"/>
  <c r="L410" i="12"/>
  <c r="K410" i="12"/>
  <c r="F410" i="12"/>
  <c r="O409" i="12"/>
  <c r="N409" i="12"/>
  <c r="M409" i="12"/>
  <c r="L409" i="12"/>
  <c r="K409" i="12"/>
  <c r="F409" i="12"/>
  <c r="O408" i="12"/>
  <c r="N408" i="12"/>
  <c r="M408" i="12"/>
  <c r="L408" i="12"/>
  <c r="K408" i="12"/>
  <c r="F408" i="12"/>
  <c r="O407" i="12"/>
  <c r="N407" i="12"/>
  <c r="M407" i="12"/>
  <c r="L407" i="12"/>
  <c r="K407" i="12"/>
  <c r="F407" i="12"/>
  <c r="O406" i="12"/>
  <c r="N406" i="12"/>
  <c r="M406" i="12"/>
  <c r="L406" i="12"/>
  <c r="K406" i="12"/>
  <c r="F406" i="12"/>
  <c r="O405" i="12"/>
  <c r="N405" i="12"/>
  <c r="M405" i="12"/>
  <c r="L405" i="12"/>
  <c r="K405" i="12"/>
  <c r="F405" i="12"/>
  <c r="O404" i="12"/>
  <c r="N404" i="12"/>
  <c r="M404" i="12"/>
  <c r="L404" i="12"/>
  <c r="K404" i="12"/>
  <c r="F404" i="12"/>
  <c r="O403" i="12"/>
  <c r="N403" i="12"/>
  <c r="M403" i="12"/>
  <c r="L403" i="12"/>
  <c r="K403" i="12"/>
  <c r="F403" i="12"/>
  <c r="O402" i="12"/>
  <c r="N402" i="12"/>
  <c r="M402" i="12"/>
  <c r="L402" i="12"/>
  <c r="K402" i="12"/>
  <c r="F402" i="12"/>
  <c r="O401" i="12"/>
  <c r="N401" i="12"/>
  <c r="M401" i="12"/>
  <c r="L401" i="12"/>
  <c r="K401" i="12"/>
  <c r="F401" i="12"/>
  <c r="O400" i="12"/>
  <c r="N400" i="12"/>
  <c r="M400" i="12"/>
  <c r="L400" i="12"/>
  <c r="K400" i="12"/>
  <c r="F400" i="12"/>
  <c r="O399" i="12"/>
  <c r="N399" i="12"/>
  <c r="M399" i="12"/>
  <c r="L399" i="12"/>
  <c r="K399" i="12"/>
  <c r="F399" i="12"/>
  <c r="O398" i="12"/>
  <c r="N398" i="12"/>
  <c r="M398" i="12"/>
  <c r="L398" i="12"/>
  <c r="K398" i="12"/>
  <c r="F398" i="12"/>
  <c r="O397" i="12"/>
  <c r="N397" i="12"/>
  <c r="M397" i="12"/>
  <c r="L397" i="12"/>
  <c r="K397" i="12"/>
  <c r="F397" i="12"/>
  <c r="O396" i="12"/>
  <c r="N396" i="12"/>
  <c r="M396" i="12"/>
  <c r="L396" i="12"/>
  <c r="K396" i="12"/>
  <c r="F396" i="12"/>
  <c r="O395" i="12"/>
  <c r="N395" i="12"/>
  <c r="M395" i="12"/>
  <c r="L395" i="12"/>
  <c r="K395" i="12"/>
  <c r="F395" i="12"/>
  <c r="O394" i="12"/>
  <c r="N394" i="12"/>
  <c r="M394" i="12"/>
  <c r="L394" i="12"/>
  <c r="K394" i="12"/>
  <c r="F394" i="12"/>
  <c r="O393" i="12"/>
  <c r="N393" i="12"/>
  <c r="M393" i="12"/>
  <c r="L393" i="12"/>
  <c r="K393" i="12"/>
  <c r="F393" i="12"/>
  <c r="O392" i="12"/>
  <c r="N392" i="12"/>
  <c r="M392" i="12"/>
  <c r="L392" i="12"/>
  <c r="K392" i="12"/>
  <c r="F392" i="12"/>
  <c r="O391" i="12"/>
  <c r="N391" i="12"/>
  <c r="M391" i="12"/>
  <c r="L391" i="12"/>
  <c r="K391" i="12"/>
  <c r="F391" i="12"/>
  <c r="O390" i="12"/>
  <c r="N390" i="12"/>
  <c r="M390" i="12"/>
  <c r="L390" i="12"/>
  <c r="K390" i="12"/>
  <c r="F390" i="12"/>
  <c r="O389" i="12"/>
  <c r="N389" i="12"/>
  <c r="M389" i="12"/>
  <c r="L389" i="12"/>
  <c r="K389" i="12"/>
  <c r="F389" i="12"/>
  <c r="O388" i="12"/>
  <c r="N388" i="12"/>
  <c r="M388" i="12"/>
  <c r="L388" i="12"/>
  <c r="K388" i="12"/>
  <c r="F388" i="12"/>
  <c r="O387" i="12"/>
  <c r="N387" i="12"/>
  <c r="M387" i="12"/>
  <c r="L387" i="12"/>
  <c r="K387" i="12"/>
  <c r="F387" i="12"/>
  <c r="O386" i="12"/>
  <c r="N386" i="12"/>
  <c r="M386" i="12"/>
  <c r="L386" i="12"/>
  <c r="K386" i="12"/>
  <c r="F386" i="12"/>
  <c r="O385" i="12"/>
  <c r="N385" i="12"/>
  <c r="M385" i="12"/>
  <c r="L385" i="12"/>
  <c r="K385" i="12"/>
  <c r="F385" i="12"/>
  <c r="O384" i="12"/>
  <c r="N384" i="12"/>
  <c r="M384" i="12"/>
  <c r="L384" i="12"/>
  <c r="K384" i="12"/>
  <c r="F384" i="12"/>
  <c r="O383" i="12"/>
  <c r="N383" i="12"/>
  <c r="M383" i="12"/>
  <c r="L383" i="12"/>
  <c r="K383" i="12"/>
  <c r="F383" i="12"/>
  <c r="O382" i="12"/>
  <c r="N382" i="12"/>
  <c r="M382" i="12"/>
  <c r="L382" i="12"/>
  <c r="K382" i="12"/>
  <c r="F382" i="12"/>
  <c r="O381" i="12"/>
  <c r="N381" i="12"/>
  <c r="M381" i="12"/>
  <c r="L381" i="12"/>
  <c r="K381" i="12"/>
  <c r="F381" i="12"/>
  <c r="O380" i="12"/>
  <c r="N380" i="12"/>
  <c r="M380" i="12"/>
  <c r="L380" i="12"/>
  <c r="K380" i="12"/>
  <c r="F380" i="12"/>
  <c r="O379" i="12"/>
  <c r="N379" i="12"/>
  <c r="M379" i="12"/>
  <c r="L379" i="12"/>
  <c r="K379" i="12"/>
  <c r="F379" i="12"/>
  <c r="O378" i="12"/>
  <c r="N378" i="12"/>
  <c r="M378" i="12"/>
  <c r="L378" i="12"/>
  <c r="K378" i="12"/>
  <c r="F378" i="12"/>
  <c r="O377" i="12"/>
  <c r="N377" i="12"/>
  <c r="M377" i="12"/>
  <c r="L377" i="12"/>
  <c r="K377" i="12"/>
  <c r="F377" i="12"/>
  <c r="O376" i="12"/>
  <c r="N376" i="12"/>
  <c r="M376" i="12"/>
  <c r="L376" i="12"/>
  <c r="K376" i="12"/>
  <c r="F376" i="12"/>
  <c r="O375" i="12"/>
  <c r="N375" i="12"/>
  <c r="M375" i="12"/>
  <c r="L375" i="12"/>
  <c r="K375" i="12"/>
  <c r="F375" i="12"/>
  <c r="O374" i="12"/>
  <c r="N374" i="12"/>
  <c r="M374" i="12"/>
  <c r="L374" i="12"/>
  <c r="K374" i="12"/>
  <c r="F374" i="12"/>
  <c r="O373" i="12"/>
  <c r="N373" i="12"/>
  <c r="M373" i="12"/>
  <c r="L373" i="12"/>
  <c r="K373" i="12"/>
  <c r="F373" i="12"/>
  <c r="O372" i="12"/>
  <c r="N372" i="12"/>
  <c r="M372" i="12"/>
  <c r="L372" i="12"/>
  <c r="K372" i="12"/>
  <c r="F372" i="12"/>
  <c r="O371" i="12"/>
  <c r="N371" i="12"/>
  <c r="M371" i="12"/>
  <c r="L371" i="12"/>
  <c r="K371" i="12"/>
  <c r="F371" i="12"/>
  <c r="O370" i="12"/>
  <c r="N370" i="12"/>
  <c r="M370" i="12"/>
  <c r="L370" i="12"/>
  <c r="K370" i="12"/>
  <c r="F370" i="12"/>
  <c r="O369" i="12"/>
  <c r="N369" i="12"/>
  <c r="M369" i="12"/>
  <c r="L369" i="12"/>
  <c r="K369" i="12"/>
  <c r="F369" i="12"/>
  <c r="O368" i="12"/>
  <c r="N368" i="12"/>
  <c r="M368" i="12"/>
  <c r="L368" i="12"/>
  <c r="K368" i="12"/>
  <c r="F368" i="12"/>
  <c r="O367" i="12"/>
  <c r="N367" i="12"/>
  <c r="M367" i="12"/>
  <c r="L367" i="12"/>
  <c r="K367" i="12"/>
  <c r="F367" i="12"/>
  <c r="O366" i="12"/>
  <c r="N366" i="12"/>
  <c r="M366" i="12"/>
  <c r="L366" i="12"/>
  <c r="K366" i="12"/>
  <c r="F366" i="12"/>
  <c r="O365" i="12"/>
  <c r="N365" i="12"/>
  <c r="M365" i="12"/>
  <c r="L365" i="12"/>
  <c r="K365" i="12"/>
  <c r="F365" i="12"/>
  <c r="O364" i="12"/>
  <c r="N364" i="12"/>
  <c r="M364" i="12"/>
  <c r="L364" i="12"/>
  <c r="K364" i="12"/>
  <c r="F364" i="12"/>
  <c r="O363" i="12"/>
  <c r="N363" i="12"/>
  <c r="M363" i="12"/>
  <c r="L363" i="12"/>
  <c r="K363" i="12"/>
  <c r="F363" i="12"/>
  <c r="O362" i="12"/>
  <c r="N362" i="12"/>
  <c r="M362" i="12"/>
  <c r="L362" i="12"/>
  <c r="K362" i="12"/>
  <c r="F362" i="12"/>
  <c r="O361" i="12"/>
  <c r="N361" i="12"/>
  <c r="M361" i="12"/>
  <c r="L361" i="12"/>
  <c r="K361" i="12"/>
  <c r="F361" i="12"/>
  <c r="O360" i="12"/>
  <c r="N360" i="12"/>
  <c r="M360" i="12"/>
  <c r="L360" i="12"/>
  <c r="K360" i="12"/>
  <c r="F360" i="12"/>
  <c r="O359" i="12"/>
  <c r="N359" i="12"/>
  <c r="M359" i="12"/>
  <c r="L359" i="12"/>
  <c r="K359" i="12"/>
  <c r="F359" i="12"/>
  <c r="O358" i="12"/>
  <c r="N358" i="12"/>
  <c r="M358" i="12"/>
  <c r="L358" i="12"/>
  <c r="K358" i="12"/>
  <c r="F358" i="12"/>
  <c r="O357" i="12"/>
  <c r="N357" i="12"/>
  <c r="M357" i="12"/>
  <c r="L357" i="12"/>
  <c r="K357" i="12"/>
  <c r="F357" i="12"/>
  <c r="O356" i="12"/>
  <c r="N356" i="12"/>
  <c r="M356" i="12"/>
  <c r="L356" i="12"/>
  <c r="K356" i="12"/>
  <c r="F356" i="12"/>
  <c r="O355" i="12"/>
  <c r="N355" i="12"/>
  <c r="M355" i="12"/>
  <c r="L355" i="12"/>
  <c r="K355" i="12"/>
  <c r="F355" i="12"/>
  <c r="O354" i="12"/>
  <c r="N354" i="12"/>
  <c r="M354" i="12"/>
  <c r="L354" i="12"/>
  <c r="K354" i="12"/>
  <c r="F354" i="12"/>
  <c r="O353" i="12"/>
  <c r="N353" i="12"/>
  <c r="M353" i="12"/>
  <c r="L353" i="12"/>
  <c r="K353" i="12"/>
  <c r="F353" i="12"/>
  <c r="O352" i="12"/>
  <c r="N352" i="12"/>
  <c r="M352" i="12"/>
  <c r="L352" i="12"/>
  <c r="K352" i="12"/>
  <c r="F352" i="12"/>
  <c r="O351" i="12"/>
  <c r="N351" i="12"/>
  <c r="M351" i="12"/>
  <c r="L351" i="12"/>
  <c r="K351" i="12"/>
  <c r="F351" i="12"/>
  <c r="O350" i="12"/>
  <c r="N350" i="12"/>
  <c r="M350" i="12"/>
  <c r="L350" i="12"/>
  <c r="K350" i="12"/>
  <c r="F350" i="12"/>
  <c r="O349" i="12"/>
  <c r="N349" i="12"/>
  <c r="M349" i="12"/>
  <c r="L349" i="12"/>
  <c r="K349" i="12"/>
  <c r="F349" i="12"/>
  <c r="O348" i="12"/>
  <c r="N348" i="12"/>
  <c r="M348" i="12"/>
  <c r="L348" i="12"/>
  <c r="K348" i="12"/>
  <c r="F348" i="12"/>
  <c r="O347" i="12"/>
  <c r="N347" i="12"/>
  <c r="M347" i="12"/>
  <c r="L347" i="12"/>
  <c r="K347" i="12"/>
  <c r="F347" i="12"/>
  <c r="O346" i="12"/>
  <c r="N346" i="12"/>
  <c r="M346" i="12"/>
  <c r="L346" i="12"/>
  <c r="K346" i="12"/>
  <c r="F346" i="12"/>
  <c r="O345" i="12"/>
  <c r="N345" i="12"/>
  <c r="M345" i="12"/>
  <c r="L345" i="12"/>
  <c r="K345" i="12"/>
  <c r="F345" i="12"/>
  <c r="O344" i="12"/>
  <c r="N344" i="12"/>
  <c r="M344" i="12"/>
  <c r="L344" i="12"/>
  <c r="K344" i="12"/>
  <c r="F344" i="12"/>
  <c r="O343" i="12"/>
  <c r="N343" i="12"/>
  <c r="M343" i="12"/>
  <c r="L343" i="12"/>
  <c r="K343" i="12"/>
  <c r="F343" i="12"/>
  <c r="O342" i="12"/>
  <c r="N342" i="12"/>
  <c r="M342" i="12"/>
  <c r="L342" i="12"/>
  <c r="K342" i="12"/>
  <c r="F342" i="12"/>
  <c r="O341" i="12"/>
  <c r="N341" i="12"/>
  <c r="M341" i="12"/>
  <c r="L341" i="12"/>
  <c r="K341" i="12"/>
  <c r="F341" i="12"/>
  <c r="O340" i="12"/>
  <c r="N340" i="12"/>
  <c r="M340" i="12"/>
  <c r="L340" i="12"/>
  <c r="K340" i="12"/>
  <c r="F340" i="12"/>
  <c r="O339" i="12"/>
  <c r="N339" i="12"/>
  <c r="M339" i="12"/>
  <c r="L339" i="12"/>
  <c r="K339" i="12"/>
  <c r="F339" i="12"/>
  <c r="O338" i="12"/>
  <c r="N338" i="12"/>
  <c r="M338" i="12"/>
  <c r="L338" i="12"/>
  <c r="K338" i="12"/>
  <c r="F338" i="12"/>
  <c r="O337" i="12"/>
  <c r="N337" i="12"/>
  <c r="M337" i="12"/>
  <c r="L337" i="12"/>
  <c r="K337" i="12"/>
  <c r="F337" i="12"/>
  <c r="O336" i="12"/>
  <c r="N336" i="12"/>
  <c r="M336" i="12"/>
  <c r="L336" i="12"/>
  <c r="K336" i="12"/>
  <c r="F336" i="12"/>
  <c r="O335" i="12"/>
  <c r="N335" i="12"/>
  <c r="M335" i="12"/>
  <c r="L335" i="12"/>
  <c r="K335" i="12"/>
  <c r="F335" i="12"/>
  <c r="O334" i="12"/>
  <c r="N334" i="12"/>
  <c r="M334" i="12"/>
  <c r="L334" i="12"/>
  <c r="K334" i="12"/>
  <c r="F334" i="12"/>
  <c r="O333" i="12"/>
  <c r="N333" i="12"/>
  <c r="M333" i="12"/>
  <c r="L333" i="12"/>
  <c r="K333" i="12"/>
  <c r="F333" i="12"/>
  <c r="O332" i="12"/>
  <c r="N332" i="12"/>
  <c r="M332" i="12"/>
  <c r="L332" i="12"/>
  <c r="K332" i="12"/>
  <c r="F332" i="12"/>
  <c r="O331" i="12"/>
  <c r="N331" i="12"/>
  <c r="M331" i="12"/>
  <c r="L331" i="12"/>
  <c r="K331" i="12"/>
  <c r="F331" i="12"/>
  <c r="O330" i="12"/>
  <c r="N330" i="12"/>
  <c r="M330" i="12"/>
  <c r="L330" i="12"/>
  <c r="K330" i="12"/>
  <c r="F330" i="12"/>
  <c r="O329" i="12"/>
  <c r="N329" i="12"/>
  <c r="M329" i="12"/>
  <c r="L329" i="12"/>
  <c r="K329" i="12"/>
  <c r="F329" i="12"/>
  <c r="O328" i="12"/>
  <c r="N328" i="12"/>
  <c r="M328" i="12"/>
  <c r="L328" i="12"/>
  <c r="K328" i="12"/>
  <c r="F328" i="12"/>
  <c r="O327" i="12"/>
  <c r="N327" i="12"/>
  <c r="M327" i="12"/>
  <c r="L327" i="12"/>
  <c r="K327" i="12"/>
  <c r="F327" i="12"/>
  <c r="O326" i="12"/>
  <c r="N326" i="12"/>
  <c r="M326" i="12"/>
  <c r="L326" i="12"/>
  <c r="K326" i="12"/>
  <c r="F326" i="12"/>
  <c r="O325" i="12"/>
  <c r="N325" i="12"/>
  <c r="M325" i="12"/>
  <c r="L325" i="12"/>
  <c r="K325" i="12"/>
  <c r="F325" i="12"/>
  <c r="O324" i="12"/>
  <c r="N324" i="12"/>
  <c r="M324" i="12"/>
  <c r="L324" i="12"/>
  <c r="K324" i="12"/>
  <c r="F324" i="12"/>
  <c r="O323" i="12"/>
  <c r="N323" i="12"/>
  <c r="M323" i="12"/>
  <c r="L323" i="12"/>
  <c r="K323" i="12"/>
  <c r="F323" i="12"/>
  <c r="O322" i="12"/>
  <c r="N322" i="12"/>
  <c r="M322" i="12"/>
  <c r="L322" i="12"/>
  <c r="K322" i="12"/>
  <c r="F322" i="12"/>
  <c r="O321" i="12"/>
  <c r="N321" i="12"/>
  <c r="M321" i="12"/>
  <c r="L321" i="12"/>
  <c r="K321" i="12"/>
  <c r="F321" i="12"/>
  <c r="O320" i="12"/>
  <c r="N320" i="12"/>
  <c r="M320" i="12"/>
  <c r="L320" i="12"/>
  <c r="K320" i="12"/>
  <c r="F320" i="12"/>
  <c r="O319" i="12"/>
  <c r="N319" i="12"/>
  <c r="M319" i="12"/>
  <c r="L319" i="12"/>
  <c r="K319" i="12"/>
  <c r="F319" i="12"/>
  <c r="O318" i="12"/>
  <c r="N318" i="12"/>
  <c r="M318" i="12"/>
  <c r="L318" i="12"/>
  <c r="K318" i="12"/>
  <c r="F318" i="12"/>
  <c r="O317" i="12"/>
  <c r="N317" i="12"/>
  <c r="M317" i="12"/>
  <c r="L317" i="12"/>
  <c r="K317" i="12"/>
  <c r="F317" i="12"/>
  <c r="O316" i="12"/>
  <c r="N316" i="12"/>
  <c r="M316" i="12"/>
  <c r="L316" i="12"/>
  <c r="K316" i="12"/>
  <c r="F316" i="12"/>
  <c r="O315" i="12"/>
  <c r="N315" i="12"/>
  <c r="M315" i="12"/>
  <c r="L315" i="12"/>
  <c r="K315" i="12"/>
  <c r="F315" i="12"/>
  <c r="O314" i="12"/>
  <c r="N314" i="12"/>
  <c r="M314" i="12"/>
  <c r="L314" i="12"/>
  <c r="K314" i="12"/>
  <c r="F314" i="12"/>
  <c r="O313" i="12"/>
  <c r="N313" i="12"/>
  <c r="M313" i="12"/>
  <c r="L313" i="12"/>
  <c r="K313" i="12"/>
  <c r="F313" i="12"/>
  <c r="O312" i="12"/>
  <c r="N312" i="12"/>
  <c r="M312" i="12"/>
  <c r="L312" i="12"/>
  <c r="K312" i="12"/>
  <c r="F312" i="12"/>
  <c r="O311" i="12"/>
  <c r="N311" i="12"/>
  <c r="M311" i="12"/>
  <c r="L311" i="12"/>
  <c r="K311" i="12"/>
  <c r="F311" i="12"/>
  <c r="O310" i="12"/>
  <c r="N310" i="12"/>
  <c r="M310" i="12"/>
  <c r="L310" i="12"/>
  <c r="K310" i="12"/>
  <c r="F310" i="12"/>
  <c r="O309" i="12"/>
  <c r="N309" i="12"/>
  <c r="M309" i="12"/>
  <c r="L309" i="12"/>
  <c r="K309" i="12"/>
  <c r="F309" i="12"/>
  <c r="O308" i="12"/>
  <c r="N308" i="12"/>
  <c r="M308" i="12"/>
  <c r="L308" i="12"/>
  <c r="K308" i="12"/>
  <c r="F308" i="12"/>
  <c r="O307" i="12"/>
  <c r="N307" i="12"/>
  <c r="M307" i="12"/>
  <c r="L307" i="12"/>
  <c r="K307" i="12"/>
  <c r="F307" i="12"/>
  <c r="O306" i="12"/>
  <c r="N306" i="12"/>
  <c r="M306" i="12"/>
  <c r="L306" i="12"/>
  <c r="K306" i="12"/>
  <c r="F306" i="12"/>
  <c r="O305" i="12"/>
  <c r="N305" i="12"/>
  <c r="M305" i="12"/>
  <c r="L305" i="12"/>
  <c r="K305" i="12"/>
  <c r="F305" i="12"/>
  <c r="O304" i="12"/>
  <c r="N304" i="12"/>
  <c r="M304" i="12"/>
  <c r="L304" i="12"/>
  <c r="K304" i="12"/>
  <c r="F304" i="12"/>
  <c r="O303" i="12"/>
  <c r="N303" i="12"/>
  <c r="M303" i="12"/>
  <c r="L303" i="12"/>
  <c r="K303" i="12"/>
  <c r="F303" i="12"/>
  <c r="O302" i="12"/>
  <c r="N302" i="12"/>
  <c r="M302" i="12"/>
  <c r="L302" i="12"/>
  <c r="K302" i="12"/>
  <c r="F302" i="12"/>
  <c r="O301" i="12"/>
  <c r="N301" i="12"/>
  <c r="M301" i="12"/>
  <c r="L301" i="12"/>
  <c r="K301" i="12"/>
  <c r="F301" i="12"/>
  <c r="O300" i="12"/>
  <c r="N300" i="12"/>
  <c r="M300" i="12"/>
  <c r="L300" i="12"/>
  <c r="K300" i="12"/>
  <c r="F300" i="12"/>
  <c r="O299" i="12"/>
  <c r="N299" i="12"/>
  <c r="M299" i="12"/>
  <c r="L299" i="12"/>
  <c r="K299" i="12"/>
  <c r="F299" i="12"/>
  <c r="O298" i="12"/>
  <c r="N298" i="12"/>
  <c r="M298" i="12"/>
  <c r="L298" i="12"/>
  <c r="K298" i="12"/>
  <c r="F298" i="12"/>
  <c r="O297" i="12"/>
  <c r="N297" i="12"/>
  <c r="M297" i="12"/>
  <c r="L297" i="12"/>
  <c r="K297" i="12"/>
  <c r="F297" i="12"/>
  <c r="O296" i="12"/>
  <c r="N296" i="12"/>
  <c r="M296" i="12"/>
  <c r="L296" i="12"/>
  <c r="K296" i="12"/>
  <c r="F296" i="12"/>
  <c r="O295" i="12"/>
  <c r="N295" i="12"/>
  <c r="M295" i="12"/>
  <c r="L295" i="12"/>
  <c r="K295" i="12"/>
  <c r="F295" i="12"/>
  <c r="O294" i="12"/>
  <c r="N294" i="12"/>
  <c r="M294" i="12"/>
  <c r="L294" i="12"/>
  <c r="K294" i="12"/>
  <c r="F294" i="12"/>
  <c r="O293" i="12"/>
  <c r="N293" i="12"/>
  <c r="M293" i="12"/>
  <c r="L293" i="12"/>
  <c r="K293" i="12"/>
  <c r="F293" i="12"/>
  <c r="O292" i="12"/>
  <c r="N292" i="12"/>
  <c r="M292" i="12"/>
  <c r="L292" i="12"/>
  <c r="K292" i="12"/>
  <c r="F292" i="12"/>
  <c r="O291" i="12"/>
  <c r="N291" i="12"/>
  <c r="M291" i="12"/>
  <c r="L291" i="12"/>
  <c r="K291" i="12"/>
  <c r="F291" i="12"/>
  <c r="O290" i="12"/>
  <c r="N290" i="12"/>
  <c r="M290" i="12"/>
  <c r="L290" i="12"/>
  <c r="K290" i="12"/>
  <c r="F290" i="12"/>
  <c r="O289" i="12"/>
  <c r="N289" i="12"/>
  <c r="M289" i="12"/>
  <c r="L289" i="12"/>
  <c r="K289" i="12"/>
  <c r="F289" i="12"/>
  <c r="O288" i="12"/>
  <c r="N288" i="12"/>
  <c r="M288" i="12"/>
  <c r="L288" i="12"/>
  <c r="K288" i="12"/>
  <c r="F288" i="12"/>
  <c r="O287" i="12"/>
  <c r="N287" i="12"/>
  <c r="M287" i="12"/>
  <c r="L287" i="12"/>
  <c r="K287" i="12"/>
  <c r="F287" i="12"/>
  <c r="O286" i="12"/>
  <c r="N286" i="12"/>
  <c r="M286" i="12"/>
  <c r="L286" i="12"/>
  <c r="K286" i="12"/>
  <c r="F286" i="12"/>
  <c r="O285" i="12"/>
  <c r="N285" i="12"/>
  <c r="M285" i="12"/>
  <c r="L285" i="12"/>
  <c r="K285" i="12"/>
  <c r="F285" i="12"/>
  <c r="O284" i="12"/>
  <c r="N284" i="12"/>
  <c r="M284" i="12"/>
  <c r="L284" i="12"/>
  <c r="K284" i="12"/>
  <c r="F284" i="12"/>
  <c r="O283" i="12"/>
  <c r="N283" i="12"/>
  <c r="M283" i="12"/>
  <c r="L283" i="12"/>
  <c r="K283" i="12"/>
  <c r="F283" i="12"/>
  <c r="O282" i="12"/>
  <c r="N282" i="12"/>
  <c r="M282" i="12"/>
  <c r="L282" i="12"/>
  <c r="K282" i="12"/>
  <c r="F282" i="12"/>
  <c r="O281" i="12"/>
  <c r="N281" i="12"/>
  <c r="M281" i="12"/>
  <c r="L281" i="12"/>
  <c r="K281" i="12"/>
  <c r="F281" i="12"/>
  <c r="O280" i="12"/>
  <c r="N280" i="12"/>
  <c r="M280" i="12"/>
  <c r="L280" i="12"/>
  <c r="K280" i="12"/>
  <c r="F280" i="12"/>
  <c r="O279" i="12"/>
  <c r="N279" i="12"/>
  <c r="M279" i="12"/>
  <c r="L279" i="12"/>
  <c r="K279" i="12"/>
  <c r="F279" i="12"/>
  <c r="O278" i="12"/>
  <c r="N278" i="12"/>
  <c r="M278" i="12"/>
  <c r="L278" i="12"/>
  <c r="K278" i="12"/>
  <c r="F278" i="12"/>
  <c r="O277" i="12"/>
  <c r="N277" i="12"/>
  <c r="M277" i="12"/>
  <c r="L277" i="12"/>
  <c r="K277" i="12"/>
  <c r="F277" i="12"/>
  <c r="O276" i="12"/>
  <c r="N276" i="12"/>
  <c r="M276" i="12"/>
  <c r="L276" i="12"/>
  <c r="K276" i="12"/>
  <c r="F276" i="12"/>
  <c r="O275" i="12"/>
  <c r="N275" i="12"/>
  <c r="M275" i="12"/>
  <c r="L275" i="12"/>
  <c r="K275" i="12"/>
  <c r="F275" i="12"/>
  <c r="O274" i="12"/>
  <c r="N274" i="12"/>
  <c r="M274" i="12"/>
  <c r="L274" i="12"/>
  <c r="K274" i="12"/>
  <c r="F274" i="12"/>
  <c r="O273" i="12"/>
  <c r="N273" i="12"/>
  <c r="M273" i="12"/>
  <c r="L273" i="12"/>
  <c r="K273" i="12"/>
  <c r="F273" i="12"/>
  <c r="O272" i="12"/>
  <c r="N272" i="12"/>
  <c r="M272" i="12"/>
  <c r="L272" i="12"/>
  <c r="K272" i="12"/>
  <c r="F272" i="12"/>
  <c r="O271" i="12"/>
  <c r="N271" i="12"/>
  <c r="M271" i="12"/>
  <c r="L271" i="12"/>
  <c r="K271" i="12"/>
  <c r="F271" i="12"/>
  <c r="O270" i="12"/>
  <c r="N270" i="12"/>
  <c r="M270" i="12"/>
  <c r="L270" i="12"/>
  <c r="K270" i="12"/>
  <c r="F270" i="12"/>
  <c r="O269" i="12"/>
  <c r="N269" i="12"/>
  <c r="M269" i="12"/>
  <c r="L269" i="12"/>
  <c r="K269" i="12"/>
  <c r="F269" i="12"/>
  <c r="O268" i="12"/>
  <c r="N268" i="12"/>
  <c r="M268" i="12"/>
  <c r="L268" i="12"/>
  <c r="K268" i="12"/>
  <c r="F268" i="12"/>
  <c r="O267" i="12"/>
  <c r="N267" i="12"/>
  <c r="M267" i="12"/>
  <c r="L267" i="12"/>
  <c r="K267" i="12"/>
  <c r="F267" i="12"/>
  <c r="O266" i="12"/>
  <c r="N266" i="12"/>
  <c r="M266" i="12"/>
  <c r="L266" i="12"/>
  <c r="K266" i="12"/>
  <c r="F266" i="12"/>
  <c r="O265" i="12"/>
  <c r="N265" i="12"/>
  <c r="M265" i="12"/>
  <c r="L265" i="12"/>
  <c r="K265" i="12"/>
  <c r="F265" i="12"/>
  <c r="O264" i="12"/>
  <c r="N264" i="12"/>
  <c r="M264" i="12"/>
  <c r="L264" i="12"/>
  <c r="K264" i="12"/>
  <c r="F264" i="12"/>
  <c r="O263" i="12"/>
  <c r="N263" i="12"/>
  <c r="M263" i="12"/>
  <c r="L263" i="12"/>
  <c r="K263" i="12"/>
  <c r="F263" i="12"/>
  <c r="O262" i="12"/>
  <c r="N262" i="12"/>
  <c r="M262" i="12"/>
  <c r="L262" i="12"/>
  <c r="K262" i="12"/>
  <c r="F262" i="12"/>
  <c r="O261" i="12"/>
  <c r="N261" i="12"/>
  <c r="M261" i="12"/>
  <c r="L261" i="12"/>
  <c r="K261" i="12"/>
  <c r="F261" i="12"/>
  <c r="O260" i="12"/>
  <c r="N260" i="12"/>
  <c r="M260" i="12"/>
  <c r="L260" i="12"/>
  <c r="K260" i="12"/>
  <c r="F260" i="12"/>
  <c r="O259" i="12"/>
  <c r="N259" i="12"/>
  <c r="M259" i="12"/>
  <c r="L259" i="12"/>
  <c r="K259" i="12"/>
  <c r="F259" i="12"/>
  <c r="O258" i="12"/>
  <c r="N258" i="12"/>
  <c r="M258" i="12"/>
  <c r="L258" i="12"/>
  <c r="K258" i="12"/>
  <c r="F258" i="12"/>
  <c r="O257" i="12"/>
  <c r="N257" i="12"/>
  <c r="M257" i="12"/>
  <c r="L257" i="12"/>
  <c r="K257" i="12"/>
  <c r="F257" i="12"/>
  <c r="O256" i="12"/>
  <c r="N256" i="12"/>
  <c r="M256" i="12"/>
  <c r="L256" i="12"/>
  <c r="K256" i="12"/>
  <c r="F256" i="12"/>
  <c r="O255" i="12"/>
  <c r="N255" i="12"/>
  <c r="M255" i="12"/>
  <c r="L255" i="12"/>
  <c r="K255" i="12"/>
  <c r="F255" i="12"/>
  <c r="O254" i="12"/>
  <c r="N254" i="12"/>
  <c r="M254" i="12"/>
  <c r="L254" i="12"/>
  <c r="K254" i="12"/>
  <c r="F254" i="12"/>
  <c r="O253" i="12"/>
  <c r="N253" i="12"/>
  <c r="M253" i="12"/>
  <c r="L253" i="12"/>
  <c r="K253" i="12"/>
  <c r="F253" i="12"/>
  <c r="O252" i="12"/>
  <c r="N252" i="12"/>
  <c r="M252" i="12"/>
  <c r="L252" i="12"/>
  <c r="K252" i="12"/>
  <c r="F252" i="12"/>
  <c r="O251" i="12"/>
  <c r="N251" i="12"/>
  <c r="M251" i="12"/>
  <c r="L251" i="12"/>
  <c r="K251" i="12"/>
  <c r="F251" i="12"/>
  <c r="O250" i="12"/>
  <c r="N250" i="12"/>
  <c r="M250" i="12"/>
  <c r="L250" i="12"/>
  <c r="K250" i="12"/>
  <c r="F250" i="12"/>
  <c r="O249" i="12"/>
  <c r="N249" i="12"/>
  <c r="M249" i="12"/>
  <c r="L249" i="12"/>
  <c r="K249" i="12"/>
  <c r="F249" i="12"/>
  <c r="O248" i="12"/>
  <c r="N248" i="12"/>
  <c r="M248" i="12"/>
  <c r="L248" i="12"/>
  <c r="K248" i="12"/>
  <c r="F248" i="12"/>
  <c r="O247" i="12"/>
  <c r="N247" i="12"/>
  <c r="M247" i="12"/>
  <c r="L247" i="12"/>
  <c r="K247" i="12"/>
  <c r="F247" i="12"/>
  <c r="O246" i="12"/>
  <c r="N246" i="12"/>
  <c r="M246" i="12"/>
  <c r="L246" i="12"/>
  <c r="K246" i="12"/>
  <c r="F246" i="12"/>
  <c r="O245" i="12"/>
  <c r="N245" i="12"/>
  <c r="M245" i="12"/>
  <c r="L245" i="12"/>
  <c r="K245" i="12"/>
  <c r="F245" i="12"/>
  <c r="O244" i="12"/>
  <c r="N244" i="12"/>
  <c r="M244" i="12"/>
  <c r="L244" i="12"/>
  <c r="K244" i="12"/>
  <c r="F244" i="12"/>
  <c r="O243" i="12"/>
  <c r="N243" i="12"/>
  <c r="M243" i="12"/>
  <c r="L243" i="12"/>
  <c r="K243" i="12"/>
  <c r="F243" i="12"/>
  <c r="O242" i="12"/>
  <c r="N242" i="12"/>
  <c r="M242" i="12"/>
  <c r="L242" i="12"/>
  <c r="K242" i="12"/>
  <c r="F242" i="12"/>
  <c r="O241" i="12"/>
  <c r="N241" i="12"/>
  <c r="M241" i="12"/>
  <c r="L241" i="12"/>
  <c r="K241" i="12"/>
  <c r="F241" i="12"/>
  <c r="O240" i="12"/>
  <c r="N240" i="12"/>
  <c r="M240" i="12"/>
  <c r="L240" i="12"/>
  <c r="K240" i="12"/>
  <c r="F240" i="12"/>
  <c r="O239" i="12"/>
  <c r="N239" i="12"/>
  <c r="M239" i="12"/>
  <c r="L239" i="12"/>
  <c r="K239" i="12"/>
  <c r="F239" i="12"/>
  <c r="O238" i="12"/>
  <c r="N238" i="12"/>
  <c r="M238" i="12"/>
  <c r="L238" i="12"/>
  <c r="K238" i="12"/>
  <c r="F238" i="12"/>
  <c r="O237" i="12"/>
  <c r="N237" i="12"/>
  <c r="M237" i="12"/>
  <c r="L237" i="12"/>
  <c r="K237" i="12"/>
  <c r="F237" i="12"/>
  <c r="O236" i="12"/>
  <c r="N236" i="12"/>
  <c r="M236" i="12"/>
  <c r="L236" i="12"/>
  <c r="K236" i="12"/>
  <c r="F236" i="12"/>
  <c r="O235" i="12"/>
  <c r="N235" i="12"/>
  <c r="M235" i="12"/>
  <c r="L235" i="12"/>
  <c r="K235" i="12"/>
  <c r="F235" i="12"/>
  <c r="O234" i="12"/>
  <c r="N234" i="12"/>
  <c r="M234" i="12"/>
  <c r="L234" i="12"/>
  <c r="K234" i="12"/>
  <c r="F234" i="12"/>
  <c r="O233" i="12"/>
  <c r="N233" i="12"/>
  <c r="M233" i="12"/>
  <c r="L233" i="12"/>
  <c r="K233" i="12"/>
  <c r="F233" i="12"/>
  <c r="O232" i="12"/>
  <c r="N232" i="12"/>
  <c r="M232" i="12"/>
  <c r="L232" i="12"/>
  <c r="K232" i="12"/>
  <c r="F232" i="12"/>
  <c r="O231" i="12"/>
  <c r="N231" i="12"/>
  <c r="M231" i="12"/>
  <c r="L231" i="12"/>
  <c r="K231" i="12"/>
  <c r="F231" i="12"/>
  <c r="O230" i="12"/>
  <c r="N230" i="12"/>
  <c r="M230" i="12"/>
  <c r="L230" i="12"/>
  <c r="K230" i="12"/>
  <c r="F230" i="12"/>
  <c r="O229" i="12"/>
  <c r="N229" i="12"/>
  <c r="M229" i="12"/>
  <c r="L229" i="12"/>
  <c r="K229" i="12"/>
  <c r="F229" i="12"/>
  <c r="O228" i="12"/>
  <c r="N228" i="12"/>
  <c r="M228" i="12"/>
  <c r="L228" i="12"/>
  <c r="K228" i="12"/>
  <c r="F228" i="12"/>
  <c r="O227" i="12"/>
  <c r="N227" i="12"/>
  <c r="M227" i="12"/>
  <c r="L227" i="12"/>
  <c r="K227" i="12"/>
  <c r="F227" i="12"/>
  <c r="O226" i="12"/>
  <c r="N226" i="12"/>
  <c r="M226" i="12"/>
  <c r="L226" i="12"/>
  <c r="K226" i="12"/>
  <c r="F226" i="12"/>
  <c r="O225" i="12"/>
  <c r="N225" i="12"/>
  <c r="M225" i="12"/>
  <c r="L225" i="12"/>
  <c r="K225" i="12"/>
  <c r="F225" i="12"/>
  <c r="O224" i="12"/>
  <c r="N224" i="12"/>
  <c r="M224" i="12"/>
  <c r="L224" i="12"/>
  <c r="K224" i="12"/>
  <c r="F224" i="12"/>
  <c r="O223" i="12"/>
  <c r="N223" i="12"/>
  <c r="M223" i="12"/>
  <c r="L223" i="12"/>
  <c r="K223" i="12"/>
  <c r="F223" i="12"/>
  <c r="O222" i="12"/>
  <c r="N222" i="12"/>
  <c r="M222" i="12"/>
  <c r="L222" i="12"/>
  <c r="K222" i="12"/>
  <c r="F222" i="12"/>
  <c r="O221" i="12"/>
  <c r="N221" i="12"/>
  <c r="M221" i="12"/>
  <c r="L221" i="12"/>
  <c r="K221" i="12"/>
  <c r="F221" i="12"/>
  <c r="O220" i="12"/>
  <c r="N220" i="12"/>
  <c r="M220" i="12"/>
  <c r="L220" i="12"/>
  <c r="K220" i="12"/>
  <c r="F220" i="12"/>
  <c r="O219" i="12"/>
  <c r="N219" i="12"/>
  <c r="M219" i="12"/>
  <c r="L219" i="12"/>
  <c r="K219" i="12"/>
  <c r="F219" i="12"/>
  <c r="O218" i="12"/>
  <c r="N218" i="12"/>
  <c r="M218" i="12"/>
  <c r="L218" i="12"/>
  <c r="K218" i="12"/>
  <c r="F218" i="12"/>
  <c r="O217" i="12"/>
  <c r="N217" i="12"/>
  <c r="M217" i="12"/>
  <c r="L217" i="12"/>
  <c r="K217" i="12"/>
  <c r="F217" i="12"/>
  <c r="O216" i="12"/>
  <c r="N216" i="12"/>
  <c r="M216" i="12"/>
  <c r="L216" i="12"/>
  <c r="K216" i="12"/>
  <c r="F216" i="12"/>
  <c r="O215" i="12"/>
  <c r="N215" i="12"/>
  <c r="M215" i="12"/>
  <c r="L215" i="12"/>
  <c r="K215" i="12"/>
  <c r="F215" i="12"/>
  <c r="O214" i="12"/>
  <c r="N214" i="12"/>
  <c r="M214" i="12"/>
  <c r="L214" i="12"/>
  <c r="K214" i="12"/>
  <c r="F214" i="12"/>
  <c r="O213" i="12"/>
  <c r="N213" i="12"/>
  <c r="M213" i="12"/>
  <c r="L213" i="12"/>
  <c r="K213" i="12"/>
  <c r="F213" i="12"/>
  <c r="O212" i="12"/>
  <c r="N212" i="12"/>
  <c r="M212" i="12"/>
  <c r="L212" i="12"/>
  <c r="K212" i="12"/>
  <c r="F212" i="12"/>
  <c r="O211" i="12"/>
  <c r="N211" i="12"/>
  <c r="M211" i="12"/>
  <c r="L211" i="12"/>
  <c r="K211" i="12"/>
  <c r="F211" i="12"/>
  <c r="O210" i="12"/>
  <c r="N210" i="12"/>
  <c r="M210" i="12"/>
  <c r="L210" i="12"/>
  <c r="K210" i="12"/>
  <c r="F210" i="12"/>
  <c r="O209" i="12"/>
  <c r="N209" i="12"/>
  <c r="M209" i="12"/>
  <c r="L209" i="12"/>
  <c r="K209" i="12"/>
  <c r="F209" i="12"/>
  <c r="O208" i="12"/>
  <c r="N208" i="12"/>
  <c r="M208" i="12"/>
  <c r="L208" i="12"/>
  <c r="K208" i="12"/>
  <c r="F208" i="12"/>
  <c r="O207" i="12"/>
  <c r="N207" i="12"/>
  <c r="M207" i="12"/>
  <c r="L207" i="12"/>
  <c r="K207" i="12"/>
  <c r="F207" i="12"/>
  <c r="O206" i="12"/>
  <c r="N206" i="12"/>
  <c r="M206" i="12"/>
  <c r="L206" i="12"/>
  <c r="K206" i="12"/>
  <c r="F206" i="12"/>
  <c r="O205" i="12"/>
  <c r="N205" i="12"/>
  <c r="M205" i="12"/>
  <c r="L205" i="12"/>
  <c r="K205" i="12"/>
  <c r="F205" i="12"/>
  <c r="O204" i="12"/>
  <c r="N204" i="12"/>
  <c r="M204" i="12"/>
  <c r="L204" i="12"/>
  <c r="K204" i="12"/>
  <c r="F204" i="12"/>
  <c r="O203" i="12"/>
  <c r="N203" i="12"/>
  <c r="M203" i="12"/>
  <c r="L203" i="12"/>
  <c r="K203" i="12"/>
  <c r="F203" i="12"/>
  <c r="O202" i="12"/>
  <c r="N202" i="12"/>
  <c r="M202" i="12"/>
  <c r="L202" i="12"/>
  <c r="K202" i="12"/>
  <c r="F202" i="12"/>
  <c r="O201" i="12"/>
  <c r="N201" i="12"/>
  <c r="M201" i="12"/>
  <c r="L201" i="12"/>
  <c r="K201" i="12"/>
  <c r="F201" i="12"/>
  <c r="O200" i="12"/>
  <c r="N200" i="12"/>
  <c r="M200" i="12"/>
  <c r="L200" i="12"/>
  <c r="K200" i="12"/>
  <c r="F200" i="12"/>
  <c r="O199" i="12"/>
  <c r="N199" i="12"/>
  <c r="M199" i="12"/>
  <c r="L199" i="12"/>
  <c r="K199" i="12"/>
  <c r="F199" i="12"/>
  <c r="O198" i="12"/>
  <c r="N198" i="12"/>
  <c r="M198" i="12"/>
  <c r="L198" i="12"/>
  <c r="K198" i="12"/>
  <c r="F198" i="12"/>
  <c r="O197" i="12"/>
  <c r="N197" i="12"/>
  <c r="M197" i="12"/>
  <c r="L197" i="12"/>
  <c r="K197" i="12"/>
  <c r="F197" i="12"/>
  <c r="O196" i="12"/>
  <c r="N196" i="12"/>
  <c r="M196" i="12"/>
  <c r="L196" i="12"/>
  <c r="K196" i="12"/>
  <c r="F196" i="12"/>
  <c r="O195" i="12"/>
  <c r="N195" i="12"/>
  <c r="M195" i="12"/>
  <c r="L195" i="12"/>
  <c r="K195" i="12"/>
  <c r="F195" i="12"/>
  <c r="O194" i="12"/>
  <c r="N194" i="12"/>
  <c r="M194" i="12"/>
  <c r="L194" i="12"/>
  <c r="K194" i="12"/>
  <c r="F194" i="12"/>
  <c r="O193" i="12"/>
  <c r="N193" i="12"/>
  <c r="M193" i="12"/>
  <c r="L193" i="12"/>
  <c r="K193" i="12"/>
  <c r="F193" i="12"/>
  <c r="O192" i="12"/>
  <c r="N192" i="12"/>
  <c r="M192" i="12"/>
  <c r="L192" i="12"/>
  <c r="K192" i="12"/>
  <c r="F192" i="12"/>
  <c r="O191" i="12"/>
  <c r="N191" i="12"/>
  <c r="M191" i="12"/>
  <c r="L191" i="12"/>
  <c r="K191" i="12"/>
  <c r="F191" i="12"/>
  <c r="O190" i="12"/>
  <c r="N190" i="12"/>
  <c r="M190" i="12"/>
  <c r="L190" i="12"/>
  <c r="K190" i="12"/>
  <c r="F190" i="12"/>
  <c r="O189" i="12"/>
  <c r="N189" i="12"/>
  <c r="M189" i="12"/>
  <c r="L189" i="12"/>
  <c r="K189" i="12"/>
  <c r="F189" i="12"/>
  <c r="O188" i="12"/>
  <c r="N188" i="12"/>
  <c r="M188" i="12"/>
  <c r="L188" i="12"/>
  <c r="K188" i="12"/>
  <c r="F188" i="12"/>
  <c r="O187" i="12"/>
  <c r="N187" i="12"/>
  <c r="M187" i="12"/>
  <c r="L187" i="12"/>
  <c r="K187" i="12"/>
  <c r="F187" i="12"/>
  <c r="O186" i="12"/>
  <c r="N186" i="12"/>
  <c r="M186" i="12"/>
  <c r="L186" i="12"/>
  <c r="K186" i="12"/>
  <c r="F186" i="12"/>
  <c r="O185" i="12"/>
  <c r="N185" i="12"/>
  <c r="M185" i="12"/>
  <c r="L185" i="12"/>
  <c r="K185" i="12"/>
  <c r="F185" i="12"/>
  <c r="O184" i="12"/>
  <c r="N184" i="12"/>
  <c r="M184" i="12"/>
  <c r="L184" i="12"/>
  <c r="K184" i="12"/>
  <c r="F184" i="12"/>
  <c r="O183" i="12"/>
  <c r="N183" i="12"/>
  <c r="M183" i="12"/>
  <c r="L183" i="12"/>
  <c r="K183" i="12"/>
  <c r="F183" i="12"/>
  <c r="O182" i="12"/>
  <c r="N182" i="12"/>
  <c r="M182" i="12"/>
  <c r="L182" i="12"/>
  <c r="K182" i="12"/>
  <c r="F182" i="12"/>
  <c r="O181" i="12"/>
  <c r="N181" i="12"/>
  <c r="M181" i="12"/>
  <c r="L181" i="12"/>
  <c r="K181" i="12"/>
  <c r="F181" i="12"/>
  <c r="O180" i="12"/>
  <c r="N180" i="12"/>
  <c r="M180" i="12"/>
  <c r="L180" i="12"/>
  <c r="K180" i="12"/>
  <c r="F180" i="12"/>
  <c r="O179" i="12"/>
  <c r="N179" i="12"/>
  <c r="M179" i="12"/>
  <c r="L179" i="12"/>
  <c r="K179" i="12"/>
  <c r="F179" i="12"/>
  <c r="O178" i="12"/>
  <c r="N178" i="12"/>
  <c r="M178" i="12"/>
  <c r="L178" i="12"/>
  <c r="K178" i="12"/>
  <c r="F178" i="12"/>
  <c r="O177" i="12"/>
  <c r="N177" i="12"/>
  <c r="M177" i="12"/>
  <c r="L177" i="12"/>
  <c r="K177" i="12"/>
  <c r="F177" i="12"/>
  <c r="O176" i="12"/>
  <c r="N176" i="12"/>
  <c r="M176" i="12"/>
  <c r="L176" i="12"/>
  <c r="K176" i="12"/>
  <c r="F176" i="12"/>
  <c r="O175" i="12"/>
  <c r="N175" i="12"/>
  <c r="M175" i="12"/>
  <c r="L175" i="12"/>
  <c r="K175" i="12"/>
  <c r="F175" i="12"/>
  <c r="O174" i="12"/>
  <c r="N174" i="12"/>
  <c r="M174" i="12"/>
  <c r="L174" i="12"/>
  <c r="K174" i="12"/>
  <c r="F174" i="12"/>
  <c r="O173" i="12"/>
  <c r="N173" i="12"/>
  <c r="M173" i="12"/>
  <c r="L173" i="12"/>
  <c r="K173" i="12"/>
  <c r="F173" i="12"/>
  <c r="O172" i="12"/>
  <c r="N172" i="12"/>
  <c r="M172" i="12"/>
  <c r="L172" i="12"/>
  <c r="K172" i="12"/>
  <c r="F172" i="12"/>
  <c r="O171" i="12"/>
  <c r="N171" i="12"/>
  <c r="M171" i="12"/>
  <c r="L171" i="12"/>
  <c r="K171" i="12"/>
  <c r="F171" i="12"/>
  <c r="O170" i="12"/>
  <c r="N170" i="12"/>
  <c r="M170" i="12"/>
  <c r="L170" i="12"/>
  <c r="K170" i="12"/>
  <c r="F170" i="12"/>
  <c r="O169" i="12"/>
  <c r="N169" i="12"/>
  <c r="M169" i="12"/>
  <c r="L169" i="12"/>
  <c r="K169" i="12"/>
  <c r="F169" i="12"/>
  <c r="O168" i="12"/>
  <c r="N168" i="12"/>
  <c r="M168" i="12"/>
  <c r="L168" i="12"/>
  <c r="K168" i="12"/>
  <c r="F168" i="12"/>
  <c r="O167" i="12"/>
  <c r="N167" i="12"/>
  <c r="M167" i="12"/>
  <c r="L167" i="12"/>
  <c r="K167" i="12"/>
  <c r="F167" i="12"/>
  <c r="O166" i="12"/>
  <c r="N166" i="12"/>
  <c r="M166" i="12"/>
  <c r="L166" i="12"/>
  <c r="K166" i="12"/>
  <c r="F166" i="12"/>
  <c r="O165" i="12"/>
  <c r="N165" i="12"/>
  <c r="M165" i="12"/>
  <c r="L165" i="12"/>
  <c r="K165" i="12"/>
  <c r="F165" i="12"/>
  <c r="O164" i="12"/>
  <c r="N164" i="12"/>
  <c r="M164" i="12"/>
  <c r="L164" i="12"/>
  <c r="K164" i="12"/>
  <c r="F164" i="12"/>
  <c r="O163" i="12"/>
  <c r="N163" i="12"/>
  <c r="M163" i="12"/>
  <c r="L163" i="12"/>
  <c r="K163" i="12"/>
  <c r="F163" i="12"/>
  <c r="O162" i="12"/>
  <c r="N162" i="12"/>
  <c r="M162" i="12"/>
  <c r="L162" i="12"/>
  <c r="K162" i="12"/>
  <c r="F162" i="12"/>
  <c r="O161" i="12"/>
  <c r="N161" i="12"/>
  <c r="M161" i="12"/>
  <c r="L161" i="12"/>
  <c r="K161" i="12"/>
  <c r="F161" i="12"/>
  <c r="O160" i="12"/>
  <c r="N160" i="12"/>
  <c r="M160" i="12"/>
  <c r="L160" i="12"/>
  <c r="K160" i="12"/>
  <c r="F160" i="12"/>
  <c r="O159" i="12"/>
  <c r="N159" i="12"/>
  <c r="M159" i="12"/>
  <c r="L159" i="12"/>
  <c r="K159" i="12"/>
  <c r="F159" i="12"/>
  <c r="O158" i="12"/>
  <c r="N158" i="12"/>
  <c r="M158" i="12"/>
  <c r="L158" i="12"/>
  <c r="K158" i="12"/>
  <c r="F158" i="12"/>
  <c r="O157" i="12"/>
  <c r="N157" i="12"/>
  <c r="M157" i="12"/>
  <c r="L157" i="12"/>
  <c r="K157" i="12"/>
  <c r="F157" i="12"/>
  <c r="O156" i="12"/>
  <c r="N156" i="12"/>
  <c r="M156" i="12"/>
  <c r="L156" i="12"/>
  <c r="K156" i="12"/>
  <c r="F156" i="12"/>
  <c r="O155" i="12"/>
  <c r="N155" i="12"/>
  <c r="M155" i="12"/>
  <c r="L155" i="12"/>
  <c r="K155" i="12"/>
  <c r="F155" i="12"/>
  <c r="O154" i="12"/>
  <c r="N154" i="12"/>
  <c r="M154" i="12"/>
  <c r="L154" i="12"/>
  <c r="K154" i="12"/>
  <c r="F154" i="12"/>
  <c r="O153" i="12"/>
  <c r="N153" i="12"/>
  <c r="M153" i="12"/>
  <c r="L153" i="12"/>
  <c r="K153" i="12"/>
  <c r="F153" i="12"/>
  <c r="O152" i="12"/>
  <c r="N152" i="12"/>
  <c r="M152" i="12"/>
  <c r="L152" i="12"/>
  <c r="K152" i="12"/>
  <c r="F152" i="12"/>
  <c r="O151" i="12"/>
  <c r="N151" i="12"/>
  <c r="M151" i="12"/>
  <c r="L151" i="12"/>
  <c r="K151" i="12"/>
  <c r="F151" i="12"/>
  <c r="O150" i="12"/>
  <c r="N150" i="12"/>
  <c r="M150" i="12"/>
  <c r="L150" i="12"/>
  <c r="K150" i="12"/>
  <c r="F150" i="12"/>
  <c r="O149" i="12"/>
  <c r="N149" i="12"/>
  <c r="M149" i="12"/>
  <c r="L149" i="12"/>
  <c r="K149" i="12"/>
  <c r="F149" i="12"/>
  <c r="O148" i="12"/>
  <c r="N148" i="12"/>
  <c r="M148" i="12"/>
  <c r="L148" i="12"/>
  <c r="K148" i="12"/>
  <c r="F148" i="12"/>
  <c r="O147" i="12"/>
  <c r="N147" i="12"/>
  <c r="M147" i="12"/>
  <c r="L147" i="12"/>
  <c r="K147" i="12"/>
  <c r="F147" i="12"/>
  <c r="O146" i="12"/>
  <c r="N146" i="12"/>
  <c r="M146" i="12"/>
  <c r="L146" i="12"/>
  <c r="K146" i="12"/>
  <c r="F146" i="12"/>
  <c r="O145" i="12"/>
  <c r="N145" i="12"/>
  <c r="M145" i="12"/>
  <c r="L145" i="12"/>
  <c r="K145" i="12"/>
  <c r="F145" i="12"/>
  <c r="O144" i="12"/>
  <c r="N144" i="12"/>
  <c r="M144" i="12"/>
  <c r="L144" i="12"/>
  <c r="K144" i="12"/>
  <c r="F144" i="12"/>
  <c r="O143" i="12"/>
  <c r="N143" i="12"/>
  <c r="M143" i="12"/>
  <c r="L143" i="12"/>
  <c r="K143" i="12"/>
  <c r="F143" i="12"/>
  <c r="O142" i="12"/>
  <c r="N142" i="12"/>
  <c r="M142" i="12"/>
  <c r="L142" i="12"/>
  <c r="K142" i="12"/>
  <c r="F142" i="12"/>
  <c r="O141" i="12"/>
  <c r="N141" i="12"/>
  <c r="M141" i="12"/>
  <c r="L141" i="12"/>
  <c r="K141" i="12"/>
  <c r="F141" i="12"/>
  <c r="O140" i="12"/>
  <c r="N140" i="12"/>
  <c r="M140" i="12"/>
  <c r="L140" i="12"/>
  <c r="K140" i="12"/>
  <c r="F140" i="12"/>
  <c r="O139" i="12"/>
  <c r="N139" i="12"/>
  <c r="M139" i="12"/>
  <c r="L139" i="12"/>
  <c r="K139" i="12"/>
  <c r="F139" i="12"/>
  <c r="O138" i="12"/>
  <c r="N138" i="12"/>
  <c r="M138" i="12"/>
  <c r="L138" i="12"/>
  <c r="K138" i="12"/>
  <c r="F138" i="12"/>
  <c r="O137" i="12"/>
  <c r="N137" i="12"/>
  <c r="M137" i="12"/>
  <c r="L137" i="12"/>
  <c r="K137" i="12"/>
  <c r="F137" i="12"/>
  <c r="O136" i="12"/>
  <c r="N136" i="12"/>
  <c r="M136" i="12"/>
  <c r="L136" i="12"/>
  <c r="K136" i="12"/>
  <c r="F136" i="12"/>
  <c r="O135" i="12"/>
  <c r="N135" i="12"/>
  <c r="M135" i="12"/>
  <c r="L135" i="12"/>
  <c r="K135" i="12"/>
  <c r="F135" i="12"/>
  <c r="O134" i="12"/>
  <c r="N134" i="12"/>
  <c r="M134" i="12"/>
  <c r="L134" i="12"/>
  <c r="K134" i="12"/>
  <c r="F134" i="12"/>
  <c r="O133" i="12"/>
  <c r="N133" i="12"/>
  <c r="M133" i="12"/>
  <c r="L133" i="12"/>
  <c r="K133" i="12"/>
  <c r="F133" i="12"/>
  <c r="O132" i="12"/>
  <c r="N132" i="12"/>
  <c r="M132" i="12"/>
  <c r="L132" i="12"/>
  <c r="K132" i="12"/>
  <c r="F132" i="12"/>
  <c r="O131" i="12"/>
  <c r="N131" i="12"/>
  <c r="M131" i="12"/>
  <c r="L131" i="12"/>
  <c r="K131" i="12"/>
  <c r="F131" i="12"/>
  <c r="O130" i="12"/>
  <c r="N130" i="12"/>
  <c r="M130" i="12"/>
  <c r="L130" i="12"/>
  <c r="K130" i="12"/>
  <c r="F130" i="12"/>
  <c r="O129" i="12"/>
  <c r="N129" i="12"/>
  <c r="M129" i="12"/>
  <c r="L129" i="12"/>
  <c r="K129" i="12"/>
  <c r="F129" i="12"/>
  <c r="O128" i="12"/>
  <c r="N128" i="12"/>
  <c r="M128" i="12"/>
  <c r="L128" i="12"/>
  <c r="K128" i="12"/>
  <c r="F128" i="12"/>
  <c r="O127" i="12"/>
  <c r="N127" i="12"/>
  <c r="M127" i="12"/>
  <c r="L127" i="12"/>
  <c r="K127" i="12"/>
  <c r="F127" i="12"/>
  <c r="O126" i="12"/>
  <c r="N126" i="12"/>
  <c r="M126" i="12"/>
  <c r="L126" i="12"/>
  <c r="K126" i="12"/>
  <c r="F126" i="12"/>
  <c r="O125" i="12"/>
  <c r="N125" i="12"/>
  <c r="M125" i="12"/>
  <c r="L125" i="12"/>
  <c r="K125" i="12"/>
  <c r="F125" i="12"/>
  <c r="O124" i="12"/>
  <c r="N124" i="12"/>
  <c r="M124" i="12"/>
  <c r="L124" i="12"/>
  <c r="K124" i="12"/>
  <c r="F124" i="12"/>
  <c r="O123" i="12"/>
  <c r="N123" i="12"/>
  <c r="M123" i="12"/>
  <c r="L123" i="12"/>
  <c r="K123" i="12"/>
  <c r="F123" i="12"/>
  <c r="O122" i="12"/>
  <c r="N122" i="12"/>
  <c r="M122" i="12"/>
  <c r="L122" i="12"/>
  <c r="K122" i="12"/>
  <c r="F122" i="12"/>
  <c r="O121" i="12"/>
  <c r="N121" i="12"/>
  <c r="M121" i="12"/>
  <c r="L121" i="12"/>
  <c r="K121" i="12"/>
  <c r="F121" i="12"/>
  <c r="O120" i="12"/>
  <c r="N120" i="12"/>
  <c r="M120" i="12"/>
  <c r="L120" i="12"/>
  <c r="K120" i="12"/>
  <c r="F120" i="12"/>
  <c r="O119" i="12"/>
  <c r="N119" i="12"/>
  <c r="M119" i="12"/>
  <c r="L119" i="12"/>
  <c r="K119" i="12"/>
  <c r="F119" i="12"/>
  <c r="O118" i="12"/>
  <c r="N118" i="12"/>
  <c r="M118" i="12"/>
  <c r="L118" i="12"/>
  <c r="K118" i="12"/>
  <c r="F118" i="12"/>
  <c r="O117" i="12"/>
  <c r="N117" i="12"/>
  <c r="M117" i="12"/>
  <c r="L117" i="12"/>
  <c r="K117" i="12"/>
  <c r="F117" i="12"/>
  <c r="O116" i="12"/>
  <c r="N116" i="12"/>
  <c r="M116" i="12"/>
  <c r="L116" i="12"/>
  <c r="K116" i="12"/>
  <c r="F116" i="12"/>
  <c r="O115" i="12"/>
  <c r="N115" i="12"/>
  <c r="M115" i="12"/>
  <c r="L115" i="12"/>
  <c r="K115" i="12"/>
  <c r="F115" i="12"/>
  <c r="O114" i="12"/>
  <c r="N114" i="12"/>
  <c r="M114" i="12"/>
  <c r="L114" i="12"/>
  <c r="K114" i="12"/>
  <c r="F114" i="12"/>
  <c r="O113" i="12"/>
  <c r="N113" i="12"/>
  <c r="M113" i="12"/>
  <c r="L113" i="12"/>
  <c r="K113" i="12"/>
  <c r="F113" i="12"/>
  <c r="O112" i="12"/>
  <c r="N112" i="12"/>
  <c r="M112" i="12"/>
  <c r="L112" i="12"/>
  <c r="K112" i="12"/>
  <c r="F112" i="12"/>
  <c r="O111" i="12"/>
  <c r="N111" i="12"/>
  <c r="M111" i="12"/>
  <c r="L111" i="12"/>
  <c r="K111" i="12"/>
  <c r="F111" i="12"/>
  <c r="O110" i="12"/>
  <c r="N110" i="12"/>
  <c r="M110" i="12"/>
  <c r="L110" i="12"/>
  <c r="K110" i="12"/>
  <c r="F110" i="12"/>
  <c r="O109" i="12"/>
  <c r="N109" i="12"/>
  <c r="M109" i="12"/>
  <c r="L109" i="12"/>
  <c r="K109" i="12"/>
  <c r="F109" i="12"/>
  <c r="O108" i="12"/>
  <c r="N108" i="12"/>
  <c r="M108" i="12"/>
  <c r="L108" i="12"/>
  <c r="K108" i="12"/>
  <c r="F108" i="12"/>
  <c r="O107" i="12"/>
  <c r="N107" i="12"/>
  <c r="M107" i="12"/>
  <c r="L107" i="12"/>
  <c r="K107" i="12"/>
  <c r="F107" i="12"/>
  <c r="O106" i="12"/>
  <c r="N106" i="12"/>
  <c r="M106" i="12"/>
  <c r="L106" i="12"/>
  <c r="K106" i="12"/>
  <c r="F106" i="12"/>
  <c r="O105" i="12"/>
  <c r="N105" i="12"/>
  <c r="M105" i="12"/>
  <c r="L105" i="12"/>
  <c r="K105" i="12"/>
  <c r="F105" i="12"/>
  <c r="O104" i="12"/>
  <c r="N104" i="12"/>
  <c r="M104" i="12"/>
  <c r="L104" i="12"/>
  <c r="K104" i="12"/>
  <c r="F104" i="12"/>
  <c r="O103" i="12"/>
  <c r="N103" i="12"/>
  <c r="M103" i="12"/>
  <c r="L103" i="12"/>
  <c r="K103" i="12"/>
  <c r="F103" i="12"/>
  <c r="O102" i="12"/>
  <c r="N102" i="12"/>
  <c r="M102" i="12"/>
  <c r="L102" i="12"/>
  <c r="K102" i="12"/>
  <c r="F102" i="12"/>
  <c r="O101" i="12"/>
  <c r="N101" i="12"/>
  <c r="M101" i="12"/>
  <c r="L101" i="12"/>
  <c r="K101" i="12"/>
  <c r="F101" i="12"/>
  <c r="O100" i="12"/>
  <c r="N100" i="12"/>
  <c r="M100" i="12"/>
  <c r="L100" i="12"/>
  <c r="K100" i="12"/>
  <c r="F100" i="12"/>
  <c r="O99" i="12"/>
  <c r="N99" i="12"/>
  <c r="M99" i="12"/>
  <c r="L99" i="12"/>
  <c r="K99" i="12"/>
  <c r="F99" i="12"/>
  <c r="O98" i="12"/>
  <c r="N98" i="12"/>
  <c r="M98" i="12"/>
  <c r="L98" i="12"/>
  <c r="K98" i="12"/>
  <c r="F98" i="12"/>
  <c r="O97" i="12"/>
  <c r="N97" i="12"/>
  <c r="M97" i="12"/>
  <c r="L97" i="12"/>
  <c r="K97" i="12"/>
  <c r="F97" i="12"/>
  <c r="O96" i="12"/>
  <c r="N96" i="12"/>
  <c r="M96" i="12"/>
  <c r="L96" i="12"/>
  <c r="K96" i="12"/>
  <c r="F96" i="12"/>
  <c r="O95" i="12"/>
  <c r="N95" i="12"/>
  <c r="M95" i="12"/>
  <c r="L95" i="12"/>
  <c r="K95" i="12"/>
  <c r="F95" i="12"/>
  <c r="O94" i="12"/>
  <c r="N94" i="12"/>
  <c r="M94" i="12"/>
  <c r="L94" i="12"/>
  <c r="K94" i="12"/>
  <c r="F94" i="12"/>
  <c r="O93" i="12"/>
  <c r="N93" i="12"/>
  <c r="M93" i="12"/>
  <c r="L93" i="12"/>
  <c r="K93" i="12"/>
  <c r="F93" i="12"/>
  <c r="O92" i="12"/>
  <c r="N92" i="12"/>
  <c r="M92" i="12"/>
  <c r="L92" i="12"/>
  <c r="K92" i="12"/>
  <c r="F92" i="12"/>
  <c r="O91" i="12"/>
  <c r="N91" i="12"/>
  <c r="M91" i="12"/>
  <c r="L91" i="12"/>
  <c r="K91" i="12"/>
  <c r="F91" i="12"/>
  <c r="O90" i="12"/>
  <c r="N90" i="12"/>
  <c r="M90" i="12"/>
  <c r="L90" i="12"/>
  <c r="K90" i="12"/>
  <c r="F90" i="12"/>
  <c r="O89" i="12"/>
  <c r="N89" i="12"/>
  <c r="M89" i="12"/>
  <c r="L89" i="12"/>
  <c r="K89" i="12"/>
  <c r="F89" i="12"/>
  <c r="O88" i="12"/>
  <c r="N88" i="12"/>
  <c r="M88" i="12"/>
  <c r="L88" i="12"/>
  <c r="K88" i="12"/>
  <c r="F88" i="12"/>
  <c r="O87" i="12"/>
  <c r="N87" i="12"/>
  <c r="M87" i="12"/>
  <c r="L87" i="12"/>
  <c r="K87" i="12"/>
  <c r="F87" i="12"/>
  <c r="O86" i="12"/>
  <c r="N86" i="12"/>
  <c r="M86" i="12"/>
  <c r="L86" i="12"/>
  <c r="K86" i="12"/>
  <c r="F86" i="12"/>
  <c r="O85" i="12"/>
  <c r="N85" i="12"/>
  <c r="M85" i="12"/>
  <c r="L85" i="12"/>
  <c r="K85" i="12"/>
  <c r="F85" i="12"/>
  <c r="O84" i="12"/>
  <c r="N84" i="12"/>
  <c r="M84" i="12"/>
  <c r="L84" i="12"/>
  <c r="K84" i="12"/>
  <c r="F84" i="12"/>
  <c r="O83" i="12"/>
  <c r="N83" i="12"/>
  <c r="M83" i="12"/>
  <c r="L83" i="12"/>
  <c r="K83" i="12"/>
  <c r="F83" i="12"/>
  <c r="O82" i="12"/>
  <c r="N82" i="12"/>
  <c r="M82" i="12"/>
  <c r="L82" i="12"/>
  <c r="K82" i="12"/>
  <c r="F82" i="12"/>
  <c r="O81" i="12"/>
  <c r="N81" i="12"/>
  <c r="M81" i="12"/>
  <c r="L81" i="12"/>
  <c r="K81" i="12"/>
  <c r="F81" i="12"/>
  <c r="O80" i="12"/>
  <c r="N80" i="12"/>
  <c r="M80" i="12"/>
  <c r="L80" i="12"/>
  <c r="K80" i="12"/>
  <c r="F80" i="12"/>
  <c r="O79" i="12"/>
  <c r="N79" i="12"/>
  <c r="M79" i="12"/>
  <c r="L79" i="12"/>
  <c r="K79" i="12"/>
  <c r="F79" i="12"/>
  <c r="O78" i="12"/>
  <c r="N78" i="12"/>
  <c r="M78" i="12"/>
  <c r="L78" i="12"/>
  <c r="K78" i="12"/>
  <c r="F78" i="12"/>
  <c r="O77" i="12"/>
  <c r="N77" i="12"/>
  <c r="M77" i="12"/>
  <c r="L77" i="12"/>
  <c r="K77" i="12"/>
  <c r="F77" i="12"/>
  <c r="O76" i="12"/>
  <c r="N76" i="12"/>
  <c r="M76" i="12"/>
  <c r="L76" i="12"/>
  <c r="K76" i="12"/>
  <c r="F76" i="12"/>
  <c r="O75" i="12"/>
  <c r="N75" i="12"/>
  <c r="M75" i="12"/>
  <c r="L75" i="12"/>
  <c r="K75" i="12"/>
  <c r="F75" i="12"/>
  <c r="O74" i="12"/>
  <c r="N74" i="12"/>
  <c r="M74" i="12"/>
  <c r="L74" i="12"/>
  <c r="K74" i="12"/>
  <c r="F74" i="12"/>
  <c r="O73" i="12"/>
  <c r="N73" i="12"/>
  <c r="M73" i="12"/>
  <c r="L73" i="12"/>
  <c r="K73" i="12"/>
  <c r="F73" i="12"/>
  <c r="O72" i="12"/>
  <c r="N72" i="12"/>
  <c r="M72" i="12"/>
  <c r="L72" i="12"/>
  <c r="K72" i="12"/>
  <c r="F72" i="12"/>
  <c r="O71" i="12"/>
  <c r="N71" i="12"/>
  <c r="M71" i="12"/>
  <c r="L71" i="12"/>
  <c r="K71" i="12"/>
  <c r="F71" i="12"/>
  <c r="O70" i="12"/>
  <c r="N70" i="12"/>
  <c r="M70" i="12"/>
  <c r="L70" i="12"/>
  <c r="K70" i="12"/>
  <c r="F70" i="12"/>
  <c r="O69" i="12"/>
  <c r="N69" i="12"/>
  <c r="M69" i="12"/>
  <c r="L69" i="12"/>
  <c r="K69" i="12"/>
  <c r="F69" i="12"/>
  <c r="O68" i="12"/>
  <c r="N68" i="12"/>
  <c r="M68" i="12"/>
  <c r="L68" i="12"/>
  <c r="K68" i="12"/>
  <c r="F68" i="12"/>
  <c r="O67" i="12"/>
  <c r="N67" i="12"/>
  <c r="M67" i="12"/>
  <c r="L67" i="12"/>
  <c r="K67" i="12"/>
  <c r="F67" i="12"/>
  <c r="O66" i="12"/>
  <c r="N66" i="12"/>
  <c r="M66" i="12"/>
  <c r="L66" i="12"/>
  <c r="K66" i="12"/>
  <c r="F66" i="12"/>
  <c r="O65" i="12"/>
  <c r="N65" i="12"/>
  <c r="M65" i="12"/>
  <c r="L65" i="12"/>
  <c r="K65" i="12"/>
  <c r="F65" i="12"/>
  <c r="O64" i="12"/>
  <c r="N64" i="12"/>
  <c r="M64" i="12"/>
  <c r="L64" i="12"/>
  <c r="K64" i="12"/>
  <c r="F64" i="12"/>
  <c r="O63" i="12"/>
  <c r="N63" i="12"/>
  <c r="M63" i="12"/>
  <c r="L63" i="12"/>
  <c r="K63" i="12"/>
  <c r="F63" i="12"/>
  <c r="O62" i="12"/>
  <c r="N62" i="12"/>
  <c r="M62" i="12"/>
  <c r="L62" i="12"/>
  <c r="K62" i="12"/>
  <c r="F62" i="12"/>
  <c r="O61" i="12"/>
  <c r="N61" i="12"/>
  <c r="M61" i="12"/>
  <c r="L61" i="12"/>
  <c r="K61" i="12"/>
  <c r="F61" i="12"/>
  <c r="O60" i="12"/>
  <c r="N60" i="12"/>
  <c r="M60" i="12"/>
  <c r="L60" i="12"/>
  <c r="K60" i="12"/>
  <c r="F60" i="12"/>
  <c r="O59" i="12"/>
  <c r="N59" i="12"/>
  <c r="M59" i="12"/>
  <c r="L59" i="12"/>
  <c r="K59" i="12"/>
  <c r="F59" i="12"/>
  <c r="O58" i="12"/>
  <c r="N58" i="12"/>
  <c r="M58" i="12"/>
  <c r="L58" i="12"/>
  <c r="K58" i="12"/>
  <c r="F58" i="12"/>
  <c r="O57" i="12"/>
  <c r="N57" i="12"/>
  <c r="M57" i="12"/>
  <c r="L57" i="12"/>
  <c r="K57" i="12"/>
  <c r="F57" i="12"/>
  <c r="O56" i="12"/>
  <c r="N56" i="12"/>
  <c r="M56" i="12"/>
  <c r="L56" i="12"/>
  <c r="K56" i="12"/>
  <c r="F56" i="12"/>
  <c r="O55" i="12"/>
  <c r="N55" i="12"/>
  <c r="M55" i="12"/>
  <c r="L55" i="12"/>
  <c r="K55" i="12"/>
  <c r="F55" i="12"/>
  <c r="O54" i="12"/>
  <c r="N54" i="12"/>
  <c r="M54" i="12"/>
  <c r="L54" i="12"/>
  <c r="K54" i="12"/>
  <c r="F54" i="12"/>
  <c r="O53" i="12"/>
  <c r="N53" i="12"/>
  <c r="M53" i="12"/>
  <c r="L53" i="12"/>
  <c r="K53" i="12"/>
  <c r="F53" i="12"/>
  <c r="O52" i="12"/>
  <c r="N52" i="12"/>
  <c r="M52" i="12"/>
  <c r="L52" i="12"/>
  <c r="K52" i="12"/>
  <c r="F52" i="12"/>
  <c r="O51" i="12"/>
  <c r="N51" i="12"/>
  <c r="M51" i="12"/>
  <c r="L51" i="12"/>
  <c r="K51" i="12"/>
  <c r="F51" i="12"/>
  <c r="O50" i="12"/>
  <c r="N50" i="12"/>
  <c r="M50" i="12"/>
  <c r="L50" i="12"/>
  <c r="K50" i="12"/>
  <c r="F50" i="12"/>
  <c r="O49" i="12"/>
  <c r="N49" i="12"/>
  <c r="M49" i="12"/>
  <c r="L49" i="12"/>
  <c r="K49" i="12"/>
  <c r="F49" i="12"/>
  <c r="O48" i="12"/>
  <c r="N48" i="12"/>
  <c r="M48" i="12"/>
  <c r="L48" i="12"/>
  <c r="K48" i="12"/>
  <c r="F48" i="12"/>
  <c r="O47" i="12"/>
  <c r="N47" i="12"/>
  <c r="M47" i="12"/>
  <c r="L47" i="12"/>
  <c r="K47" i="12"/>
  <c r="F47" i="12"/>
  <c r="O46" i="12"/>
  <c r="N46" i="12"/>
  <c r="M46" i="12"/>
  <c r="L46" i="12"/>
  <c r="K46" i="12"/>
  <c r="F46" i="12"/>
  <c r="O45" i="12"/>
  <c r="N45" i="12"/>
  <c r="M45" i="12"/>
  <c r="L45" i="12"/>
  <c r="K45" i="12"/>
  <c r="F45" i="12"/>
  <c r="O44" i="12"/>
  <c r="N44" i="12"/>
  <c r="M44" i="12"/>
  <c r="L44" i="12"/>
  <c r="K44" i="12"/>
  <c r="F44" i="12"/>
  <c r="O43" i="12"/>
  <c r="N43" i="12"/>
  <c r="M43" i="12"/>
  <c r="L43" i="12"/>
  <c r="K43" i="12"/>
  <c r="F43" i="12"/>
  <c r="O42" i="12"/>
  <c r="N42" i="12"/>
  <c r="M42" i="12"/>
  <c r="L42" i="12"/>
  <c r="K42" i="12"/>
  <c r="F42" i="12"/>
  <c r="O41" i="12"/>
  <c r="N41" i="12"/>
  <c r="M41" i="12"/>
  <c r="L41" i="12"/>
  <c r="K41" i="12"/>
  <c r="F41" i="12"/>
  <c r="O40" i="12"/>
  <c r="N40" i="12"/>
  <c r="M40" i="12"/>
  <c r="L40" i="12"/>
  <c r="K40" i="12"/>
  <c r="F40" i="12"/>
  <c r="O39" i="12"/>
  <c r="N39" i="12"/>
  <c r="M39" i="12"/>
  <c r="L39" i="12"/>
  <c r="K39" i="12"/>
  <c r="F39" i="12"/>
  <c r="O38" i="12"/>
  <c r="N38" i="12"/>
  <c r="M38" i="12"/>
  <c r="L38" i="12"/>
  <c r="K38" i="12"/>
  <c r="F38" i="12"/>
  <c r="O37" i="12"/>
  <c r="N37" i="12"/>
  <c r="M37" i="12"/>
  <c r="L37" i="12"/>
  <c r="K37" i="12"/>
  <c r="F37" i="12"/>
  <c r="O36" i="12"/>
  <c r="N36" i="12"/>
  <c r="M36" i="12"/>
  <c r="L36" i="12"/>
  <c r="K36" i="12"/>
  <c r="F36" i="12"/>
  <c r="O35" i="12"/>
  <c r="N35" i="12"/>
  <c r="M35" i="12"/>
  <c r="L35" i="12"/>
  <c r="K35" i="12"/>
  <c r="F35" i="12"/>
  <c r="O34" i="12"/>
  <c r="N34" i="12"/>
  <c r="M34" i="12"/>
  <c r="L34" i="12"/>
  <c r="K34" i="12"/>
  <c r="F34" i="12"/>
  <c r="O33" i="12"/>
  <c r="N33" i="12"/>
  <c r="M33" i="12"/>
  <c r="L33" i="12"/>
  <c r="K33" i="12"/>
  <c r="F33" i="12"/>
  <c r="O32" i="12"/>
  <c r="N32" i="12"/>
  <c r="M32" i="12"/>
  <c r="L32" i="12"/>
  <c r="K32" i="12"/>
  <c r="F32" i="12"/>
  <c r="O31" i="12"/>
  <c r="N31" i="12"/>
  <c r="M31" i="12"/>
  <c r="L31" i="12"/>
  <c r="K31" i="12"/>
  <c r="F31" i="12"/>
  <c r="O30" i="12"/>
  <c r="N30" i="12"/>
  <c r="M30" i="12"/>
  <c r="L30" i="12"/>
  <c r="K30" i="12"/>
  <c r="F30" i="12"/>
  <c r="O29" i="12"/>
  <c r="N29" i="12"/>
  <c r="M29" i="12"/>
  <c r="L29" i="12"/>
  <c r="K29" i="12"/>
  <c r="F29" i="12"/>
  <c r="O28" i="12"/>
  <c r="N28" i="12"/>
  <c r="M28" i="12"/>
  <c r="L28" i="12"/>
  <c r="K28" i="12"/>
  <c r="F28" i="12"/>
  <c r="O27" i="12"/>
  <c r="N27" i="12"/>
  <c r="M27" i="12"/>
  <c r="L27" i="12"/>
  <c r="K27" i="12"/>
  <c r="F27" i="12"/>
  <c r="O26" i="12"/>
  <c r="N26" i="12"/>
  <c r="M26" i="12"/>
  <c r="L26" i="12"/>
  <c r="K26" i="12"/>
  <c r="F26" i="12"/>
  <c r="O25" i="12"/>
  <c r="N25" i="12"/>
  <c r="M25" i="12"/>
  <c r="L25" i="12"/>
  <c r="K25" i="12"/>
  <c r="F25" i="12"/>
  <c r="O24" i="12"/>
  <c r="N24" i="12"/>
  <c r="M24" i="12"/>
  <c r="L24" i="12"/>
  <c r="K24" i="12"/>
  <c r="F24" i="12"/>
  <c r="O23" i="12"/>
  <c r="N23" i="12"/>
  <c r="M23" i="12"/>
  <c r="L23" i="12"/>
  <c r="K23" i="12"/>
  <c r="F23" i="12"/>
  <c r="O22" i="12"/>
  <c r="N22" i="12"/>
  <c r="M22" i="12"/>
  <c r="L22" i="12"/>
  <c r="K22" i="12"/>
  <c r="F22" i="12"/>
  <c r="O21" i="12"/>
  <c r="N21" i="12"/>
  <c r="M21" i="12"/>
  <c r="L21" i="12"/>
  <c r="K21" i="12"/>
  <c r="F21" i="12"/>
  <c r="O20" i="12"/>
  <c r="N20" i="12"/>
  <c r="M20" i="12"/>
  <c r="L20" i="12"/>
  <c r="K20" i="12"/>
  <c r="F20" i="12"/>
  <c r="O19" i="12"/>
  <c r="N19" i="12"/>
  <c r="M19" i="12"/>
  <c r="L19" i="12"/>
  <c r="K19" i="12"/>
  <c r="F19" i="12"/>
  <c r="O18" i="12"/>
  <c r="N18" i="12"/>
  <c r="M18" i="12"/>
  <c r="L18" i="12"/>
  <c r="K18" i="12"/>
  <c r="F18" i="12"/>
  <c r="O17" i="12"/>
  <c r="N17" i="12"/>
  <c r="M17" i="12"/>
  <c r="L17" i="12"/>
  <c r="K17" i="12"/>
  <c r="F17" i="12"/>
  <c r="O16" i="12"/>
  <c r="N16" i="12"/>
  <c r="M16" i="12"/>
  <c r="L16" i="12"/>
  <c r="K16" i="12"/>
  <c r="F16" i="12"/>
  <c r="O15" i="12"/>
  <c r="N15" i="12"/>
  <c r="M15" i="12"/>
  <c r="L15" i="12"/>
  <c r="K15" i="12"/>
  <c r="F15" i="12"/>
  <c r="O14" i="12"/>
  <c r="N14" i="12"/>
  <c r="M14" i="12"/>
  <c r="L14" i="12"/>
  <c r="K14" i="12"/>
  <c r="F14" i="12"/>
  <c r="O13" i="12"/>
  <c r="N13" i="12"/>
  <c r="M13" i="12"/>
  <c r="L13" i="12"/>
  <c r="K13" i="12"/>
  <c r="F13" i="12"/>
  <c r="O12" i="12"/>
  <c r="N12" i="12"/>
  <c r="M12" i="12"/>
  <c r="L12" i="12"/>
  <c r="K12" i="12"/>
  <c r="F12" i="12"/>
  <c r="O11" i="12"/>
  <c r="N11" i="12"/>
  <c r="M11" i="12"/>
  <c r="L11" i="12"/>
  <c r="K11" i="12"/>
  <c r="F11" i="12"/>
  <c r="O10" i="12"/>
  <c r="N10" i="12"/>
  <c r="M10" i="12"/>
  <c r="L10" i="12"/>
  <c r="K10" i="12"/>
  <c r="F10" i="12"/>
  <c r="O9" i="12"/>
  <c r="N9" i="12"/>
  <c r="M9" i="12"/>
  <c r="L9" i="12"/>
  <c r="K9" i="12"/>
  <c r="F9" i="12"/>
  <c r="O8" i="12"/>
  <c r="N8" i="12"/>
  <c r="M8" i="12"/>
  <c r="L8" i="12"/>
  <c r="K8" i="12"/>
  <c r="F8" i="12"/>
  <c r="O7" i="12"/>
  <c r="N7" i="12"/>
  <c r="M7" i="12"/>
  <c r="L7" i="12"/>
  <c r="K7" i="12"/>
  <c r="F7" i="12"/>
  <c r="O6" i="12"/>
  <c r="N6" i="12"/>
  <c r="M6" i="12"/>
  <c r="L6" i="12"/>
  <c r="K6" i="12"/>
  <c r="F6" i="12"/>
  <c r="O5" i="12"/>
  <c r="N5" i="12"/>
  <c r="M5" i="12"/>
  <c r="L5" i="12"/>
  <c r="K5" i="12"/>
  <c r="F5" i="12"/>
  <c r="O4" i="12"/>
  <c r="N4" i="12"/>
  <c r="M4" i="12"/>
  <c r="L4" i="12"/>
  <c r="K4" i="12"/>
  <c r="F4" i="12"/>
  <c r="O3" i="12"/>
  <c r="N3" i="12"/>
  <c r="M3" i="12"/>
  <c r="L3" i="12"/>
  <c r="K3" i="12"/>
  <c r="F3" i="12"/>
  <c r="O2" i="12"/>
  <c r="N2" i="12"/>
  <c r="M2" i="12"/>
  <c r="L2" i="12"/>
  <c r="K2" i="12"/>
  <c r="F2" i="12"/>
  <c r="J15" i="13" l="1"/>
  <c r="J10" i="13"/>
  <c r="J5" i="13"/>
  <c r="Q45" i="1" l="1"/>
  <c r="Q41" i="1"/>
  <c r="Q37" i="1"/>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2" i="1"/>
  <c r="Q33" i="1"/>
  <c r="Q29" i="1"/>
  <c r="Q25"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2" i="1"/>
  <c r="Q4" i="1"/>
</calcChain>
</file>

<file path=xl/sharedStrings.xml><?xml version="1.0" encoding="utf-8"?>
<sst xmlns="http://schemas.openxmlformats.org/spreadsheetml/2006/main" count="8129" uniqueCount="1054">
  <si>
    <t>Date</t>
  </si>
  <si>
    <t>Gender</t>
  </si>
  <si>
    <t>Age</t>
  </si>
  <si>
    <t>Quantity</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</si>
  <si>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</si>
  <si>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</si>
  <si>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</si>
  <si>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</si>
  <si>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</si>
  <si>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</si>
  <si>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</si>
  <si>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</si>
  <si>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</si>
  <si>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</si>
  <si>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</si>
  <si>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</si>
  <si>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</si>
  <si>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</si>
  <si>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</si>
  <si>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</si>
  <si>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</si>
  <si>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</si>
  <si>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</si>
  <si>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</si>
  <si>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</si>
  <si>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</si>
  <si>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</si>
  <si>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</si>
  <si>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</si>
  <si>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</si>
  <si>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</si>
  <si>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</si>
  <si>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</si>
  <si>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</si>
  <si>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</si>
  <si>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</si>
  <si>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</si>
  <si>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</si>
  <si>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</si>
  <si>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</si>
  <si>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</si>
  <si>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</si>
  <si>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</si>
  <si>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</si>
  <si>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</si>
  <si>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</si>
  <si>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</si>
  <si>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</si>
  <si>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</si>
  <si>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</si>
  <si>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</si>
  <si>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</si>
  <si>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</si>
  <si>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</si>
  <si>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</si>
  <si>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</si>
  <si>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</si>
  <si>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</si>
  <si>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</si>
  <si>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</si>
  <si>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</si>
  <si>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</si>
  <si>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</si>
  <si>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</si>
  <si>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</si>
  <si>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</si>
  <si>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</si>
  <si>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</si>
  <si>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</si>
  <si>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</si>
  <si>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</si>
  <si>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</si>
  <si>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</si>
  <si>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</si>
  <si>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</si>
  <si>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</si>
  <si>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</si>
  <si>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</si>
  <si>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</si>
  <si>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</si>
  <si>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</si>
  <si>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</si>
  <si>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</si>
  <si>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</si>
  <si>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</si>
  <si>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</si>
  <si>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</si>
  <si>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</si>
  <si>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</si>
  <si>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</si>
  <si>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</si>
  <si>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</si>
  <si>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</si>
  <si>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</si>
  <si>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</si>
  <si>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</si>
  <si>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</si>
  <si>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</si>
  <si>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</si>
  <si>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</si>
  <si>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</si>
  <si>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</si>
  <si>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</si>
  <si>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</si>
  <si>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</si>
  <si>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</si>
  <si>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</si>
  <si>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</si>
  <si>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</si>
  <si>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</si>
  <si>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</si>
  <si>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</si>
  <si>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</si>
  <si>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</si>
  <si>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</si>
  <si>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</si>
  <si>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</si>
  <si>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</si>
  <si>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</si>
  <si>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</si>
  <si>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</si>
  <si>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</si>
  <si>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</si>
  <si>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</si>
  <si>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</si>
  <si>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</si>
  <si>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</si>
  <si>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</si>
  <si>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</si>
  <si>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</si>
  <si>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</si>
  <si>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</si>
  <si>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</si>
  <si>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</si>
  <si>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</si>
  <si>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</si>
  <si>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</si>
  <si>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</si>
  <si>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</si>
  <si>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</si>
  <si>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</si>
  <si>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</si>
  <si>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</si>
  <si>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</si>
  <si>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</si>
  <si>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</si>
  <si>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</si>
  <si>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</si>
  <si>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</si>
  <si>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</si>
  <si>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</si>
  <si>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</si>
  <si>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</si>
  <si>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</si>
  <si>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</si>
  <si>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</si>
  <si>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</si>
  <si>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</si>
  <si>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</si>
  <si>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</si>
  <si>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</si>
  <si>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</si>
  <si>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</si>
  <si>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</si>
  <si>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</si>
  <si>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</si>
  <si>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</si>
  <si>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</si>
  <si>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</si>
  <si>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</si>
  <si>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</si>
  <si>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</si>
  <si>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</si>
  <si>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</si>
  <si>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</si>
  <si>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</si>
  <si>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</si>
  <si>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</si>
  <si>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</si>
  <si>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</si>
  <si>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</si>
  <si>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</si>
  <si>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</si>
  <si>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</si>
  <si>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</si>
  <si>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</si>
  <si>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</si>
  <si>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</si>
  <si>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</si>
  <si>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</si>
  <si>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</si>
  <si>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</si>
  <si>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</si>
  <si>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</si>
  <si>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</si>
  <si>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</si>
  <si>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</si>
  <si>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</si>
  <si>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</si>
  <si>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</si>
  <si>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</si>
  <si>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</si>
  <si>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</si>
  <si>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</si>
  <si>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</si>
  <si>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</si>
  <si>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</si>
  <si>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</si>
  <si>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</si>
  <si>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</si>
  <si>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</si>
  <si>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</si>
  <si>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</si>
  <si>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</si>
  <si>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</si>
  <si>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</si>
  <si>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</si>
  <si>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</si>
  <si>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</si>
  <si>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</si>
  <si>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</si>
  <si>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</si>
  <si>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</si>
  <si>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</si>
  <si>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</si>
  <si>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</si>
  <si>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</si>
  <si>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</si>
  <si>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</si>
  <si>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</si>
  <si>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</si>
  <si>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</si>
  <si>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</si>
  <si>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</si>
  <si>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</si>
  <si>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</si>
  <si>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</si>
  <si>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</si>
  <si>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</si>
  <si>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</si>
  <si>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</si>
  <si>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</si>
  <si>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</si>
  <si>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</si>
  <si>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</si>
  <si>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</si>
  <si>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</si>
  <si>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</si>
  <si>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</si>
  <si>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</si>
  <si>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</si>
  <si>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</si>
  <si>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</si>
  <si>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</si>
  <si>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</si>
  <si>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</si>
  <si>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</si>
  <si>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</si>
  <si>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</si>
  <si>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</si>
  <si>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</si>
  <si>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</si>
  <si>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</si>
  <si>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</si>
  <si>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</si>
  <si>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</si>
  <si>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</si>
  <si>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</si>
  <si>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</si>
  <si>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</si>
  <si>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</si>
  <si>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</si>
  <si>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</si>
  <si>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</si>
  <si>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</si>
  <si>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</si>
  <si>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</si>
  <si>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</si>
  <si>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</si>
  <si>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</si>
  <si>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</si>
  <si>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</si>
  <si>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</si>
  <si>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</si>
  <si>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</si>
  <si>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</si>
  <si>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</si>
  <si>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</si>
  <si>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</si>
  <si>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</si>
  <si>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</si>
  <si>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</si>
  <si>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</si>
  <si>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</si>
  <si>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</si>
  <si>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</si>
  <si>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</si>
  <si>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</si>
  <si>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</si>
  <si>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</si>
  <si>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</si>
  <si>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</si>
  <si>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</si>
  <si>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</si>
  <si>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</si>
  <si>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</si>
  <si>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</si>
  <si>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</si>
  <si>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</si>
  <si>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</si>
  <si>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</si>
  <si>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</si>
  <si>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</si>
  <si>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</si>
  <si>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</si>
  <si>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</si>
  <si>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</si>
  <si>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</si>
  <si>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</si>
  <si>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</si>
  <si>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</si>
  <si>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</si>
  <si>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</si>
  <si>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</si>
  <si>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</si>
  <si>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</si>
  <si>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</si>
  <si>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</si>
  <si>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</si>
  <si>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</si>
  <si>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</si>
  <si>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</si>
  <si>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</si>
  <si>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</si>
  <si>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</si>
  <si>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</si>
  <si>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</si>
  <si>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</si>
  <si>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</si>
  <si>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</si>
  <si>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</si>
  <si>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</si>
  <si>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</si>
  <si>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</si>
  <si>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</si>
  <si>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</si>
  <si>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</si>
  <si>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</si>
  <si>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</si>
  <si>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</si>
  <si>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</si>
  <si>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</si>
  <si>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</si>
  <si>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</si>
  <si>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</si>
  <si>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</si>
  <si>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</si>
  <si>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</si>
  <si>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</si>
  <si>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</si>
  <si>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</si>
  <si>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</si>
  <si>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</si>
  <si>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</si>
  <si>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</si>
  <si>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</si>
  <si>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</si>
  <si>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</si>
  <si>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</si>
  <si>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</si>
  <si>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</si>
  <si>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</si>
  <si>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</si>
  <si>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</si>
  <si>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</si>
  <si>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</si>
  <si>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</si>
  <si>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</si>
  <si>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</si>
  <si>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</si>
  <si>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</si>
  <si>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</si>
  <si>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</si>
  <si>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</si>
  <si>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</si>
  <si>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</si>
  <si>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</si>
  <si>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</si>
  <si>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</si>
  <si>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</si>
  <si>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</si>
  <si>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</si>
  <si>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</si>
  <si>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</si>
  <si>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</si>
  <si>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</si>
  <si>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</si>
  <si>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</si>
  <si>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</si>
  <si>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</si>
  <si>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</si>
  <si>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</si>
  <si>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</si>
  <si>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</si>
  <si>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</si>
  <si>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</si>
  <si>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</si>
  <si>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</si>
  <si>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</si>
  <si>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</si>
  <si>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</si>
  <si>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</si>
  <si>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</si>
  <si>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</si>
  <si>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</si>
  <si>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</si>
  <si>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</si>
  <si>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</si>
  <si>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</si>
  <si>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</si>
  <si>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</si>
  <si>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</si>
  <si>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</si>
  <si>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</si>
  <si>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</si>
  <si>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</si>
  <si>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</si>
  <si>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</si>
  <si>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</si>
  <si>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</si>
  <si>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</si>
  <si>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</si>
  <si>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</si>
  <si>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</si>
  <si>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</si>
  <si>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</si>
  <si>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</si>
  <si>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</si>
  <si>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</si>
  <si>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</si>
  <si>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</si>
  <si>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</si>
  <si>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</si>
  <si>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</si>
  <si>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</si>
  <si>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</si>
  <si>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</si>
  <si>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</si>
  <si>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</si>
  <si>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</si>
  <si>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</si>
  <si>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</si>
  <si>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</si>
  <si>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</si>
  <si>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</si>
  <si>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</si>
  <si>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</si>
  <si>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</si>
  <si>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</si>
  <si>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</si>
  <si>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</si>
  <si>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</si>
  <si>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</si>
  <si>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</si>
  <si>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</si>
  <si>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</si>
  <si>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</si>
  <si>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</si>
  <si>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</si>
  <si>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</si>
  <si>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</si>
  <si>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</si>
  <si>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</si>
  <si>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</si>
  <si>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</si>
  <si>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</si>
  <si>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</si>
  <si>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</si>
  <si>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</si>
  <si>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</si>
  <si>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</si>
  <si>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</si>
  <si>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</si>
  <si>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</si>
  <si>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</si>
  <si>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</si>
  <si>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</si>
  <si>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</si>
  <si>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</si>
  <si>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</si>
  <si>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</si>
  <si>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</si>
  <si>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</si>
  <si>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</si>
  <si>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</si>
  <si>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</si>
  <si>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</si>
  <si>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</si>
  <si>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</si>
  <si>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</si>
  <si>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</si>
  <si>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</si>
  <si>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</si>
  <si>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</si>
  <si>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</si>
  <si>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</si>
  <si>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</si>
  <si>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</si>
  <si>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</si>
  <si>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</si>
  <si>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</si>
  <si>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</si>
  <si>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</si>
  <si>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</si>
  <si>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</si>
  <si>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</si>
  <si>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</si>
  <si>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</si>
  <si>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</si>
  <si>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</si>
  <si>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</si>
  <si>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</si>
  <si>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</si>
  <si>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</si>
  <si>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</si>
  <si>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</si>
  <si>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</si>
  <si>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</si>
  <si>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</si>
  <si>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</si>
  <si>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</si>
  <si>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</si>
  <si>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</si>
  <si>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</si>
  <si>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</si>
  <si>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</si>
  <si>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</si>
  <si>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</si>
  <si>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</si>
  <si>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</si>
  <si>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</si>
  <si>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</si>
  <si>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</si>
  <si>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</si>
  <si>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</si>
  <si>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</si>
  <si>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</si>
  <si>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</si>
  <si>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</si>
  <si>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</si>
  <si>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</si>
  <si>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</si>
  <si>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</si>
  <si>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</si>
  <si>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</si>
  <si>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</si>
  <si>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</si>
  <si>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</si>
  <si>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</si>
  <si>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</si>
  <si>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</si>
  <si>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</si>
  <si>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</si>
  <si>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</si>
  <si>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</si>
  <si>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</si>
  <si>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</si>
  <si>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</si>
  <si>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</si>
  <si>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</si>
  <si>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</si>
  <si>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</si>
  <si>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</si>
  <si>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</si>
  <si>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</si>
  <si>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</si>
  <si>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</si>
  <si>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</si>
  <si>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</si>
  <si>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</si>
  <si>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</si>
  <si>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</si>
  <si>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</si>
  <si>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</si>
  <si>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</si>
  <si>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</si>
  <si>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</si>
  <si>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</si>
  <si>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</si>
  <si>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</si>
  <si>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</si>
  <si>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</si>
  <si>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</si>
  <si>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</si>
  <si>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</si>
  <si>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</si>
  <si>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</si>
  <si>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</si>
  <si>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</si>
  <si>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</si>
  <si>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</si>
  <si>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</si>
  <si>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</si>
  <si>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</si>
  <si>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</si>
  <si>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</si>
  <si>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</si>
  <si>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</si>
  <si>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</si>
  <si>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</si>
  <si>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</si>
  <si>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</si>
  <si>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</si>
  <si>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</si>
  <si>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</si>
  <si>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</si>
  <si>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</si>
  <si>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</si>
  <si>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</si>
  <si>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</si>
  <si>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</si>
  <si>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</si>
  <si>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</si>
  <si>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</si>
  <si>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</si>
  <si>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</si>
  <si>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</si>
  <si>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</si>
  <si>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</si>
  <si>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</si>
  <si>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</si>
  <si>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</si>
  <si>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</si>
  <si>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</si>
  <si>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</si>
  <si>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</si>
  <si>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</si>
  <si>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</si>
  <si>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</si>
  <si>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</si>
  <si>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</si>
  <si>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</si>
  <si>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</si>
  <si>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</si>
  <si>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</si>
  <si>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</si>
  <si>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</si>
  <si>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</si>
  <si>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</si>
  <si>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</si>
  <si>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</si>
  <si>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</si>
  <si>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</si>
  <si>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</si>
  <si>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</si>
  <si>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</si>
  <si>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</si>
  <si>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</si>
  <si>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</si>
  <si>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</si>
  <si>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</si>
  <si>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</si>
  <si>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</si>
  <si>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</si>
  <si>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</si>
  <si>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</si>
  <si>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</si>
  <si>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</si>
  <si>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</si>
  <si>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</si>
  <si>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</si>
  <si>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</si>
  <si>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</si>
  <si>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</si>
  <si>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</si>
  <si>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</si>
  <si>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</si>
  <si>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</si>
  <si>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</si>
  <si>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</si>
  <si>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</si>
  <si>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</si>
  <si>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</si>
  <si>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</si>
  <si>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</si>
  <si>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</si>
  <si>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</si>
  <si>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</si>
  <si>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</si>
  <si>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</si>
  <si>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</si>
  <si>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</si>
  <si>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</si>
  <si>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</si>
  <si>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</si>
  <si>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</si>
  <si>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</si>
  <si>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</si>
  <si>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</si>
  <si>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</si>
  <si>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</si>
  <si>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</si>
  <si>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</si>
  <si>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</si>
  <si>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</si>
  <si>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</si>
  <si>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</si>
  <si>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</si>
  <si>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</si>
  <si>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</si>
  <si>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</si>
  <si>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</si>
  <si>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</si>
  <si>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</si>
  <si>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</si>
  <si>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</si>
  <si>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</si>
  <si>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</si>
  <si>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</si>
  <si>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</si>
  <si>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</si>
  <si>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</si>
  <si>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</si>
  <si>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</si>
  <si>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</si>
  <si>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</si>
  <si>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</si>
  <si>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</si>
  <si>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</si>
  <si>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</si>
  <si>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</si>
  <si>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</si>
  <si>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</si>
  <si>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</si>
  <si>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</si>
  <si>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</si>
  <si>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</si>
  <si>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</si>
  <si>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</si>
  <si>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</si>
  <si>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</si>
  <si>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</si>
  <si>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</si>
  <si>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</si>
  <si>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</si>
  <si>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</si>
  <si>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</si>
  <si>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</si>
  <si>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</si>
  <si>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</si>
  <si>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</si>
  <si>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</si>
  <si>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</si>
  <si>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</si>
  <si>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</si>
  <si>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</si>
  <si>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</si>
  <si>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</si>
  <si>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</si>
  <si>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</si>
  <si>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</si>
  <si>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</si>
  <si>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</si>
  <si>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</si>
  <si>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</si>
  <si>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</si>
  <si>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</si>
  <si>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</si>
  <si>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</si>
  <si>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</si>
  <si>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</si>
  <si>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</si>
  <si>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</si>
  <si>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</si>
  <si>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</si>
  <si>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</si>
  <si>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</si>
  <si>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</si>
  <si>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</si>
  <si>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</si>
  <si>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</si>
  <si>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</si>
  <si>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</si>
  <si>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</si>
  <si>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</si>
  <si>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</si>
  <si>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</si>
  <si>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</si>
  <si>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</si>
  <si>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</si>
  <si>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</si>
  <si>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</si>
  <si>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</si>
  <si>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</si>
  <si>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</si>
  <si>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</si>
  <si>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</si>
  <si>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</si>
  <si>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</si>
  <si>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</si>
  <si>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</si>
  <si>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</si>
  <si>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</si>
  <si>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</si>
  <si>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</si>
  <si>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</si>
  <si>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</si>
  <si>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</si>
  <si>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</si>
  <si>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</si>
  <si>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</si>
  <si>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</si>
  <si>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</si>
  <si>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</si>
  <si>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</si>
  <si>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</si>
  <si>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</si>
  <si>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</si>
  <si>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</si>
  <si>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</si>
  <si>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</si>
  <si>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</si>
  <si>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</si>
  <si>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</si>
  <si>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</si>
  <si>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</si>
  <si>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</si>
  <si>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</si>
  <si>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</si>
  <si>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</si>
  <si>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</si>
  <si>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</si>
  <si>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</si>
  <si>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</si>
  <si>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</si>
  <si>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</si>
  <si>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</si>
  <si>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</si>
  <si>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</si>
  <si>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</si>
  <si>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</si>
  <si>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</si>
  <si>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</si>
  <si>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</si>
  <si>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</si>
  <si>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</si>
  <si>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</si>
  <si>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</si>
  <si>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</si>
  <si>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</si>
  <si>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</si>
  <si>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</si>
  <si>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</si>
  <si>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</si>
  <si>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</si>
  <si>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</si>
  <si>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</si>
  <si>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</si>
  <si>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</si>
  <si>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</si>
  <si>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</si>
  <si>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</si>
  <si>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</si>
  <si>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</si>
  <si>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</si>
  <si>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</si>
  <si>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</si>
  <si>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</si>
  <si>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</si>
  <si>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</si>
  <si>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</si>
  <si>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</si>
  <si>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</si>
  <si>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</si>
  <si>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</si>
  <si>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</si>
  <si>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</si>
  <si>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</si>
  <si>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</si>
  <si>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</si>
  <si>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</si>
  <si>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</si>
  <si>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</si>
  <si>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</si>
  <si>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</si>
  <si>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</si>
  <si>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</si>
  <si>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</si>
  <si>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</si>
  <si>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</si>
  <si>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</si>
  <si>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</si>
  <si>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</si>
  <si>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</si>
  <si>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</si>
  <si>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</si>
  <si>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</si>
  <si>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</si>
  <si>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</si>
  <si>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</si>
  <si>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</si>
  <si>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</si>
  <si>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</si>
  <si>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</si>
  <si>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</si>
  <si>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</si>
  <si>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</si>
  <si>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</si>
  <si>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</si>
  <si>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</si>
  <si>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</si>
  <si>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</si>
  <si>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</si>
  <si>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</si>
  <si>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</si>
  <si>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</si>
  <si>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</si>
  <si>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</si>
  <si>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</si>
  <si>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</si>
  <si>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</si>
  <si>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</si>
  <si>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</si>
  <si>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</si>
  <si>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</si>
  <si>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</si>
  <si>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</si>
  <si>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</si>
  <si>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</si>
  <si>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</si>
  <si>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</si>
  <si>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</si>
  <si>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</si>
  <si>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</si>
  <si>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</si>
  <si>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</si>
  <si>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</si>
  <si>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</si>
  <si>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</si>
  <si>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</si>
  <si>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</si>
  <si>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</si>
  <si>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</si>
  <si>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</si>
  <si>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</si>
  <si>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</si>
  <si>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</si>
  <si>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</si>
  <si>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</si>
  <si>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</si>
  <si>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</si>
  <si>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</si>
  <si>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</si>
  <si>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</si>
  <si>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</si>
  <si>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</si>
  <si>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</si>
  <si>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</si>
  <si>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</si>
  <si>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</si>
  <si>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</si>
  <si>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</si>
  <si>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</si>
  <si>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</si>
  <si>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</si>
  <si>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</si>
  <si>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</si>
  <si>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</si>
  <si>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</si>
  <si>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</si>
  <si>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</si>
  <si>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</si>
  <si>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</si>
  <si>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</si>
  <si>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</si>
  <si>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</si>
  <si>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</si>
  <si>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</si>
  <si>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</si>
  <si>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</si>
  <si>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</si>
  <si>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</si>
  <si>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</si>
  <si>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</si>
  <si>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</si>
  <si>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</si>
  <si>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</si>
  <si>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</si>
  <si>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</si>
  <si>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</si>
  <si>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</si>
  <si>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</si>
  <si>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</si>
  <si>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</si>
  <si>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</si>
  <si>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</si>
  <si>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</si>
  <si>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</si>
  <si>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</si>
  <si>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</si>
  <si>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</si>
  <si>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</si>
  <si>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</si>
  <si>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</si>
  <si>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</si>
  <si>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</si>
  <si>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</si>
  <si>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</si>
  <si>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</si>
  <si>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Transaction_ID</t>
  </si>
  <si>
    <t>Customer_ID</t>
  </si>
  <si>
    <t>Product_Category</t>
  </si>
  <si>
    <t>Price_per_Unit</t>
  </si>
  <si>
    <t>Total_Amount</t>
  </si>
  <si>
    <t xml:space="preserve">Checking Missing Values </t>
  </si>
  <si>
    <t>Year</t>
  </si>
  <si>
    <t>Month</t>
  </si>
  <si>
    <t>Quarter</t>
  </si>
  <si>
    <t>Day_of_Week</t>
  </si>
  <si>
    <t>Average Sales</t>
  </si>
  <si>
    <t>Sales_Classification</t>
  </si>
  <si>
    <t>Age_Group</t>
  </si>
  <si>
    <t>Row Labels</t>
  </si>
  <si>
    <t>Grand Total</t>
  </si>
  <si>
    <t>Sum of Total_Amount</t>
  </si>
  <si>
    <t>January</t>
  </si>
  <si>
    <t>February</t>
  </si>
  <si>
    <t>March</t>
  </si>
  <si>
    <t>April</t>
  </si>
  <si>
    <t>May</t>
  </si>
  <si>
    <t>June</t>
  </si>
  <si>
    <t>July</t>
  </si>
  <si>
    <t>August</t>
  </si>
  <si>
    <t>September</t>
  </si>
  <si>
    <t>October</t>
  </si>
  <si>
    <t>November</t>
  </si>
  <si>
    <t>December</t>
  </si>
  <si>
    <t>Adult</t>
  </si>
  <si>
    <t>Senior</t>
  </si>
  <si>
    <t>Young</t>
  </si>
  <si>
    <t>Column Labels</t>
  </si>
  <si>
    <t>Sunday</t>
  </si>
  <si>
    <t>Monday</t>
  </si>
  <si>
    <t>Tuesday</t>
  </si>
  <si>
    <t>Wednesday</t>
  </si>
  <si>
    <t>Thursday</t>
  </si>
  <si>
    <t>Friday</t>
  </si>
  <si>
    <t>Saturday</t>
  </si>
  <si>
    <t>Total Transactions</t>
  </si>
  <si>
    <t>Quantity Sold</t>
  </si>
  <si>
    <t>Total Customers</t>
  </si>
  <si>
    <t>Total Revenue</t>
  </si>
  <si>
    <t>Average Age</t>
  </si>
  <si>
    <t>Total Count of Gender</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</si>
</sst>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6"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1" fillId="3" borderId="0" xfId="0" applyFont="1" applyFill="1"/>
    <xf numFmtId="1" fontId="0" fillId="0" borderId="0" xfId="0" applyNumberFormat="1"/>
    <xf numFmtId="1" fontId="1" fillId="2" borderId="0" xfId="0" applyNumberFormat="1" applyFont="1" applyFill="1"/>
    <xf numFmtId="49" fontId="1" fillId="2" borderId="0" xfId="0" applyNumberFormat="1" applyFont="1" applyFill="1"/>
    <xf numFmtId="49" fontId="0" fillId="0" borderId="0" xfId="0" applyNumberFormat="1"/>
    <xf numFmtId="0" fontId="0" fillId="0" borderId="0" xfId="0" applyAlignment="1">
      <alignment horizontal="center"/>
    </xf>
    <xf numFmtId="0" fontId="1" fillId="3" borderId="0" xfId="0" applyFont="1" applyFill="1" applyAlignment="1">
      <alignment horizontal="center"/>
    </xf>
    <xf numFmtId="1"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xf numFmtId="10" fontId="0" fillId="0" borderId="0" xfId="0" applyNumberFormat="1"/>
    <xf numFmtId="1" fontId="1" fillId="2" borderId="1" xfId="0" applyNumberFormat="1" applyFont="1" applyFill="1" applyBorder="1"/>
    <xf numFmtId="14" fontId="1" fillId="2" borderId="1" xfId="0" applyNumberFormat="1" applyFont="1" applyFill="1" applyBorder="1"/>
    <xf numFmtId="49" fontId="1" fillId="2" borderId="1" xfId="0" applyNumberFormat="1" applyFont="1" applyFill="1" applyBorder="1"/>
    <xf numFmtId="0" fontId="1" fillId="2" borderId="1" xfId="0" applyFont="1" applyFill="1" applyBorder="1"/>
    <xf numFmtId="1" fontId="0" fillId="0" borderId="1" xfId="0" applyNumberFormat="1" applyBorder="1"/>
    <xf numFmtId="14" fontId="0" fillId="0" borderId="1" xfId="0" applyNumberFormat="1" applyBorder="1"/>
    <xf numFmtId="49" fontId="0" fillId="0" borderId="1" xfId="0" applyNumberFormat="1" applyBorder="1"/>
    <xf numFmtId="0" fontId="0" fillId="0" borderId="1" xfId="0" applyBorder="1"/>
    <xf numFmtId="1" fontId="1" fillId="2" borderId="0" xfId="0" applyNumberFormat="1" applyFont="1" applyFill="1" applyAlignment="1">
      <alignment horizontal="center"/>
    </xf>
    <xf numFmtId="1" fontId="1" fillId="2" borderId="0" xfId="0" applyNumberFormat="1" applyFont="1" applyFill="1" applyAlignment="1">
      <alignment horizontal="left"/>
    </xf>
    <xf numFmtId="14" fontId="1" fillId="2" borderId="0" xfId="0" applyNumberFormat="1" applyFont="1" applyFill="1" applyAlignment="1">
      <alignment horizontal="left"/>
    </xf>
    <xf numFmtId="14" fontId="0" fillId="0" borderId="0" xfId="0" applyNumberFormat="1" applyAlignment="1">
      <alignment horizontal="left"/>
    </xf>
    <xf numFmtId="0" fontId="1" fillId="2" borderId="0" xfId="0" applyFont="1" applyFill="1" applyAlignment="1">
      <alignment horizontal="center"/>
    </xf>
    <xf numFmtId="49" fontId="0" fillId="0" borderId="1" xfId="0" applyNumberFormat="1" applyBorder="1" applyAlignment="1">
      <alignment horizontal="center"/>
    </xf>
    <xf numFmtId="0" fontId="2" fillId="0" borderId="0" xfId="0" applyFont="1"/>
    <xf numFmtId="0" fontId="1" fillId="3" borderId="1" xfId="0" applyFont="1" applyFill="1" applyBorder="1" applyAlignment="1">
      <alignment horizontal="center"/>
    </xf>
    <xf numFmtId="0" fontId="0" fillId="0" borderId="1" xfId="0" applyBorder="1" applyAlignment="1">
      <alignment horizontal="center"/>
    </xf>
    <xf numFmtId="1" fontId="1" fillId="2" borderId="1" xfId="0" applyNumberFormat="1" applyFont="1" applyFill="1" applyBorder="1" applyAlignment="1">
      <alignment horizontal="center"/>
    </xf>
    <xf numFmtId="14" fontId="0" fillId="0" borderId="1" xfId="0" applyNumberFormat="1" applyBorder="1" applyAlignment="1">
      <alignment horizontal="center"/>
    </xf>
    <xf numFmtId="14" fontId="1" fillId="2" borderId="1" xfId="0" applyNumberFormat="1" applyFont="1" applyFill="1" applyBorder="1" applyAlignment="1">
      <alignment horizontal="left"/>
    </xf>
  </cellXfs>
  <cellStyles count="1">
    <cellStyle name="Normal" xfId="0" builtinId="0"/>
  </cellStyles>
  <dxfs count="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[retail_sales_analysis.xlsx]sales_by_category!PivotTable2</c:name>
    <c:fmtId val="0"/>
  </c:pivotSource>
  <c:chart>
    <c:title>
      <c:tx>
        <c:rich>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Arial Rounded MT Bold" panose="020F0704030504030204" pitchFamily="34" charset="0"/>
                <a:ea typeface="+mj-ea"/>
                <a:cs typeface="+mj-cs"/>
              </a:defRPr>
            </a:pPr>
            <a:r>
              <a:rPr lang="en-US" sz="1400">
                <a:latin typeface="Arial Rounded MT Bold" panose="020F0704030504030204" pitchFamily="34" charset="0"/>
              </a:rPr>
              <a:t>Sales by Product Category</a:t>
            </a:r>
          </a:p>
        </c:rich>
      </c:tx>
      <c:layout>
        <c:manualLayout>
          <c:xMode val="edge"/>
          <c:yMode val="edge"/>
          <c:x val="0.30041102362204719"/>
          <c:y val="4.3434836132209137E-2"/>
        </c:manualLayout>
      </c:layout>
      <c:overlay val="0"/>
      <c:spPr>
        <a:noFill/>
        <a:ln>
          <a:noFill/>
        </a:ln>
        <a:effectLst/>
      </c:spPr>
      <c:txPr>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Arial Rounded MT Bold" panose="020F0704030504030204" pitchFamily="34" charset="0"/>
              <a:ea typeface="+mj-ea"/>
              <a:cs typeface="+mj-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3798075240594928E-2"/>
          <c:y val="0.23670563026966762"/>
          <c:w val="0.83731303587051631"/>
          <c:h val="0.5900724107495412"/>
        </c:manualLayout>
      </c:layout>
      <c:barChart>
        <c:barDir val="col"/>
        <c:grouping val="clustered"/>
        <c:varyColors val="0"/>
        <c:ser>
          <c:idx val="0"/>
          <c:order val="0"/>
          <c:tx>
            <c:strRef>
              <c:f>sales_by_category!$B$3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sales_by_category!$A$4:$A$7</c:f>
              <c:strCache>
                <c:ptCount val="3"/>
                <c:pt idx="0">
                  <c:v>Beauty</c:v>
                </c:pt>
                <c:pt idx="1">
                  <c:v>Clothing</c:v>
                </c:pt>
                <c:pt idx="2">
                  <c:v>Electronics</c:v>
                </c:pt>
              </c:strCache>
            </c:strRef>
          </c:cat>
          <c:val>
            <c:numRef>
              <c:f>sales_by_category!$B$4:$B$7</c:f>
              <c:numCache>
                <c:formatCode>0.00%</c:formatCode>
                <c:ptCount val="3"/>
                <c:pt idx="0">
                  <c:v>0.31472587719298245</c:v>
                </c:pt>
                <c:pt idx="1">
                  <c:v>0.34118421052631581</c:v>
                </c:pt>
                <c:pt idx="2">
                  <c:v>0.34408991228070174</c:v>
                </c:pt>
              </c:numCache>
            </c:numRef>
          </c:val>
        </c:ser>
        <c:dLbls>
          <c:dLblPos val="outEnd"/>
          <c:showLegendKey val="0"/>
          <c:showVal val="1"/>
          <c:showCatName val="0"/>
          <c:showSerName val="0"/>
          <c:showPercent val="0"/>
          <c:showBubbleSize val="0"/>
        </c:dLbls>
        <c:gapWidth val="199"/>
        <c:axId val="298253952"/>
        <c:axId val="170449016"/>
      </c:barChart>
      <c:catAx>
        <c:axId val="29825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0449016"/>
        <c:crosses val="autoZero"/>
        <c:auto val="1"/>
        <c:lblAlgn val="ctr"/>
        <c:lblOffset val="100"/>
        <c:noMultiLvlLbl val="0"/>
      </c:catAx>
      <c:valAx>
        <c:axId val="17044901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253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[retail_sales_analysis.xlsx]sales_by_month!PivotTable3</c:name>
    <c:fmtId val="0"/>
  </c:pivotSource>
  <c:chart>
    <c:title>
      <c:tx>
        <c:rich>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Arial Rounded MT Bold" panose="020F0704030504030204" pitchFamily="34" charset="0"/>
                <a:ea typeface="+mj-ea"/>
                <a:cs typeface="+mj-cs"/>
              </a:defRPr>
            </a:pPr>
            <a:r>
              <a:rPr lang="en-US" sz="1400">
                <a:latin typeface="Arial Rounded MT Bold" panose="020F0704030504030204" pitchFamily="34" charset="0"/>
              </a:rPr>
              <a:t>Sales by Month</a:t>
            </a:r>
          </a:p>
        </c:rich>
      </c:tx>
      <c:layout>
        <c:manualLayout>
          <c:xMode val="edge"/>
          <c:yMode val="edge"/>
          <c:x val="0.41571865560600552"/>
          <c:y val="4.2344359042594822E-2"/>
        </c:manualLayout>
      </c:layout>
      <c:overlay val="0"/>
      <c:spPr>
        <a:noFill/>
        <a:ln>
          <a:noFill/>
        </a:ln>
        <a:effectLst/>
      </c:spPr>
      <c:txPr>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Arial Rounded MT Bold" panose="020F0704030504030204" pitchFamily="34" charset="0"/>
              <a:ea typeface="+mj-ea"/>
              <a:cs typeface="+mj-cs"/>
            </a:defRPr>
          </a:pPr>
          <a:endParaRPr lang="en-US"/>
        </a:p>
      </c:txPr>
    </c:title>
    <c:autoTitleDeleted val="0"/>
    <c:pivotFmts>
      <c:pivotFmt>
        <c:idx val="0"/>
        <c:spPr>
          <a:ln w="38100" cap="rnd">
            <a:solidFill>
              <a:schemeClr val="accent1"/>
            </a:solidFill>
            <a:round/>
          </a:ln>
          <a:effectLst/>
        </c:spPr>
        <c:marker>
          <c:symbol val="circle"/>
          <c:size val="8"/>
          <c:spPr>
            <a:solidFill>
              <a:schemeClr val="accent1"/>
            </a:solidFill>
            <a:ln>
              <a:noFill/>
            </a:ln>
            <a:effectLst/>
          </c:spPr>
        </c:marker>
      </c:pivotFmt>
    </c:pivotFmts>
    <c:plotArea>
      <c:layout/>
      <c:lineChart>
        <c:grouping val="standard"/>
        <c:varyColors val="0"/>
        <c:ser>
          <c:idx val="0"/>
          <c:order val="0"/>
          <c:tx>
            <c:strRef>
              <c:f>sales_by_month!$B$3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strRef>
              <c:f>sales_by_month!$A$4:$A$16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sales_by_month!$B$4:$B$16</c:f>
              <c:numCache>
                <c:formatCode>General</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ser>
        <c:dLbls>
          <c:showLegendKey val="0"/>
          <c:showVal val="0"/>
          <c:showCatName val="0"/>
          <c:showSerName val="0"/>
          <c:showPercent val="0"/>
          <c:showBubbleSize val="0"/>
        </c:dLbls>
        <c:marker val="1"/>
        <c:smooth val="0"/>
        <c:axId val="298370216"/>
        <c:axId val="299999432"/>
      </c:lineChart>
      <c:catAx>
        <c:axId val="298370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99999432"/>
        <c:crosses val="autoZero"/>
        <c:auto val="1"/>
        <c:lblAlgn val="ctr"/>
        <c:lblOffset val="100"/>
        <c:noMultiLvlLbl val="0"/>
      </c:catAx>
      <c:valAx>
        <c:axId val="29999943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370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[retail_sales_analysis.xlsx]sales_by_gender!PivotTable4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Rounded MT Bold" panose="020F0704030504030204" pitchFamily="34" charset="0"/>
                <a:ea typeface="+mn-ea"/>
                <a:cs typeface="+mn-cs"/>
              </a:defRPr>
            </a:pPr>
            <a:r>
              <a:rPr lang="en-US">
                <a:latin typeface="Arial Rounded MT Bold" panose="020F0704030504030204" pitchFamily="34" charset="0"/>
              </a:rPr>
              <a:t>Sales by Gender</a:t>
            </a:r>
          </a:p>
        </c:rich>
      </c:tx>
      <c:layout>
        <c:manualLayout>
          <c:xMode val="edge"/>
          <c:yMode val="edge"/>
          <c:x val="0.34805555555555556"/>
          <c:y val="3.52655805411710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manualLayout>
          <c:layoutTarget val="inner"/>
          <c:xMode val="edge"/>
          <c:yMode val="edge"/>
          <c:x val="0.29662357830271219"/>
          <c:y val="0.22755235550511141"/>
          <c:w val="0.41628937007874023"/>
          <c:h val="0.69381561679790038"/>
        </c:manualLayout>
      </c:layout>
      <c:pieChart>
        <c:varyColors val="1"/>
        <c:ser>
          <c:idx val="0"/>
          <c:order val="0"/>
          <c:tx>
            <c:strRef>
              <c:f>sales_by_gender!$B$3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sales_by_gender!$A$4:$A$6</c:f>
              <c:strCache>
                <c:ptCount val="2"/>
                <c:pt idx="0">
                  <c:v>Female</c:v>
                </c:pt>
                <c:pt idx="1">
                  <c:v>Male</c:v>
                </c:pt>
              </c:strCache>
            </c:strRef>
          </c:cat>
          <c:val>
            <c:numRef>
              <c:f>sales_by_gender!$B$4:$B$6</c:f>
              <c:numCache>
                <c:formatCode>0.00%</c:formatCode>
                <c:ptCount val="2"/>
                <c:pt idx="0">
                  <c:v>0.5106140350877193</c:v>
                </c:pt>
                <c:pt idx="1">
                  <c:v>0.4893859649122807</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7764829396325463"/>
          <c:y val="7.6878059161523724E-2"/>
          <c:w val="0.16401837270341207"/>
          <c:h val="0.310729627265060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[retail_sales_analysis.xlsx]sales_by_agegroup_gender!PivotTable5</c:name>
    <c:fmtId val="0"/>
  </c:pivotSource>
  <c:chart>
    <c:title>
      <c:tx>
        <c:rich>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Arial Rounded MT Bold" panose="020F0704030504030204" pitchFamily="34" charset="0"/>
                <a:ea typeface="+mj-ea"/>
                <a:cs typeface="+mj-cs"/>
              </a:defRPr>
            </a:pPr>
            <a:r>
              <a:rPr lang="en-US" sz="1400">
                <a:latin typeface="Arial Rounded MT Bold" panose="020F0704030504030204" pitchFamily="34" charset="0"/>
              </a:rPr>
              <a:t>Sales by Age Groups &amp; Gender</a:t>
            </a:r>
          </a:p>
        </c:rich>
      </c:tx>
      <c:layout>
        <c:manualLayout>
          <c:xMode val="edge"/>
          <c:yMode val="edge"/>
          <c:x val="0.33383087856205473"/>
          <c:y val="3.7432711069288568E-2"/>
        </c:manualLayout>
      </c:layout>
      <c:overlay val="0"/>
      <c:spPr>
        <a:noFill/>
        <a:ln>
          <a:noFill/>
        </a:ln>
        <a:effectLst/>
      </c:spPr>
      <c:txPr>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Arial Rounded MT Bold" panose="020F0704030504030204" pitchFamily="34" charset="0"/>
              <a:ea typeface="+mj-ea"/>
              <a:cs typeface="+mj-cs"/>
            </a:defRPr>
          </a:pPr>
          <a:endParaRPr lang="en-US"/>
        </a:p>
      </c:txPr>
    </c:title>
    <c:autoTitleDeleted val="0"/>
    <c:pivotFmts>
      <c:pivotFmt>
        <c:idx val="0"/>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sales_by_agegroup_gender!$B$3:$B$4</c:f>
              <c:strCache>
                <c:ptCount val="1"/>
                <c:pt idx="0">
                  <c:v>Female</c:v>
                </c:pt>
              </c:strCache>
            </c:strRef>
          </c:tx>
          <c:spPr>
            <a:solidFill>
              <a:schemeClr val="accent1"/>
            </a:solidFill>
            <a:ln>
              <a:noFill/>
            </a:ln>
            <a:effectLst/>
          </c:spPr>
          <c:invertIfNegative val="0"/>
          <c:cat>
            <c:strRef>
              <c:f>sales_by_agegroup_gender!$A$5:$A$8</c:f>
              <c:strCache>
                <c:ptCount val="3"/>
                <c:pt idx="0">
                  <c:v>Adult</c:v>
                </c:pt>
                <c:pt idx="1">
                  <c:v>Senior</c:v>
                </c:pt>
                <c:pt idx="2">
                  <c:v>Young</c:v>
                </c:pt>
              </c:strCache>
            </c:strRef>
          </c:cat>
          <c:val>
            <c:numRef>
              <c:f>sales_by_agegroup_gender!$B$5:$B$8</c:f>
              <c:numCache>
                <c:formatCode>General</c:formatCode>
                <c:ptCount val="3"/>
                <c:pt idx="0">
                  <c:v>149600</c:v>
                </c:pt>
                <c:pt idx="1">
                  <c:v>13430</c:v>
                </c:pt>
                <c:pt idx="2">
                  <c:v>69810</c:v>
                </c:pt>
              </c:numCache>
            </c:numRef>
          </c:val>
        </c:ser>
        <c:ser>
          <c:idx val="1"/>
          <c:order val="1"/>
          <c:tx>
            <c:strRef>
              <c:f>sales_by_agegroup_gender!$C$3:$C$4</c:f>
              <c:strCache>
                <c:ptCount val="1"/>
                <c:pt idx="0">
                  <c:v>Male</c:v>
                </c:pt>
              </c:strCache>
            </c:strRef>
          </c:tx>
          <c:spPr>
            <a:solidFill>
              <a:schemeClr val="accent2"/>
            </a:solidFill>
            <a:ln>
              <a:noFill/>
            </a:ln>
            <a:effectLst/>
          </c:spPr>
          <c:invertIfNegative val="0"/>
          <c:cat>
            <c:strRef>
              <c:f>sales_by_agegroup_gender!$A$5:$A$8</c:f>
              <c:strCache>
                <c:ptCount val="3"/>
                <c:pt idx="0">
                  <c:v>Adult</c:v>
                </c:pt>
                <c:pt idx="1">
                  <c:v>Senior</c:v>
                </c:pt>
                <c:pt idx="2">
                  <c:v>Young</c:v>
                </c:pt>
              </c:strCache>
            </c:strRef>
          </c:cat>
          <c:val>
            <c:numRef>
              <c:f>sales_by_agegroup_gender!$C$5:$C$8</c:f>
              <c:numCache>
                <c:formatCode>General</c:formatCode>
                <c:ptCount val="3"/>
                <c:pt idx="0">
                  <c:v>140230</c:v>
                </c:pt>
                <c:pt idx="1">
                  <c:v>19795</c:v>
                </c:pt>
                <c:pt idx="2">
                  <c:v>63135</c:v>
                </c:pt>
              </c:numCache>
            </c:numRef>
          </c:val>
        </c:ser>
        <c:dLbls>
          <c:showLegendKey val="0"/>
          <c:showVal val="0"/>
          <c:showCatName val="0"/>
          <c:showSerName val="0"/>
          <c:showPercent val="0"/>
          <c:showBubbleSize val="0"/>
        </c:dLbls>
        <c:gapWidth val="150"/>
        <c:overlap val="100"/>
        <c:axId val="298314872"/>
        <c:axId val="298316048"/>
      </c:barChart>
      <c:catAx>
        <c:axId val="298314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98316048"/>
        <c:crosses val="autoZero"/>
        <c:auto val="1"/>
        <c:lblAlgn val="ctr"/>
        <c:lblOffset val="100"/>
        <c:noMultiLvlLbl val="0"/>
      </c:catAx>
      <c:valAx>
        <c:axId val="29831604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3148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[retail_sales_analysis.xlsx]QuantityVsSalesbyCategory!PivotTable6</c:name>
    <c:fmtId val="0"/>
  </c:pivotSource>
  <c:chart>
    <c:title>
      <c:tx>
        <c:rich>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Arial Rounded MT Bold" panose="020F0704030504030204" pitchFamily="34" charset="0"/>
                <a:ea typeface="+mj-ea"/>
                <a:cs typeface="+mj-cs"/>
              </a:defRPr>
            </a:pPr>
            <a:r>
              <a:rPr lang="en-US" sz="1400">
                <a:latin typeface="Arial Rounded MT Bold" panose="020F0704030504030204" pitchFamily="34" charset="0"/>
              </a:rPr>
              <a:t>Quantity Vs Sales by Product Category</a:t>
            </a:r>
          </a:p>
        </c:rich>
      </c:tx>
      <c:layout>
        <c:manualLayout>
          <c:xMode val="edge"/>
          <c:yMode val="edge"/>
          <c:x val="0.23084941619298793"/>
          <c:y val="3.3808273965754282E-2"/>
        </c:manualLayout>
      </c:layout>
      <c:overlay val="0"/>
      <c:spPr>
        <a:noFill/>
        <a:ln>
          <a:noFill/>
        </a:ln>
        <a:effectLst/>
      </c:spPr>
      <c:txPr>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Arial Rounded MT Bold" panose="020F0704030504030204" pitchFamily="34" charset="0"/>
              <a:ea typeface="+mj-ea"/>
              <a:cs typeface="+mj-cs"/>
            </a:defRPr>
          </a:pPr>
          <a:endParaRPr lang="en-US"/>
        </a:p>
      </c:txPr>
    </c:title>
    <c:autoTitleDeleted val="0"/>
    <c:pivotFmts>
      <c:pivotFmt>
        <c:idx val="0"/>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ln w="38100" cap="rnd">
            <a:solidFill>
              <a:schemeClr val="accent1"/>
            </a:solidFill>
            <a:round/>
          </a:ln>
          <a:effectLst/>
        </c:spPr>
        <c:marker>
          <c:symbol val="none"/>
        </c:marker>
      </c:pivotFmt>
    </c:pivotFmts>
    <c:plotArea>
      <c:layout/>
      <c:barChart>
        <c:barDir val="col"/>
        <c:grouping val="clustered"/>
        <c:varyColors val="0"/>
        <c:ser>
          <c:idx val="0"/>
          <c:order val="0"/>
          <c:tx>
            <c:strRef>
              <c:f>QuantityVsSalesbyCategory!$B$3:$B$4</c:f>
              <c:strCache>
                <c:ptCount val="1"/>
                <c:pt idx="0">
                  <c:v>Beauty</c:v>
                </c:pt>
              </c:strCache>
            </c:strRef>
          </c:tx>
          <c:spPr>
            <a:solidFill>
              <a:schemeClr val="accent1"/>
            </a:solidFill>
            <a:ln>
              <a:noFill/>
            </a:ln>
            <a:effectLst/>
          </c:spPr>
          <c:invertIfNegative val="0"/>
          <c:cat>
            <c:strRef>
              <c:f>QuantityVsSalesbyCategory!$A$5:$A$9</c:f>
              <c:strCache>
                <c:ptCount val="4"/>
                <c:pt idx="0">
                  <c:v>1</c:v>
                </c:pt>
                <c:pt idx="1">
                  <c:v>2</c:v>
                </c:pt>
                <c:pt idx="2">
                  <c:v>3</c:v>
                </c:pt>
                <c:pt idx="3">
                  <c:v>4</c:v>
                </c:pt>
              </c:strCache>
            </c:strRef>
          </c:cat>
          <c:val>
            <c:numRef>
              <c:f>QuantityVsSalesbyCategory!$B$5:$B$9</c:f>
              <c:numCache>
                <c:formatCode>General</c:formatCode>
                <c:ptCount val="4"/>
                <c:pt idx="0">
                  <c:v>11730</c:v>
                </c:pt>
                <c:pt idx="1">
                  <c:v>29930</c:v>
                </c:pt>
                <c:pt idx="2">
                  <c:v>52155</c:v>
                </c:pt>
                <c:pt idx="3">
                  <c:v>49700</c:v>
                </c:pt>
              </c:numCache>
            </c:numRef>
          </c:val>
        </c:ser>
        <c:ser>
          <c:idx val="1"/>
          <c:order val="1"/>
          <c:tx>
            <c:strRef>
              <c:f>QuantityVsSalesbyCategory!$C$3:$C$4</c:f>
              <c:strCache>
                <c:ptCount val="1"/>
                <c:pt idx="0">
                  <c:v>Clothing</c:v>
                </c:pt>
              </c:strCache>
            </c:strRef>
          </c:tx>
          <c:spPr>
            <a:solidFill>
              <a:schemeClr val="accent2"/>
            </a:solidFill>
            <a:ln>
              <a:noFill/>
            </a:ln>
            <a:effectLst/>
          </c:spPr>
          <c:invertIfNegative val="0"/>
          <c:cat>
            <c:strRef>
              <c:f>QuantityVsSalesbyCategory!$A$5:$A$9</c:f>
              <c:strCache>
                <c:ptCount val="4"/>
                <c:pt idx="0">
                  <c:v>1</c:v>
                </c:pt>
                <c:pt idx="1">
                  <c:v>2</c:v>
                </c:pt>
                <c:pt idx="2">
                  <c:v>3</c:v>
                </c:pt>
                <c:pt idx="3">
                  <c:v>4</c:v>
                </c:pt>
              </c:strCache>
            </c:strRef>
          </c:cat>
          <c:val>
            <c:numRef>
              <c:f>QuantityVsSalesbyCategory!$C$5:$C$9</c:f>
              <c:numCache>
                <c:formatCode>General</c:formatCode>
                <c:ptCount val="4"/>
                <c:pt idx="0">
                  <c:v>16115</c:v>
                </c:pt>
                <c:pt idx="1">
                  <c:v>24670</c:v>
                </c:pt>
                <c:pt idx="2">
                  <c:v>48315</c:v>
                </c:pt>
                <c:pt idx="3">
                  <c:v>66480</c:v>
                </c:pt>
              </c:numCache>
            </c:numRef>
          </c:val>
        </c:ser>
        <c:dLbls>
          <c:showLegendKey val="0"/>
          <c:showVal val="0"/>
          <c:showCatName val="0"/>
          <c:showSerName val="0"/>
          <c:showPercent val="0"/>
          <c:showBubbleSize val="0"/>
        </c:dLbls>
        <c:gapWidth val="150"/>
        <c:axId val="302405560"/>
        <c:axId val="302409088"/>
      </c:barChart>
      <c:lineChart>
        <c:grouping val="standard"/>
        <c:varyColors val="0"/>
        <c:ser>
          <c:idx val="2"/>
          <c:order val="2"/>
          <c:tx>
            <c:strRef>
              <c:f>QuantityVsSalesbyCategory!$D$3:$D$4</c:f>
              <c:strCache>
                <c:ptCount val="1"/>
                <c:pt idx="0">
                  <c:v>Electronics</c:v>
                </c:pt>
              </c:strCache>
            </c:strRef>
          </c:tx>
          <c:spPr>
            <a:ln w="38100" cap="rnd">
              <a:solidFill>
                <a:schemeClr val="accent3"/>
              </a:solidFill>
              <a:round/>
            </a:ln>
            <a:effectLst/>
          </c:spPr>
          <c:marker>
            <c:symbol val="none"/>
          </c:marker>
          <c:cat>
            <c:strRef>
              <c:f>QuantityVsSalesbyCategory!$A$5:$A$9</c:f>
              <c:strCache>
                <c:ptCount val="4"/>
                <c:pt idx="0">
                  <c:v>1</c:v>
                </c:pt>
                <c:pt idx="1">
                  <c:v>2</c:v>
                </c:pt>
                <c:pt idx="2">
                  <c:v>3</c:v>
                </c:pt>
                <c:pt idx="3">
                  <c:v>4</c:v>
                </c:pt>
              </c:strCache>
            </c:strRef>
          </c:cat>
          <c:val>
            <c:numRef>
              <c:f>QuantityVsSalesbyCategory!$D$5:$D$9</c:f>
              <c:numCache>
                <c:formatCode>General</c:formatCode>
                <c:ptCount val="4"/>
                <c:pt idx="0">
                  <c:v>16960</c:v>
                </c:pt>
                <c:pt idx="1">
                  <c:v>26450</c:v>
                </c:pt>
                <c:pt idx="2">
                  <c:v>43815</c:v>
                </c:pt>
                <c:pt idx="3">
                  <c:v>69680</c:v>
                </c:pt>
              </c:numCache>
            </c:numRef>
          </c:val>
          <c:smooth val="0"/>
        </c:ser>
        <c:dLbls>
          <c:showLegendKey val="0"/>
          <c:showVal val="0"/>
          <c:showCatName val="0"/>
          <c:showSerName val="0"/>
          <c:showPercent val="0"/>
          <c:showBubbleSize val="0"/>
        </c:dLbls>
        <c:marker val="1"/>
        <c:smooth val="0"/>
        <c:axId val="302407128"/>
        <c:axId val="302409480"/>
      </c:lineChart>
      <c:catAx>
        <c:axId val="302405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02409088"/>
        <c:crosses val="autoZero"/>
        <c:auto val="1"/>
        <c:lblAlgn val="ctr"/>
        <c:lblOffset val="100"/>
        <c:noMultiLvlLbl val="0"/>
      </c:catAx>
      <c:valAx>
        <c:axId val="30240908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405560"/>
        <c:crosses val="autoZero"/>
        <c:crossBetween val="between"/>
      </c:valAx>
      <c:valAx>
        <c:axId val="3024094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407128"/>
        <c:crosses val="max"/>
        <c:crossBetween val="between"/>
      </c:valAx>
      <c:catAx>
        <c:axId val="302407128"/>
        <c:scaling>
          <c:orientation val="minMax"/>
        </c:scaling>
        <c:delete val="1"/>
        <c:axPos val="b"/>
        <c:numFmt formatCode="General" sourceLinked="1"/>
        <c:majorTickMark val="out"/>
        <c:minorTickMark val="none"/>
        <c:tickLblPos val="nextTo"/>
        <c:crossAx val="302409480"/>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[retail_sales_analysis.xlsx]sales_by_day!PivotTable1</c:name>
    <c:fmtId val="0"/>
  </c:pivotSource>
  <c:chart>
    <c:title>
      <c:tx>
        <c:rich>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Arial Rounded MT Bold" panose="020F0704030504030204" pitchFamily="34" charset="0"/>
                <a:ea typeface="+mj-ea"/>
                <a:cs typeface="+mj-cs"/>
              </a:defRPr>
            </a:pPr>
            <a:r>
              <a:rPr lang="en-US" sz="1400">
                <a:latin typeface="Arial Rounded MT Bold" panose="020F0704030504030204" pitchFamily="34" charset="0"/>
              </a:rPr>
              <a:t>Sales by Day of Week</a:t>
            </a:r>
          </a:p>
        </c:rich>
      </c:tx>
      <c:layout>
        <c:manualLayout>
          <c:xMode val="edge"/>
          <c:yMode val="edge"/>
          <c:x val="0.34669384057971009"/>
          <c:y val="3.1167979002624677E-2"/>
        </c:manualLayout>
      </c:layout>
      <c:overlay val="0"/>
      <c:spPr>
        <a:noFill/>
        <a:ln>
          <a:noFill/>
        </a:ln>
        <a:effectLst/>
      </c:spPr>
      <c:txPr>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Arial Rounded MT Bold" panose="020F0704030504030204" pitchFamily="34" charset="0"/>
              <a:ea typeface="+mj-ea"/>
              <a:cs typeface="+mj-cs"/>
            </a:defRPr>
          </a:pPr>
          <a:endParaRPr lang="en-US"/>
        </a:p>
      </c:txPr>
    </c:title>
    <c:autoTitleDeleted val="0"/>
    <c:pivotFmts>
      <c:pivotFmt>
        <c:idx val="0"/>
        <c:spPr>
          <a:ln w="38100" cap="rnd">
            <a:solidFill>
              <a:schemeClr val="accent1"/>
            </a:solidFill>
            <a:round/>
          </a:ln>
          <a:effectLst/>
        </c:spPr>
        <c:marker>
          <c:symbol val="circle"/>
          <c:size val="8"/>
          <c:spPr>
            <a:solidFill>
              <a:schemeClr val="accent1"/>
            </a:solidFill>
            <a:ln>
              <a:noFill/>
            </a:ln>
            <a:effectLst/>
          </c:spPr>
        </c:marker>
      </c:pivotFmt>
    </c:pivotFmts>
    <c:plotArea>
      <c:layout/>
      <c:lineChart>
        <c:grouping val="standard"/>
        <c:varyColors val="0"/>
        <c:ser>
          <c:idx val="0"/>
          <c:order val="0"/>
          <c:tx>
            <c:strRef>
              <c:f>sales_by_day!$B$3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strRef>
              <c:f>sales_by_day!$A$4:$A$11</c:f>
              <c:strCache>
                <c:ptCount val="7"/>
                <c:pt idx="0">
                  <c:v>Sunday</c:v>
                </c:pt>
                <c:pt idx="1">
                  <c:v>Monday</c:v>
                </c:pt>
                <c:pt idx="2">
                  <c:v>Tuesday</c:v>
                </c:pt>
                <c:pt idx="3">
                  <c:v>Wednesday</c:v>
                </c:pt>
                <c:pt idx="4">
                  <c:v>Thursday</c:v>
                </c:pt>
                <c:pt idx="5">
                  <c:v>Friday</c:v>
                </c:pt>
                <c:pt idx="6">
                  <c:v>Saturday</c:v>
                </c:pt>
              </c:strCache>
            </c:strRef>
          </c:cat>
          <c:val>
            <c:numRef>
              <c:f>sales_by_day!$B$4:$B$11</c:f>
              <c:numCache>
                <c:formatCode>General</c:formatCode>
                <c:ptCount val="7"/>
                <c:pt idx="0">
                  <c:v>58600</c:v>
                </c:pt>
                <c:pt idx="1">
                  <c:v>70250</c:v>
                </c:pt>
                <c:pt idx="2">
                  <c:v>69440</c:v>
                </c:pt>
                <c:pt idx="3">
                  <c:v>58770</c:v>
                </c:pt>
                <c:pt idx="4">
                  <c:v>53835</c:v>
                </c:pt>
                <c:pt idx="5">
                  <c:v>66290</c:v>
                </c:pt>
                <c:pt idx="6">
                  <c:v>78815</c:v>
                </c:pt>
              </c:numCache>
            </c:numRef>
          </c:val>
          <c:smooth val="0"/>
        </c:ser>
        <c:dLbls>
          <c:showLegendKey val="0"/>
          <c:showVal val="0"/>
          <c:showCatName val="0"/>
          <c:showSerName val="0"/>
          <c:showPercent val="0"/>
          <c:showBubbleSize val="0"/>
        </c:dLbls>
        <c:marker val="1"/>
        <c:smooth val="0"/>
        <c:axId val="302409872"/>
        <c:axId val="302402424"/>
      </c:lineChart>
      <c:catAx>
        <c:axId val="30240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tx1">
                    <a:lumMod val="65000"/>
                    <a:lumOff val="35000"/>
                  </a:schemeClr>
                </a:solidFill>
                <a:latin typeface="+mn-lt"/>
                <a:ea typeface="+mn-ea"/>
                <a:cs typeface="+mn-cs"/>
              </a:defRPr>
            </a:pPr>
            <a:endParaRPr lang="en-US"/>
          </a:p>
        </c:txPr>
        <c:crossAx val="302402424"/>
        <c:crosses val="autoZero"/>
        <c:auto val="1"/>
        <c:lblAlgn val="ctr"/>
        <c:lblOffset val="100"/>
        <c:noMultiLvlLbl val="0"/>
      </c:catAx>
      <c:valAx>
        <c:axId val="30240242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4098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[retail_sales_analysis.xlsx]sales_by_quarter!PivotTable2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Rounded MT Bold" panose="020F0704030504030204" pitchFamily="34" charset="0"/>
                <a:ea typeface="+mn-ea"/>
                <a:cs typeface="+mn-cs"/>
              </a:defRPr>
            </a:pPr>
            <a:r>
              <a:rPr lang="en-US">
                <a:latin typeface="Arial Rounded MT Bold" panose="020F0704030504030204" pitchFamily="34" charset="0"/>
              </a:rPr>
              <a:t>Sales by Quarter of Year</a:t>
            </a:r>
          </a:p>
        </c:rich>
      </c:tx>
      <c:layout>
        <c:manualLayout>
          <c:xMode val="edge"/>
          <c:yMode val="edge"/>
          <c:x val="0.25361111111111112"/>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manualLayout>
          <c:layoutTarget val="inner"/>
          <c:xMode val="edge"/>
          <c:yMode val="edge"/>
          <c:x val="0.26968000874890641"/>
          <c:y val="0.2401367016622922"/>
          <c:w val="0.41147353455818025"/>
          <c:h val="0.68578922426363376"/>
        </c:manualLayout>
      </c:layout>
      <c:pieChart>
        <c:varyColors val="1"/>
        <c:ser>
          <c:idx val="0"/>
          <c:order val="0"/>
          <c:tx>
            <c:strRef>
              <c:f>sales_by_quarter!$B$3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sales_by_quarter!$A$4:$A$8</c:f>
              <c:strCache>
                <c:ptCount val="4"/>
                <c:pt idx="0">
                  <c:v>1</c:v>
                </c:pt>
                <c:pt idx="1">
                  <c:v>2</c:v>
                </c:pt>
                <c:pt idx="2">
                  <c:v>3</c:v>
                </c:pt>
                <c:pt idx="3">
                  <c:v>4</c:v>
                </c:pt>
              </c:strCache>
            </c:strRef>
          </c:cat>
          <c:val>
            <c:numRef>
              <c:f>sales_by_quarter!$B$4:$B$8</c:f>
              <c:numCache>
                <c:formatCode>0.00%</c:formatCode>
                <c:ptCount val="4"/>
                <c:pt idx="0">
                  <c:v>0.24129385964912281</c:v>
                </c:pt>
                <c:pt idx="1">
                  <c:v>0.27134868421052633</c:v>
                </c:pt>
                <c:pt idx="2">
                  <c:v>0.21062500000000001</c:v>
                </c:pt>
                <c:pt idx="3">
                  <c:v>0.27673245614035086</c:v>
                </c:pt>
              </c:numCache>
            </c:numRef>
          </c:val>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[retail_sales_analysis.xlsx]sales_by_category!PivotTable2</c:name>
    <c:fmtId val="5"/>
  </c:pivotSource>
  <c:chart>
    <c:title>
      <c:tx>
        <c:rich>
          <a:bodyPr rot="0" spcFirstLastPara="1" vertOverflow="ellipsis" vert="horz" wrap="square" anchor="ctr" anchorCtr="1"/>
          <a:lstStyle/>
          <a:p>
            <a:pPr>
              <a:defRPr sz="1050" b="0" i="0" u="none" strike="noStrike" kern="1200" cap="none" spc="0" normalizeH="0" baseline="0">
                <a:solidFill>
                  <a:schemeClr val="tx1"/>
                </a:solidFill>
                <a:latin typeface="Arial Rounded MT Bold" panose="020F0704030504030204" pitchFamily="34" charset="0"/>
                <a:ea typeface="+mj-ea"/>
                <a:cs typeface="+mj-cs"/>
              </a:defRPr>
            </a:pPr>
            <a:r>
              <a:rPr lang="en-US" sz="1050">
                <a:solidFill>
                  <a:schemeClr val="tx1"/>
                </a:solidFill>
                <a:latin typeface="Arial Rounded MT Bold" panose="020F0704030504030204" pitchFamily="34" charset="0"/>
              </a:rPr>
              <a:t>Sales by Product Category</a:t>
            </a:r>
          </a:p>
        </c:rich>
      </c:tx>
      <c:layout>
        <c:manualLayout>
          <c:xMode val="edge"/>
          <c:yMode val="edge"/>
          <c:x val="0.26756484984831447"/>
          <c:y val="4.8990176779373167E-2"/>
        </c:manualLayout>
      </c:layout>
      <c:overlay val="0"/>
      <c:spPr>
        <a:noFill/>
        <a:ln>
          <a:noFill/>
        </a:ln>
        <a:effectLst/>
      </c:spPr>
      <c:txPr>
        <a:bodyPr rot="0" spcFirstLastPara="1" vertOverflow="ellipsis" vert="horz" wrap="square" anchor="ctr" anchorCtr="1"/>
        <a:lstStyle/>
        <a:p>
          <a:pPr>
            <a:defRPr sz="1050" b="0" i="0" u="none" strike="noStrike" kern="1200" cap="none" spc="0" normalizeH="0" baseline="0">
              <a:solidFill>
                <a:schemeClr val="tx1"/>
              </a:solidFill>
              <a:latin typeface="Arial Rounded MT Bold" panose="020F0704030504030204" pitchFamily="34" charset="0"/>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6881014873140859"/>
          <c:y val="0.23670546616455551"/>
          <c:w val="0.75928563704817809"/>
          <c:h val="0.55943530955689358"/>
        </c:manualLayout>
      </c:layout>
      <c:barChart>
        <c:barDir val="col"/>
        <c:grouping val="clustered"/>
        <c:varyColors val="0"/>
        <c:ser>
          <c:idx val="0"/>
          <c:order val="0"/>
          <c:tx>
            <c:strRef>
              <c:f>sales_by_category!$B$3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sales_by_category!$A$4:$A$7</c:f>
              <c:strCache>
                <c:ptCount val="3"/>
                <c:pt idx="0">
                  <c:v>Beauty</c:v>
                </c:pt>
                <c:pt idx="1">
                  <c:v>Clothing</c:v>
                </c:pt>
                <c:pt idx="2">
                  <c:v>Electronics</c:v>
                </c:pt>
              </c:strCache>
            </c:strRef>
          </c:cat>
          <c:val>
            <c:numRef>
              <c:f>sales_by_category!$B$4:$B$7</c:f>
              <c:numCache>
                <c:formatCode>0.00%</c:formatCode>
                <c:ptCount val="3"/>
                <c:pt idx="0">
                  <c:v>0.31472587719298245</c:v>
                </c:pt>
                <c:pt idx="1">
                  <c:v>0.34118421052631581</c:v>
                </c:pt>
                <c:pt idx="2">
                  <c:v>0.34408991228070174</c:v>
                </c:pt>
              </c:numCache>
            </c:numRef>
          </c:val>
        </c:ser>
        <c:dLbls>
          <c:dLblPos val="outEnd"/>
          <c:showLegendKey val="0"/>
          <c:showVal val="1"/>
          <c:showCatName val="0"/>
          <c:showSerName val="0"/>
          <c:showPercent val="0"/>
          <c:showBubbleSize val="0"/>
        </c:dLbls>
        <c:gapWidth val="199"/>
        <c:axId val="302405168"/>
        <c:axId val="302404776"/>
      </c:barChart>
      <c:catAx>
        <c:axId val="30240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02404776"/>
        <c:crosses val="autoZero"/>
        <c:auto val="1"/>
        <c:lblAlgn val="ctr"/>
        <c:lblOffset val="100"/>
        <c:noMultiLvlLbl val="0"/>
      </c:catAx>
      <c:valAx>
        <c:axId val="30240477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405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[retail_sales_analysis.xlsx]sales_by_month!PivotTable3</c:name>
    <c:fmtId val="15"/>
  </c:pivotSource>
  <c:chart>
    <c:title>
      <c:tx>
        <c:rich>
          <a:bodyPr rot="0" spcFirstLastPara="1" vertOverflow="ellipsis" vert="horz" wrap="square" anchor="ctr" anchorCtr="1"/>
          <a:lstStyle/>
          <a:p>
            <a:pPr>
              <a:defRPr sz="1050" b="0" i="0" u="none" strike="noStrike" kern="1200" cap="none" spc="0" normalizeH="0" baseline="0">
                <a:solidFill>
                  <a:schemeClr val="tx1"/>
                </a:solidFill>
                <a:latin typeface="Arial Rounded MT Bold" panose="020F0704030504030204" pitchFamily="34" charset="0"/>
                <a:ea typeface="+mj-ea"/>
                <a:cs typeface="+mj-cs"/>
              </a:defRPr>
            </a:pPr>
            <a:r>
              <a:rPr lang="en-US" sz="1050">
                <a:solidFill>
                  <a:schemeClr val="tx1"/>
                </a:solidFill>
                <a:latin typeface="Arial Rounded MT Bold" panose="020F0704030504030204" pitchFamily="34" charset="0"/>
              </a:rPr>
              <a:t>Sales by Month</a:t>
            </a:r>
          </a:p>
        </c:rich>
      </c:tx>
      <c:layout>
        <c:manualLayout>
          <c:xMode val="edge"/>
          <c:yMode val="edge"/>
          <c:x val="0.39776525914512034"/>
          <c:y val="4.2344354133152705E-2"/>
        </c:manualLayout>
      </c:layout>
      <c:overlay val="0"/>
      <c:spPr>
        <a:noFill/>
        <a:ln>
          <a:noFill/>
        </a:ln>
        <a:effectLst/>
      </c:spPr>
      <c:txPr>
        <a:bodyPr rot="0" spcFirstLastPara="1" vertOverflow="ellipsis" vert="horz" wrap="square" anchor="ctr" anchorCtr="1"/>
        <a:lstStyle/>
        <a:p>
          <a:pPr>
            <a:defRPr sz="1050" b="0" i="0" u="none" strike="noStrike" kern="1200" cap="none" spc="0" normalizeH="0" baseline="0">
              <a:solidFill>
                <a:schemeClr val="tx1"/>
              </a:solidFill>
              <a:latin typeface="Arial Rounded MT Bold" panose="020F0704030504030204" pitchFamily="34" charset="0"/>
              <a:ea typeface="+mj-ea"/>
              <a:cs typeface="+mj-cs"/>
            </a:defRPr>
          </a:pPr>
          <a:endParaRPr lang="en-US"/>
        </a:p>
      </c:txPr>
    </c:title>
    <c:autoTitleDeleted val="0"/>
    <c:pivotFmts>
      <c:pivotFmt>
        <c:idx val="0"/>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1"/>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2"/>
        <c:spPr>
          <a:ln w="38100" cap="rnd">
            <a:solidFill>
              <a:schemeClr val="accent1"/>
            </a:solidFill>
            <a:round/>
          </a:ln>
          <a:effectLst/>
        </c:spPr>
        <c:marker>
          <c:symbol val="circle"/>
          <c:size val="8"/>
          <c:spPr>
            <a:solidFill>
              <a:schemeClr val="accent1"/>
            </a:solidFill>
            <a:ln>
              <a:noFill/>
            </a:ln>
            <a:effectLst/>
          </c:spPr>
        </c:marker>
      </c:pivotFmt>
    </c:pivotFmts>
    <c:plotArea>
      <c:layout/>
      <c:lineChart>
        <c:grouping val="standard"/>
        <c:varyColors val="0"/>
        <c:ser>
          <c:idx val="0"/>
          <c:order val="0"/>
          <c:tx>
            <c:strRef>
              <c:f>sales_by_month!$B$3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strRef>
              <c:f>sales_by_month!$A$4:$A$16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sales_by_month!$B$4:$B$16</c:f>
              <c:numCache>
                <c:formatCode>General</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ser>
        <c:dLbls>
          <c:showLegendKey val="0"/>
          <c:showVal val="0"/>
          <c:showCatName val="0"/>
          <c:showSerName val="0"/>
          <c:showPercent val="0"/>
          <c:showBubbleSize val="0"/>
        </c:dLbls>
        <c:marker val="1"/>
        <c:smooth val="0"/>
        <c:axId val="302403208"/>
        <c:axId val="302403600"/>
      </c:lineChart>
      <c:catAx>
        <c:axId val="302403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02403600"/>
        <c:crosses val="autoZero"/>
        <c:auto val="1"/>
        <c:lblAlgn val="ctr"/>
        <c:lblOffset val="100"/>
        <c:noMultiLvlLbl val="0"/>
      </c:catAx>
      <c:valAx>
        <c:axId val="30240360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403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[retail_sales_analysis.xlsx]sales_by_gender!PivotTable4</c:name>
    <c:fmtId val="9"/>
  </c:pivotSource>
  <c:chart>
    <c:title>
      <c:tx>
        <c:rich>
          <a:bodyPr rot="0" spcFirstLastPara="1" vertOverflow="ellipsis" vert="horz" wrap="square" anchor="ctr" anchorCtr="1"/>
          <a:lstStyle/>
          <a:p>
            <a:pPr>
              <a:defRPr sz="1050" b="0" i="0" u="none" strike="noStrike" kern="1200" spc="0" baseline="0">
                <a:solidFill>
                  <a:schemeClr val="tx1"/>
                </a:solidFill>
                <a:latin typeface="Arial Rounded MT Bold" panose="020F0704030504030204" pitchFamily="34" charset="0"/>
                <a:ea typeface="+mn-ea"/>
                <a:cs typeface="+mn-cs"/>
              </a:defRPr>
            </a:pPr>
            <a:r>
              <a:rPr lang="en-US" sz="1050">
                <a:solidFill>
                  <a:schemeClr val="tx1"/>
                </a:solidFill>
                <a:latin typeface="Arial Rounded MT Bold" panose="020F0704030504030204" pitchFamily="34" charset="0"/>
              </a:rPr>
              <a:t>Sales by Gender</a:t>
            </a:r>
          </a:p>
        </c:rich>
      </c:tx>
      <c:layout>
        <c:manualLayout>
          <c:xMode val="edge"/>
          <c:yMode val="edge"/>
          <c:x val="0.29753448372144969"/>
          <c:y val="5.1746981627296587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c:spPr>
      </c:pivotFmt>
      <c:pivotFmt>
        <c:idx val="8"/>
        <c:spPr>
          <a:solidFill>
            <a:schemeClr val="accent1"/>
          </a:solidFill>
          <a:ln>
            <a:noFill/>
          </a:ln>
          <a:effectLst/>
        </c:spPr>
      </c:pivotFmt>
    </c:pivotFmts>
    <c:plotArea>
      <c:layout>
        <c:manualLayout>
          <c:layoutTarget val="inner"/>
          <c:xMode val="edge"/>
          <c:yMode val="edge"/>
          <c:x val="0.33176406413053794"/>
          <c:y val="0.26219986390590067"/>
          <c:w val="0.41628937007874023"/>
          <c:h val="0.69381561679790038"/>
        </c:manualLayout>
      </c:layout>
      <c:pieChart>
        <c:varyColors val="1"/>
        <c:ser>
          <c:idx val="0"/>
          <c:order val="0"/>
          <c:tx>
            <c:strRef>
              <c:f>sales_by_gender!$B$3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sales_by_gender!$A$4:$A$6</c:f>
              <c:strCache>
                <c:ptCount val="2"/>
                <c:pt idx="0">
                  <c:v>Female</c:v>
                </c:pt>
                <c:pt idx="1">
                  <c:v>Male</c:v>
                </c:pt>
              </c:strCache>
            </c:strRef>
          </c:cat>
          <c:val>
            <c:numRef>
              <c:f>sales_by_gender!$B$4:$B$6</c:f>
              <c:numCache>
                <c:formatCode>0.00%</c:formatCode>
                <c:ptCount val="2"/>
                <c:pt idx="0">
                  <c:v>0.5106140350877193</c:v>
                </c:pt>
                <c:pt idx="1">
                  <c:v>0.4893859649122807</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2.4636340638143125E-2"/>
          <c:y val="3.8297730144843029E-2"/>
          <c:w val="0.25939980394017015"/>
          <c:h val="0.310729627265060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[retail_sales_analysis.xlsx]QuantityVsSalesbyCategory!PivotTable6</c:name>
    <c:fmtId val="26"/>
  </c:pivotSource>
  <c:chart>
    <c:title>
      <c:tx>
        <c:rich>
          <a:bodyPr rot="0" spcFirstLastPara="1" vertOverflow="ellipsis" vert="horz" wrap="square" anchor="ctr" anchorCtr="1"/>
          <a:lstStyle/>
          <a:p>
            <a:pPr>
              <a:defRPr sz="1050" b="0" i="0" u="none" strike="noStrike" kern="1200" cap="none" spc="0" normalizeH="0" baseline="0">
                <a:solidFill>
                  <a:schemeClr val="tx1"/>
                </a:solidFill>
                <a:latin typeface="Arial Rounded MT Bold" panose="020F0704030504030204" pitchFamily="34" charset="0"/>
                <a:ea typeface="+mj-ea"/>
                <a:cs typeface="+mj-cs"/>
              </a:defRPr>
            </a:pPr>
            <a:r>
              <a:rPr lang="en-US" sz="1050">
                <a:solidFill>
                  <a:schemeClr val="tx1"/>
                </a:solidFill>
                <a:latin typeface="Arial Rounded MT Bold" panose="020F0704030504030204" pitchFamily="34" charset="0"/>
              </a:rPr>
              <a:t>Quantity Vs Sales by Product Category</a:t>
            </a:r>
          </a:p>
        </c:rich>
      </c:tx>
      <c:layout>
        <c:manualLayout>
          <c:xMode val="edge"/>
          <c:yMode val="edge"/>
          <c:x val="0.18315473880550304"/>
          <c:y val="3.8710050949513665E-2"/>
        </c:manualLayout>
      </c:layout>
      <c:overlay val="0"/>
      <c:spPr>
        <a:noFill/>
        <a:ln>
          <a:noFill/>
        </a:ln>
        <a:effectLst/>
      </c:spPr>
      <c:txPr>
        <a:bodyPr rot="0" spcFirstLastPara="1" vertOverflow="ellipsis" vert="horz" wrap="square" anchor="ctr" anchorCtr="1"/>
        <a:lstStyle/>
        <a:p>
          <a:pPr>
            <a:defRPr sz="1050" b="0" i="0" u="none" strike="noStrike" kern="1200" cap="none" spc="0" normalizeH="0" baseline="0">
              <a:solidFill>
                <a:schemeClr val="tx1"/>
              </a:solidFill>
              <a:latin typeface="Arial Rounded MT Bold" panose="020F0704030504030204" pitchFamily="34" charset="0"/>
              <a:ea typeface="+mj-ea"/>
              <a:cs typeface="+mj-cs"/>
            </a:defRPr>
          </a:pPr>
          <a:endParaRPr lang="en-US"/>
        </a:p>
      </c:txPr>
    </c:title>
    <c:autoTitleDeleted val="0"/>
    <c:pivotFmts>
      <c:pivotFmt>
        <c:idx val="0"/>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38100"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w="38100" cap="rnd">
            <a:solidFill>
              <a:schemeClr val="accent1"/>
            </a:solidFill>
            <a:round/>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ln w="38100" cap="rnd">
            <a:solidFill>
              <a:schemeClr val="accent1"/>
            </a:solidFill>
            <a:round/>
          </a:ln>
          <a:effectLst/>
        </c:spPr>
        <c:marker>
          <c:symbol val="none"/>
        </c:marker>
      </c:pivotFmt>
    </c:pivotFmts>
    <c:plotArea>
      <c:layout>
        <c:manualLayout>
          <c:layoutTarget val="inner"/>
          <c:xMode val="edge"/>
          <c:yMode val="edge"/>
          <c:x val="9.9759231208976465E-2"/>
          <c:y val="0.20171568627450978"/>
          <c:w val="0.64666816509814729"/>
          <c:h val="0.62659514051971565"/>
        </c:manualLayout>
      </c:layout>
      <c:barChart>
        <c:barDir val="col"/>
        <c:grouping val="clustered"/>
        <c:varyColors val="0"/>
        <c:ser>
          <c:idx val="0"/>
          <c:order val="0"/>
          <c:tx>
            <c:strRef>
              <c:f>QuantityVsSalesbyCategory!$B$3:$B$4</c:f>
              <c:strCache>
                <c:ptCount val="1"/>
                <c:pt idx="0">
                  <c:v>Beauty</c:v>
                </c:pt>
              </c:strCache>
            </c:strRef>
          </c:tx>
          <c:spPr>
            <a:solidFill>
              <a:schemeClr val="accent1"/>
            </a:solidFill>
            <a:ln>
              <a:noFill/>
            </a:ln>
            <a:effectLst/>
          </c:spPr>
          <c:invertIfNegative val="0"/>
          <c:cat>
            <c:strRef>
              <c:f>QuantityVsSalesbyCategory!$A$5:$A$9</c:f>
              <c:strCache>
                <c:ptCount val="4"/>
                <c:pt idx="0">
                  <c:v>1</c:v>
                </c:pt>
                <c:pt idx="1">
                  <c:v>2</c:v>
                </c:pt>
                <c:pt idx="2">
                  <c:v>3</c:v>
                </c:pt>
                <c:pt idx="3">
                  <c:v>4</c:v>
                </c:pt>
              </c:strCache>
            </c:strRef>
          </c:cat>
          <c:val>
            <c:numRef>
              <c:f>QuantityVsSalesbyCategory!$B$5:$B$9</c:f>
              <c:numCache>
                <c:formatCode>General</c:formatCode>
                <c:ptCount val="4"/>
                <c:pt idx="0">
                  <c:v>11730</c:v>
                </c:pt>
                <c:pt idx="1">
                  <c:v>29930</c:v>
                </c:pt>
                <c:pt idx="2">
                  <c:v>52155</c:v>
                </c:pt>
                <c:pt idx="3">
                  <c:v>49700</c:v>
                </c:pt>
              </c:numCache>
            </c:numRef>
          </c:val>
        </c:ser>
        <c:ser>
          <c:idx val="1"/>
          <c:order val="1"/>
          <c:tx>
            <c:strRef>
              <c:f>QuantityVsSalesbyCategory!$C$3:$C$4</c:f>
              <c:strCache>
                <c:ptCount val="1"/>
                <c:pt idx="0">
                  <c:v>Clothing</c:v>
                </c:pt>
              </c:strCache>
            </c:strRef>
          </c:tx>
          <c:spPr>
            <a:solidFill>
              <a:schemeClr val="accent2"/>
            </a:solidFill>
            <a:ln>
              <a:noFill/>
            </a:ln>
            <a:effectLst/>
          </c:spPr>
          <c:invertIfNegative val="0"/>
          <c:cat>
            <c:strRef>
              <c:f>QuantityVsSalesbyCategory!$A$5:$A$9</c:f>
              <c:strCache>
                <c:ptCount val="4"/>
                <c:pt idx="0">
                  <c:v>1</c:v>
                </c:pt>
                <c:pt idx="1">
                  <c:v>2</c:v>
                </c:pt>
                <c:pt idx="2">
                  <c:v>3</c:v>
                </c:pt>
                <c:pt idx="3">
                  <c:v>4</c:v>
                </c:pt>
              </c:strCache>
            </c:strRef>
          </c:cat>
          <c:val>
            <c:numRef>
              <c:f>QuantityVsSalesbyCategory!$C$5:$C$9</c:f>
              <c:numCache>
                <c:formatCode>General</c:formatCode>
                <c:ptCount val="4"/>
                <c:pt idx="0">
                  <c:v>16115</c:v>
                </c:pt>
                <c:pt idx="1">
                  <c:v>24670</c:v>
                </c:pt>
                <c:pt idx="2">
                  <c:v>48315</c:v>
                </c:pt>
                <c:pt idx="3">
                  <c:v>66480</c:v>
                </c:pt>
              </c:numCache>
            </c:numRef>
          </c:val>
        </c:ser>
        <c:dLbls>
          <c:showLegendKey val="0"/>
          <c:showVal val="0"/>
          <c:showCatName val="0"/>
          <c:showSerName val="0"/>
          <c:showPercent val="0"/>
          <c:showBubbleSize val="0"/>
        </c:dLbls>
        <c:gapWidth val="150"/>
        <c:axId val="302407520"/>
        <c:axId val="302407912"/>
      </c:barChart>
      <c:lineChart>
        <c:grouping val="standard"/>
        <c:varyColors val="0"/>
        <c:ser>
          <c:idx val="2"/>
          <c:order val="2"/>
          <c:tx>
            <c:strRef>
              <c:f>QuantityVsSalesbyCategory!$D$3:$D$4</c:f>
              <c:strCache>
                <c:ptCount val="1"/>
                <c:pt idx="0">
                  <c:v>Electronics</c:v>
                </c:pt>
              </c:strCache>
            </c:strRef>
          </c:tx>
          <c:spPr>
            <a:ln w="38100" cap="rnd">
              <a:solidFill>
                <a:schemeClr val="accent3"/>
              </a:solidFill>
              <a:round/>
            </a:ln>
            <a:effectLst/>
          </c:spPr>
          <c:marker>
            <c:symbol val="none"/>
          </c:marker>
          <c:cat>
            <c:strRef>
              <c:f>QuantityVsSalesbyCategory!$A$5:$A$9</c:f>
              <c:strCache>
                <c:ptCount val="4"/>
                <c:pt idx="0">
                  <c:v>1</c:v>
                </c:pt>
                <c:pt idx="1">
                  <c:v>2</c:v>
                </c:pt>
                <c:pt idx="2">
                  <c:v>3</c:v>
                </c:pt>
                <c:pt idx="3">
                  <c:v>4</c:v>
                </c:pt>
              </c:strCache>
            </c:strRef>
          </c:cat>
          <c:val>
            <c:numRef>
              <c:f>QuantityVsSalesbyCategory!$D$5:$D$9</c:f>
              <c:numCache>
                <c:formatCode>General</c:formatCode>
                <c:ptCount val="4"/>
                <c:pt idx="0">
                  <c:v>16960</c:v>
                </c:pt>
                <c:pt idx="1">
                  <c:v>26450</c:v>
                </c:pt>
                <c:pt idx="2">
                  <c:v>43815</c:v>
                </c:pt>
                <c:pt idx="3">
                  <c:v>69680</c:v>
                </c:pt>
              </c:numCache>
            </c:numRef>
          </c:val>
          <c:smooth val="0"/>
        </c:ser>
        <c:dLbls>
          <c:showLegendKey val="0"/>
          <c:showVal val="0"/>
          <c:showCatName val="0"/>
          <c:showSerName val="0"/>
          <c:showPercent val="0"/>
          <c:showBubbleSize val="0"/>
        </c:dLbls>
        <c:marker val="1"/>
        <c:smooth val="0"/>
        <c:axId val="302407520"/>
        <c:axId val="302407912"/>
      </c:lineChart>
      <c:catAx>
        <c:axId val="30240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02407912"/>
        <c:crosses val="autoZero"/>
        <c:auto val="1"/>
        <c:lblAlgn val="ctr"/>
        <c:lblOffset val="100"/>
        <c:noMultiLvlLbl val="0"/>
      </c:catAx>
      <c:valAx>
        <c:axId val="30240791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407520"/>
        <c:crosses val="autoZero"/>
        <c:crossBetween val="between"/>
      </c:valAx>
      <c:spPr>
        <a:noFill/>
        <a:ln>
          <a:noFill/>
        </a:ln>
        <a:effectLst/>
      </c:spPr>
    </c:plotArea>
    <c:legend>
      <c:legendPos val="r"/>
      <c:layout>
        <c:manualLayout>
          <c:xMode val="edge"/>
          <c:yMode val="edge"/>
          <c:x val="0.82842234499693068"/>
          <c:y val="0.2084982059204625"/>
          <c:w val="0.17157765500306937"/>
          <c:h val="0.282202115086491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[retail_sales_analysis.xlsx]sales_by_quarter!PivotTable2</c:name>
    <c:fmtId val="7"/>
  </c:pivotSource>
  <c:chart>
    <c:title>
      <c:tx>
        <c:rich>
          <a:bodyPr rot="0" spcFirstLastPara="1" vertOverflow="ellipsis" vert="horz" wrap="square" anchor="ctr" anchorCtr="1"/>
          <a:lstStyle/>
          <a:p>
            <a:pPr>
              <a:defRPr sz="1050" b="0" i="0" u="none" strike="noStrike" kern="1200" spc="0" baseline="0">
                <a:solidFill>
                  <a:schemeClr val="tx1"/>
                </a:solidFill>
                <a:latin typeface="Arial Rounded MT Bold" panose="020F0704030504030204" pitchFamily="34" charset="0"/>
                <a:ea typeface="+mn-ea"/>
                <a:cs typeface="+mn-cs"/>
              </a:defRPr>
            </a:pPr>
            <a:r>
              <a:rPr lang="en-US" sz="1050">
                <a:solidFill>
                  <a:schemeClr val="tx1"/>
                </a:solidFill>
                <a:latin typeface="Arial Rounded MT Bold" panose="020F0704030504030204" pitchFamily="34" charset="0"/>
              </a:rPr>
              <a:t>Sales by Quarter of Year</a:t>
            </a:r>
          </a:p>
        </c:rich>
      </c:tx>
      <c:layout>
        <c:manualLayout>
          <c:xMode val="edge"/>
          <c:yMode val="edge"/>
          <c:x val="0.20246738459163188"/>
          <c:y val="5.0261345536936085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0.26968000874890641"/>
          <c:y val="0.2401367016622922"/>
          <c:w val="0.41147353455818025"/>
          <c:h val="0.68578922426363376"/>
        </c:manualLayout>
      </c:layout>
      <c:pieChart>
        <c:varyColors val="1"/>
        <c:ser>
          <c:idx val="0"/>
          <c:order val="0"/>
          <c:tx>
            <c:strRef>
              <c:f>sales_by_quarter!$B$3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sales_by_quarter!$A$4:$A$8</c:f>
              <c:strCache>
                <c:ptCount val="4"/>
                <c:pt idx="0">
                  <c:v>1</c:v>
                </c:pt>
                <c:pt idx="1">
                  <c:v>2</c:v>
                </c:pt>
                <c:pt idx="2">
                  <c:v>3</c:v>
                </c:pt>
                <c:pt idx="3">
                  <c:v>4</c:v>
                </c:pt>
              </c:strCache>
            </c:strRef>
          </c:cat>
          <c:val>
            <c:numRef>
              <c:f>sales_by_quarter!$B$4:$B$8</c:f>
              <c:numCache>
                <c:formatCode>0.00%</c:formatCode>
                <c:ptCount val="4"/>
                <c:pt idx="0">
                  <c:v>0.24129385964912281</c:v>
                </c:pt>
                <c:pt idx="1">
                  <c:v>0.27134868421052633</c:v>
                </c:pt>
                <c:pt idx="2">
                  <c:v>0.21062500000000001</c:v>
                </c:pt>
                <c:pt idx="3">
                  <c:v>0.27673245614035086</c:v>
                </c:pt>
              </c:numCache>
            </c:numRef>
          </c:val>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[retail_sales_analysis.xlsx]sales_by_agegroup_gender!PivotTable5</c:name>
    <c:fmtId val="16"/>
  </c:pivotSource>
  <c:chart>
    <c:title>
      <c:tx>
        <c:rich>
          <a:bodyPr rot="0" spcFirstLastPara="1" vertOverflow="ellipsis" vert="horz" wrap="square" anchor="ctr" anchorCtr="1"/>
          <a:lstStyle/>
          <a:p>
            <a:pPr>
              <a:defRPr sz="1050" b="0" i="0" u="none" strike="noStrike" kern="1200" cap="none" spc="0" normalizeH="0" baseline="0">
                <a:solidFill>
                  <a:schemeClr val="tx1"/>
                </a:solidFill>
                <a:latin typeface="Arial Rounded MT Bold" panose="020F0704030504030204" pitchFamily="34" charset="0"/>
                <a:ea typeface="+mj-ea"/>
                <a:cs typeface="+mj-cs"/>
              </a:defRPr>
            </a:pPr>
            <a:r>
              <a:rPr lang="en-US" sz="1050">
                <a:solidFill>
                  <a:schemeClr val="tx1"/>
                </a:solidFill>
                <a:latin typeface="Arial Rounded MT Bold" panose="020F0704030504030204" pitchFamily="34" charset="0"/>
              </a:rPr>
              <a:t>Sales by Age Groups &amp; Gender</a:t>
            </a:r>
          </a:p>
        </c:rich>
      </c:tx>
      <c:layout>
        <c:manualLayout>
          <c:xMode val="edge"/>
          <c:yMode val="edge"/>
          <c:x val="0.33383087856205473"/>
          <c:y val="3.7432711069288568E-2"/>
        </c:manualLayout>
      </c:layout>
      <c:overlay val="0"/>
      <c:spPr>
        <a:noFill/>
        <a:ln>
          <a:noFill/>
        </a:ln>
        <a:effectLst/>
      </c:spPr>
      <c:txPr>
        <a:bodyPr rot="0" spcFirstLastPara="1" vertOverflow="ellipsis" vert="horz" wrap="square" anchor="ctr" anchorCtr="1"/>
        <a:lstStyle/>
        <a:p>
          <a:pPr>
            <a:defRPr sz="1050" b="0" i="0" u="none" strike="noStrike" kern="1200" cap="none" spc="0" normalizeH="0" baseline="0">
              <a:solidFill>
                <a:schemeClr val="tx1"/>
              </a:solidFill>
              <a:latin typeface="Arial Rounded MT Bold" panose="020F0704030504030204" pitchFamily="34" charset="0"/>
              <a:ea typeface="+mj-ea"/>
              <a:cs typeface="+mj-cs"/>
            </a:defRPr>
          </a:pPr>
          <a:endParaRPr lang="en-US"/>
        </a:p>
      </c:txPr>
    </c:title>
    <c:autoTitleDeleted val="0"/>
    <c:pivotFmts>
      <c:pivotFmt>
        <c:idx val="0"/>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stacked"/>
        <c:varyColors val="0"/>
        <c:ser>
          <c:idx val="0"/>
          <c:order val="0"/>
          <c:tx>
            <c:strRef>
              <c:f>sales_by_agegroup_gender!$B$3:$B$4</c:f>
              <c:strCache>
                <c:ptCount val="1"/>
                <c:pt idx="0">
                  <c:v>Female</c:v>
                </c:pt>
              </c:strCache>
            </c:strRef>
          </c:tx>
          <c:spPr>
            <a:solidFill>
              <a:schemeClr val="accent1"/>
            </a:solidFill>
            <a:ln>
              <a:noFill/>
            </a:ln>
            <a:effectLst/>
          </c:spPr>
          <c:invertIfNegative val="0"/>
          <c:cat>
            <c:strRef>
              <c:f>sales_by_agegroup_gender!$A$5:$A$8</c:f>
              <c:strCache>
                <c:ptCount val="3"/>
                <c:pt idx="0">
                  <c:v>Adult</c:v>
                </c:pt>
                <c:pt idx="1">
                  <c:v>Senior</c:v>
                </c:pt>
                <c:pt idx="2">
                  <c:v>Young</c:v>
                </c:pt>
              </c:strCache>
            </c:strRef>
          </c:cat>
          <c:val>
            <c:numRef>
              <c:f>sales_by_agegroup_gender!$B$5:$B$8</c:f>
              <c:numCache>
                <c:formatCode>General</c:formatCode>
                <c:ptCount val="3"/>
                <c:pt idx="0">
                  <c:v>149600</c:v>
                </c:pt>
                <c:pt idx="1">
                  <c:v>13430</c:v>
                </c:pt>
                <c:pt idx="2">
                  <c:v>69810</c:v>
                </c:pt>
              </c:numCache>
            </c:numRef>
          </c:val>
        </c:ser>
        <c:ser>
          <c:idx val="1"/>
          <c:order val="1"/>
          <c:tx>
            <c:strRef>
              <c:f>sales_by_agegroup_gender!$C$3:$C$4</c:f>
              <c:strCache>
                <c:ptCount val="1"/>
                <c:pt idx="0">
                  <c:v>Male</c:v>
                </c:pt>
              </c:strCache>
            </c:strRef>
          </c:tx>
          <c:spPr>
            <a:solidFill>
              <a:schemeClr val="accent2"/>
            </a:solidFill>
            <a:ln>
              <a:noFill/>
            </a:ln>
            <a:effectLst/>
          </c:spPr>
          <c:invertIfNegative val="0"/>
          <c:cat>
            <c:strRef>
              <c:f>sales_by_agegroup_gender!$A$5:$A$8</c:f>
              <c:strCache>
                <c:ptCount val="3"/>
                <c:pt idx="0">
                  <c:v>Adult</c:v>
                </c:pt>
                <c:pt idx="1">
                  <c:v>Senior</c:v>
                </c:pt>
                <c:pt idx="2">
                  <c:v>Young</c:v>
                </c:pt>
              </c:strCache>
            </c:strRef>
          </c:cat>
          <c:val>
            <c:numRef>
              <c:f>sales_by_agegroup_gender!$C$5:$C$8</c:f>
              <c:numCache>
                <c:formatCode>General</c:formatCode>
                <c:ptCount val="3"/>
                <c:pt idx="0">
                  <c:v>140230</c:v>
                </c:pt>
                <c:pt idx="1">
                  <c:v>19795</c:v>
                </c:pt>
                <c:pt idx="2">
                  <c:v>63135</c:v>
                </c:pt>
              </c:numCache>
            </c:numRef>
          </c:val>
        </c:ser>
        <c:dLbls>
          <c:showLegendKey val="0"/>
          <c:showVal val="0"/>
          <c:showCatName val="0"/>
          <c:showSerName val="0"/>
          <c:showPercent val="0"/>
          <c:showBubbleSize val="0"/>
        </c:dLbls>
        <c:gapWidth val="150"/>
        <c:overlap val="100"/>
        <c:axId val="298316832"/>
        <c:axId val="298313304"/>
      </c:barChart>
      <c:catAx>
        <c:axId val="29831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98313304"/>
        <c:crosses val="autoZero"/>
        <c:auto val="1"/>
        <c:lblAlgn val="ctr"/>
        <c:lblOffset val="100"/>
        <c:noMultiLvlLbl val="0"/>
      </c:catAx>
      <c:valAx>
        <c:axId val="29831330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316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[retail_sales_analysis.xlsx]sales_by_day!PivotTable1</c:name>
    <c:fmtId val="35"/>
  </c:pivotSource>
  <c:chart>
    <c:title>
      <c:tx>
        <c:rich>
          <a:bodyPr rot="0" spcFirstLastPara="1" vertOverflow="ellipsis" vert="horz" wrap="square" anchor="ctr" anchorCtr="1"/>
          <a:lstStyle/>
          <a:p>
            <a:pPr>
              <a:defRPr sz="1050" b="0" i="0" u="none" strike="noStrike" kern="1200" cap="none" spc="0" normalizeH="0" baseline="0">
                <a:solidFill>
                  <a:schemeClr val="tx1"/>
                </a:solidFill>
                <a:latin typeface="Arial Rounded MT Bold" panose="020F0704030504030204" pitchFamily="34" charset="0"/>
                <a:ea typeface="+mj-ea"/>
                <a:cs typeface="+mj-cs"/>
              </a:defRPr>
            </a:pPr>
            <a:r>
              <a:rPr lang="en-US" sz="1050">
                <a:solidFill>
                  <a:schemeClr val="tx1"/>
                </a:solidFill>
                <a:latin typeface="Arial Rounded MT Bold" panose="020F0704030504030204" pitchFamily="34" charset="0"/>
              </a:rPr>
              <a:t>Sales by Day of Week</a:t>
            </a:r>
          </a:p>
        </c:rich>
      </c:tx>
      <c:layout>
        <c:manualLayout>
          <c:xMode val="edge"/>
          <c:yMode val="edge"/>
          <c:x val="0.30449024754258663"/>
          <c:y val="2.6039975772259239E-2"/>
        </c:manualLayout>
      </c:layout>
      <c:overlay val="0"/>
      <c:spPr>
        <a:noFill/>
        <a:ln>
          <a:noFill/>
        </a:ln>
        <a:effectLst/>
      </c:spPr>
      <c:txPr>
        <a:bodyPr rot="0" spcFirstLastPara="1" vertOverflow="ellipsis" vert="horz" wrap="square" anchor="ctr" anchorCtr="1"/>
        <a:lstStyle/>
        <a:p>
          <a:pPr>
            <a:defRPr sz="1050" b="0" i="0" u="none" strike="noStrike" kern="1200" cap="none" spc="0" normalizeH="0" baseline="0">
              <a:solidFill>
                <a:schemeClr val="tx1"/>
              </a:solidFill>
              <a:latin typeface="Arial Rounded MT Bold" panose="020F0704030504030204" pitchFamily="34" charset="0"/>
              <a:ea typeface="+mj-ea"/>
              <a:cs typeface="+mj-cs"/>
            </a:defRPr>
          </a:pPr>
          <a:endParaRPr lang="en-US"/>
        </a:p>
      </c:txPr>
    </c:title>
    <c:autoTitleDeleted val="0"/>
    <c:pivotFmts>
      <c:pivotFmt>
        <c:idx val="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2"/>
        <c:spPr>
          <a:ln w="38100" cap="rnd">
            <a:solidFill>
              <a:schemeClr val="accent1"/>
            </a:solidFill>
            <a:round/>
          </a:ln>
          <a:effectLst/>
        </c:spPr>
        <c:marker>
          <c:symbol val="circle"/>
          <c:size val="8"/>
          <c:spPr>
            <a:solidFill>
              <a:schemeClr val="accent1"/>
            </a:solidFill>
            <a:ln>
              <a:noFill/>
            </a:ln>
            <a:effectLst/>
          </c:spPr>
        </c:marker>
      </c:pivotFmt>
    </c:pivotFmts>
    <c:plotArea>
      <c:layout/>
      <c:lineChart>
        <c:grouping val="standard"/>
        <c:varyColors val="0"/>
        <c:ser>
          <c:idx val="0"/>
          <c:order val="0"/>
          <c:tx>
            <c:strRef>
              <c:f>sales_by_day!$B$3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strRef>
              <c:f>sales_by_day!$A$4:$A$11</c:f>
              <c:strCache>
                <c:ptCount val="7"/>
                <c:pt idx="0">
                  <c:v>Sunday</c:v>
                </c:pt>
                <c:pt idx="1">
                  <c:v>Monday</c:v>
                </c:pt>
                <c:pt idx="2">
                  <c:v>Tuesday</c:v>
                </c:pt>
                <c:pt idx="3">
                  <c:v>Wednesday</c:v>
                </c:pt>
                <c:pt idx="4">
                  <c:v>Thursday</c:v>
                </c:pt>
                <c:pt idx="5">
                  <c:v>Friday</c:v>
                </c:pt>
                <c:pt idx="6">
                  <c:v>Saturday</c:v>
                </c:pt>
              </c:strCache>
            </c:strRef>
          </c:cat>
          <c:val>
            <c:numRef>
              <c:f>sales_by_day!$B$4:$B$11</c:f>
              <c:numCache>
                <c:formatCode>General</c:formatCode>
                <c:ptCount val="7"/>
                <c:pt idx="0">
                  <c:v>58600</c:v>
                </c:pt>
                <c:pt idx="1">
                  <c:v>70250</c:v>
                </c:pt>
                <c:pt idx="2">
                  <c:v>69440</c:v>
                </c:pt>
                <c:pt idx="3">
                  <c:v>58770</c:v>
                </c:pt>
                <c:pt idx="4">
                  <c:v>53835</c:v>
                </c:pt>
                <c:pt idx="5">
                  <c:v>66290</c:v>
                </c:pt>
                <c:pt idx="6">
                  <c:v>78815</c:v>
                </c:pt>
              </c:numCache>
            </c:numRef>
          </c:val>
          <c:smooth val="0"/>
        </c:ser>
        <c:dLbls>
          <c:showLegendKey val="0"/>
          <c:showVal val="0"/>
          <c:showCatName val="0"/>
          <c:showSerName val="0"/>
          <c:showPercent val="0"/>
          <c:showBubbleSize val="0"/>
        </c:dLbls>
        <c:marker val="1"/>
        <c:smooth val="0"/>
        <c:axId val="303445336"/>
        <c:axId val="303441024"/>
      </c:lineChart>
      <c:catAx>
        <c:axId val="303445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03441024"/>
        <c:crosses val="autoZero"/>
        <c:auto val="1"/>
        <c:lblAlgn val="ctr"/>
        <c:lblOffset val="100"/>
        <c:noMultiLvlLbl val="0"/>
      </c:catAx>
      <c:valAx>
        <c:axId val="30344102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4453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10.xml"/><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2.xml"/><Relationship Id="rId5" Type="http://schemas.openxmlformats.org/officeDocument/2006/relationships/image" Target="../media/image1.png"/><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121920</xdr:colOff>
      <xdr:row>4</xdr:row>
      <xdr:rowOff>83820</xdr:rowOff>
    </xdr:from>
    <xdr:to>
      <xdr:col>10</xdr:col>
      <xdr:colOff>365760</xdr:colOff>
      <xdr:row>18</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152400</xdr:colOff>
      <xdr:row>3</xdr:row>
      <xdr:rowOff>91440</xdr:rowOff>
    </xdr:from>
    <xdr:to>
      <xdr:col>11</xdr:col>
      <xdr:colOff>22860</xdr:colOff>
      <xdr:row>18</xdr:row>
      <xdr:rowOff>167640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487680</xdr:colOff>
      <xdr:row>4</xdr:row>
      <xdr:rowOff>45720</xdr:rowOff>
    </xdr:from>
    <xdr:to>
      <xdr:col>16</xdr:col>
      <xdr:colOff>487680</xdr:colOff>
      <xdr:row>17</xdr:row>
      <xdr:rowOff>135255</xdr:rowOff>
    </xdr:to>
    <mc:AlternateContent xmlns:mc="http://schemas.openxmlformats.org/markup-compatibility/2006" xmlns:a14="http://schemas.microsoft.com/office/drawing/2010/main">
      <mc:Choice Requires="a14">
        <xdr:graphicFrame macro="">
          <xdr:nvGraphicFramePr>
            <xdr:cNvPr id="3"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410700" y="777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106680</xdr:colOff>
      <xdr:row>2</xdr:row>
      <xdr:rowOff>30480</xdr:rowOff>
    </xdr:from>
    <xdr:to>
      <xdr:col>8</xdr:col>
      <xdr:colOff>518160</xdr:colOff>
      <xdr:row>13</xdr:row>
      <xdr:rowOff>60960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60960</xdr:colOff>
      <xdr:row>1</xdr:row>
      <xdr:rowOff>144780</xdr:rowOff>
    </xdr:from>
    <xdr:to>
      <xdr:col>12</xdr:col>
      <xdr:colOff>594360</xdr:colOff>
      <xdr:row>18</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53340</xdr:colOff>
      <xdr:row>2</xdr:row>
      <xdr:rowOff>91441</xdr:rowOff>
    </xdr:from>
    <xdr:to>
      <xdr:col>20</xdr:col>
      <xdr:colOff>53340</xdr:colOff>
      <xdr:row>8</xdr:row>
      <xdr:rowOff>144781</xdr:rowOff>
    </xdr:to>
    <mc:AlternateContent xmlns:mc="http://schemas.openxmlformats.org/markup-compatibility/2006" xmlns:a14="http://schemas.microsoft.com/office/drawing/2010/main">
      <mc:Choice Requires="a14">
        <xdr:graphicFrame macro="">
          <xdr:nvGraphicFramePr>
            <xdr:cNvPr id="4" name="Age_Group"/>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1620500" y="457201"/>
              <a:ext cx="1828800"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434340</xdr:colOff>
      <xdr:row>14</xdr:row>
      <xdr:rowOff>45720</xdr:rowOff>
    </xdr:from>
    <xdr:to>
      <xdr:col>20</xdr:col>
      <xdr:colOff>434340</xdr:colOff>
      <xdr:row>19</xdr:row>
      <xdr:rowOff>22859</xdr:rowOff>
    </xdr:to>
    <mc:AlternateContent xmlns:mc="http://schemas.openxmlformats.org/markup-compatibility/2006" xmlns:a14="http://schemas.microsoft.com/office/drawing/2010/main">
      <mc:Choice Requires="a14">
        <xdr:graphicFrame macro="">
          <xdr:nvGraphicFramePr>
            <xdr:cNvPr id="5"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001500" y="2606040"/>
              <a:ext cx="1828800" cy="891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297180</xdr:colOff>
      <xdr:row>3</xdr:row>
      <xdr:rowOff>91440</xdr:rowOff>
    </xdr:from>
    <xdr:to>
      <xdr:col>15</xdr:col>
      <xdr:colOff>502920</xdr:colOff>
      <xdr:row>29</xdr:row>
      <xdr:rowOff>137160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205740</xdr:colOff>
      <xdr:row>10</xdr:row>
      <xdr:rowOff>175261</xdr:rowOff>
    </xdr:from>
    <xdr:to>
      <xdr:col>5</xdr:col>
      <xdr:colOff>60960</xdr:colOff>
      <xdr:row>17</xdr:row>
      <xdr:rowOff>53340</xdr:rowOff>
    </xdr:to>
    <mc:AlternateContent xmlns:mc="http://schemas.openxmlformats.org/markup-compatibility/2006" xmlns:a14="http://schemas.microsoft.com/office/drawing/2010/main">
      <mc:Choice Requires="a14">
        <xdr:graphicFrame macro="">
          <xdr:nvGraphicFramePr>
            <xdr:cNvPr id="3" name="Product_Category"/>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2628900" y="2004061"/>
              <a:ext cx="1828800" cy="11582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617220</xdr:colOff>
      <xdr:row>5</xdr:row>
      <xdr:rowOff>45720</xdr:rowOff>
    </xdr:from>
    <xdr:to>
      <xdr:col>15</xdr:col>
      <xdr:colOff>83820</xdr:colOff>
      <xdr:row>22</xdr:row>
      <xdr:rowOff>106680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342900</xdr:colOff>
      <xdr:row>3</xdr:row>
      <xdr:rowOff>68580</xdr:rowOff>
    </xdr:from>
    <xdr:to>
      <xdr:col>10</xdr:col>
      <xdr:colOff>38100</xdr:colOff>
      <xdr:row>18</xdr:row>
      <xdr:rowOff>68580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381000</xdr:colOff>
      <xdr:row>0</xdr:row>
      <xdr:rowOff>144780</xdr:rowOff>
    </xdr:from>
    <xdr:to>
      <xdr:col>21</xdr:col>
      <xdr:colOff>0</xdr:colOff>
      <xdr:row>29</xdr:row>
      <xdr:rowOff>53340</xdr:rowOff>
    </xdr:to>
    <xdr:sp macro="" textlink="">
      <xdr:nvSpPr>
        <xdr:cNvPr id="2" name="Rectangle 1"/>
        <xdr:cNvSpPr/>
      </xdr:nvSpPr>
      <xdr:spPr>
        <a:xfrm>
          <a:off x="990600" y="144780"/>
          <a:ext cx="11811000" cy="5212080"/>
        </a:xfrm>
        <a:prstGeom prst="rect">
          <a:avLst/>
        </a:prstGeom>
        <a:solidFill>
          <a:schemeClr val="accent5">
            <a:lumMod val="20000"/>
            <a:lumOff val="80000"/>
          </a:schemeClr>
        </a:solidFill>
        <a:effectLst>
          <a:outerShdw blurRad="57150" dist="19050" dir="5400000" algn="ctr" rotWithShape="0">
            <a:srgbClr val="000000">
              <a:alpha val="63000"/>
            </a:srgbClr>
          </a:outerShdw>
          <a:softEdge rad="12700"/>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441960</xdr:colOff>
      <xdr:row>1</xdr:row>
      <xdr:rowOff>60960</xdr:rowOff>
    </xdr:from>
    <xdr:to>
      <xdr:col>12</xdr:col>
      <xdr:colOff>541020</xdr:colOff>
      <xdr:row>3</xdr:row>
      <xdr:rowOff>129540</xdr:rowOff>
    </xdr:to>
    <xdr:sp macro="" textlink="">
      <xdr:nvSpPr>
        <xdr:cNvPr id="3" name="TextBox 2"/>
        <xdr:cNvSpPr txBox="1"/>
      </xdr:nvSpPr>
      <xdr:spPr>
        <a:xfrm>
          <a:off x="2270760" y="243840"/>
          <a:ext cx="5585460" cy="434340"/>
        </a:xfrm>
        <a:prstGeom prst="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ctr"/>
        <a:lstStyle/>
        <a:p>
          <a:pPr algn="ctr"/>
          <a:r>
            <a:rPr lang="en-US" sz="2400" b="1">
              <a:latin typeface="Arial Black" panose="020B0A04020102020204" pitchFamily="34" charset="0"/>
            </a:rPr>
            <a:t>   Retail Sales Data</a:t>
          </a:r>
          <a:r>
            <a:rPr lang="en-US" sz="2400" b="1" baseline="0">
              <a:latin typeface="Arial Black" panose="020B0A04020102020204" pitchFamily="34" charset="0"/>
            </a:rPr>
            <a:t> </a:t>
          </a:r>
          <a:r>
            <a:rPr lang="en-US" sz="2400" b="1">
              <a:latin typeface="Arial Black" panose="020B0A04020102020204" pitchFamily="34" charset="0"/>
            </a:rPr>
            <a:t>Dashboard</a:t>
          </a:r>
        </a:p>
      </xdr:txBody>
    </xdr:sp>
    <xdr:clientData/>
  </xdr:twoCellAnchor>
  <xdr:twoCellAnchor>
    <xdr:from>
      <xdr:col>19</xdr:col>
      <xdr:colOff>7620</xdr:colOff>
      <xdr:row>1</xdr:row>
      <xdr:rowOff>30480</xdr:rowOff>
    </xdr:from>
    <xdr:to>
      <xdr:col>20</xdr:col>
      <xdr:colOff>541020</xdr:colOff>
      <xdr:row>3</xdr:row>
      <xdr:rowOff>114300</xdr:rowOff>
    </xdr:to>
    <xdr:sp macro="" textlink="">
      <xdr:nvSpPr>
        <xdr:cNvPr id="5" name="Flowchart: Process 4"/>
        <xdr:cNvSpPr/>
      </xdr:nvSpPr>
      <xdr:spPr>
        <a:xfrm>
          <a:off x="11590020" y="213360"/>
          <a:ext cx="1143000" cy="449580"/>
        </a:xfrm>
        <a:prstGeom prst="flowChartProcess">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r>
            <a:rPr lang="en-US" sz="900" b="1">
              <a:latin typeface="Arial Black" panose="020B0A04020102020204" pitchFamily="34" charset="0"/>
              <a:cs typeface="Arial" panose="020B0604020202020204" pitchFamily="34" charset="0"/>
            </a:rPr>
            <a:t>Total Revenue</a:t>
          </a:r>
        </a:p>
        <a:p>
          <a:pPr algn="ctr"/>
          <a:r>
            <a:rPr lang="en-US" sz="900" b="1">
              <a:latin typeface="Arial Black" panose="020B0A04020102020204" pitchFamily="34" charset="0"/>
              <a:cs typeface="Arial" panose="020B0604020202020204" pitchFamily="34" charset="0"/>
            </a:rPr>
            <a:t>456000</a:t>
          </a:r>
        </a:p>
      </xdr:txBody>
    </xdr:sp>
    <xdr:clientData/>
  </xdr:twoCellAnchor>
  <xdr:twoCellAnchor>
    <xdr:from>
      <xdr:col>16</xdr:col>
      <xdr:colOff>510540</xdr:colOff>
      <xdr:row>1</xdr:row>
      <xdr:rowOff>30480</xdr:rowOff>
    </xdr:from>
    <xdr:to>
      <xdr:col>18</xdr:col>
      <xdr:colOff>594360</xdr:colOff>
      <xdr:row>3</xdr:row>
      <xdr:rowOff>106680</xdr:rowOff>
    </xdr:to>
    <xdr:sp macro="" textlink="">
      <xdr:nvSpPr>
        <xdr:cNvPr id="7" name="Flowchart: Process 6"/>
        <xdr:cNvSpPr/>
      </xdr:nvSpPr>
      <xdr:spPr>
        <a:xfrm>
          <a:off x="10264140" y="213360"/>
          <a:ext cx="1303020" cy="441960"/>
        </a:xfrm>
        <a:prstGeom prst="flowChartProcess">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r>
            <a:rPr lang="en-US" sz="900" b="1">
              <a:latin typeface="Arial Black" panose="020B0A04020102020204" pitchFamily="34" charset="0"/>
              <a:cs typeface="Arial" panose="020B0604020202020204" pitchFamily="34" charset="0"/>
            </a:rPr>
            <a:t>Total Transaction</a:t>
          </a:r>
        </a:p>
        <a:p>
          <a:pPr algn="ctr"/>
          <a:r>
            <a:rPr lang="en-US" sz="900" b="1">
              <a:latin typeface="Arial Black" panose="020B0A04020102020204" pitchFamily="34" charset="0"/>
              <a:cs typeface="Arial" panose="020B0604020202020204" pitchFamily="34" charset="0"/>
            </a:rPr>
            <a:t>1000</a:t>
          </a:r>
        </a:p>
      </xdr:txBody>
    </xdr:sp>
    <xdr:clientData/>
  </xdr:twoCellAnchor>
  <xdr:twoCellAnchor>
    <xdr:from>
      <xdr:col>15</xdr:col>
      <xdr:colOff>38100</xdr:colOff>
      <xdr:row>1</xdr:row>
      <xdr:rowOff>38100</xdr:rowOff>
    </xdr:from>
    <xdr:to>
      <xdr:col>16</xdr:col>
      <xdr:colOff>464820</xdr:colOff>
      <xdr:row>3</xdr:row>
      <xdr:rowOff>114300</xdr:rowOff>
    </xdr:to>
    <xdr:sp macro="" textlink="">
      <xdr:nvSpPr>
        <xdr:cNvPr id="8" name="Flowchart: Process 7"/>
        <xdr:cNvSpPr/>
      </xdr:nvSpPr>
      <xdr:spPr>
        <a:xfrm>
          <a:off x="9182100" y="220980"/>
          <a:ext cx="1036320" cy="441960"/>
        </a:xfrm>
        <a:prstGeom prst="flowChartProcess">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r>
            <a:rPr lang="en-US" sz="900" b="1">
              <a:latin typeface="Arial Black" panose="020B0A04020102020204" pitchFamily="34" charset="0"/>
              <a:cs typeface="Arial" panose="020B0604020202020204" pitchFamily="34" charset="0"/>
            </a:rPr>
            <a:t>Quantity Sold</a:t>
          </a:r>
        </a:p>
        <a:p>
          <a:pPr algn="ctr"/>
          <a:r>
            <a:rPr lang="en-US" sz="900" b="1">
              <a:latin typeface="Arial Black" panose="020B0A04020102020204" pitchFamily="34" charset="0"/>
              <a:cs typeface="Arial" panose="020B0604020202020204" pitchFamily="34" charset="0"/>
            </a:rPr>
            <a:t>2514</a:t>
          </a:r>
        </a:p>
      </xdr:txBody>
    </xdr:sp>
    <xdr:clientData/>
  </xdr:twoCellAnchor>
  <xdr:twoCellAnchor>
    <xdr:from>
      <xdr:col>12</xdr:col>
      <xdr:colOff>594360</xdr:colOff>
      <xdr:row>1</xdr:row>
      <xdr:rowOff>45720</xdr:rowOff>
    </xdr:from>
    <xdr:to>
      <xdr:col>15</xdr:col>
      <xdr:colOff>0</xdr:colOff>
      <xdr:row>3</xdr:row>
      <xdr:rowOff>121920</xdr:rowOff>
    </xdr:to>
    <xdr:sp macro="" textlink="">
      <xdr:nvSpPr>
        <xdr:cNvPr id="9" name="Flowchart: Process 8"/>
        <xdr:cNvSpPr/>
      </xdr:nvSpPr>
      <xdr:spPr>
        <a:xfrm>
          <a:off x="7909560" y="228600"/>
          <a:ext cx="1234440" cy="441960"/>
        </a:xfrm>
        <a:prstGeom prst="flowChartProcess">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r>
            <a:rPr lang="en-US" sz="900" b="1">
              <a:latin typeface="Arial Black" panose="020B0A04020102020204" pitchFamily="34" charset="0"/>
              <a:cs typeface="Arial" panose="020B0604020202020204" pitchFamily="34" charset="0"/>
            </a:rPr>
            <a:t>Total</a:t>
          </a:r>
          <a:r>
            <a:rPr lang="en-US" sz="900" b="1" baseline="0">
              <a:latin typeface="Arial Black" panose="020B0A04020102020204" pitchFamily="34" charset="0"/>
              <a:cs typeface="Arial" panose="020B0604020202020204" pitchFamily="34" charset="0"/>
            </a:rPr>
            <a:t> Customers</a:t>
          </a:r>
          <a:endParaRPr lang="en-US" sz="900" b="1">
            <a:latin typeface="Arial Black" panose="020B0A04020102020204" pitchFamily="34" charset="0"/>
            <a:cs typeface="Arial" panose="020B0604020202020204" pitchFamily="34" charset="0"/>
          </a:endParaRPr>
        </a:p>
        <a:p>
          <a:pPr algn="ctr"/>
          <a:r>
            <a:rPr lang="en-US" sz="900" b="1">
              <a:latin typeface="Arial Black" panose="020B0A04020102020204" pitchFamily="34" charset="0"/>
              <a:cs typeface="Arial" panose="020B0604020202020204" pitchFamily="34" charset="0"/>
            </a:rPr>
            <a:t>1000</a:t>
          </a:r>
        </a:p>
      </xdr:txBody>
    </xdr:sp>
    <xdr:clientData/>
  </xdr:twoCellAnchor>
  <xdr:twoCellAnchor>
    <xdr:from>
      <xdr:col>6</xdr:col>
      <xdr:colOff>91440</xdr:colOff>
      <xdr:row>18</xdr:row>
      <xdr:rowOff>76200</xdr:rowOff>
    </xdr:from>
    <xdr:to>
      <xdr:col>11</xdr:col>
      <xdr:colOff>396240</xdr:colOff>
      <xdr:row>28</xdr:row>
      <xdr:rowOff>160020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411480</xdr:colOff>
      <xdr:row>4</xdr:row>
      <xdr:rowOff>22860</xdr:rowOff>
    </xdr:from>
    <xdr:to>
      <xdr:col>9</xdr:col>
      <xdr:colOff>327660</xdr:colOff>
      <xdr:row>18</xdr:row>
      <xdr:rowOff>53340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419100</xdr:colOff>
      <xdr:row>18</xdr:row>
      <xdr:rowOff>76200</xdr:rowOff>
    </xdr:from>
    <xdr:to>
      <xdr:col>15</xdr:col>
      <xdr:colOff>129540</xdr:colOff>
      <xdr:row>28</xdr:row>
      <xdr:rowOff>152400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83820</xdr:colOff>
      <xdr:row>4</xdr:row>
      <xdr:rowOff>0</xdr:rowOff>
    </xdr:from>
    <xdr:to>
      <xdr:col>20</xdr:col>
      <xdr:colOff>563880</xdr:colOff>
      <xdr:row>18</xdr:row>
      <xdr:rowOff>45720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426720</xdr:colOff>
      <xdr:row>1</xdr:row>
      <xdr:rowOff>53341</xdr:rowOff>
    </xdr:from>
    <xdr:to>
      <xdr:col>3</xdr:col>
      <xdr:colOff>381000</xdr:colOff>
      <xdr:row>7</xdr:row>
      <xdr:rowOff>91440</xdr:rowOff>
    </xdr:to>
    <mc:AlternateContent xmlns:mc="http://schemas.openxmlformats.org/markup-compatibility/2006" xmlns:a14="http://schemas.microsoft.com/office/drawing/2010/main">
      <mc:Choice Requires="a14">
        <xdr:graphicFrame macro="">
          <xdr:nvGraphicFramePr>
            <xdr:cNvPr id="14"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036320" y="236221"/>
              <a:ext cx="1173480" cy="1135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426720</xdr:colOff>
      <xdr:row>13</xdr:row>
      <xdr:rowOff>76201</xdr:rowOff>
    </xdr:from>
    <xdr:to>
      <xdr:col>3</xdr:col>
      <xdr:colOff>381000</xdr:colOff>
      <xdr:row>18</xdr:row>
      <xdr:rowOff>45721</xdr:rowOff>
    </xdr:to>
    <mc:AlternateContent xmlns:mc="http://schemas.openxmlformats.org/markup-compatibility/2006" xmlns:a14="http://schemas.microsoft.com/office/drawing/2010/main">
      <mc:Choice Requires="a14">
        <xdr:graphicFrame macro="">
          <xdr:nvGraphicFramePr>
            <xdr:cNvPr id="15"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36320" y="2453641"/>
              <a:ext cx="1173480" cy="883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426720</xdr:colOff>
      <xdr:row>7</xdr:row>
      <xdr:rowOff>121920</xdr:rowOff>
    </xdr:from>
    <xdr:to>
      <xdr:col>3</xdr:col>
      <xdr:colOff>381000</xdr:colOff>
      <xdr:row>13</xdr:row>
      <xdr:rowOff>30481</xdr:rowOff>
    </xdr:to>
    <mc:AlternateContent xmlns:mc="http://schemas.openxmlformats.org/markup-compatibility/2006" xmlns:a14="http://schemas.microsoft.com/office/drawing/2010/main">
      <mc:Choice Requires="a14">
        <xdr:graphicFrame macro="">
          <xdr:nvGraphicFramePr>
            <xdr:cNvPr id="16" name="Product_Category 1"/>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036320" y="1402080"/>
              <a:ext cx="1173480" cy="10058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518160</xdr:colOff>
      <xdr:row>1</xdr:row>
      <xdr:rowOff>76200</xdr:rowOff>
    </xdr:from>
    <xdr:to>
      <xdr:col>4</xdr:col>
      <xdr:colOff>320040</xdr:colOff>
      <xdr:row>3</xdr:row>
      <xdr:rowOff>121920</xdr:rowOff>
    </xdr:to>
    <xdr:pic>
      <xdr:nvPicPr>
        <xdr:cNvPr id="19" name="Picture 18"/>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346960" y="259080"/>
          <a:ext cx="411480" cy="411480"/>
        </a:xfrm>
        <a:prstGeom prst="rect">
          <a:avLst/>
        </a:prstGeom>
      </xdr:spPr>
    </xdr:pic>
    <xdr:clientData/>
  </xdr:twoCellAnchor>
  <xdr:twoCellAnchor>
    <xdr:from>
      <xdr:col>1</xdr:col>
      <xdr:colOff>411480</xdr:colOff>
      <xdr:row>18</xdr:row>
      <xdr:rowOff>76200</xdr:rowOff>
    </xdr:from>
    <xdr:to>
      <xdr:col>6</xdr:col>
      <xdr:colOff>76200</xdr:colOff>
      <xdr:row>28</xdr:row>
      <xdr:rowOff>160020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167640</xdr:colOff>
      <xdr:row>18</xdr:row>
      <xdr:rowOff>76200</xdr:rowOff>
    </xdr:from>
    <xdr:to>
      <xdr:col>20</xdr:col>
      <xdr:colOff>563880</xdr:colOff>
      <xdr:row>28</xdr:row>
      <xdr:rowOff>152400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358140</xdr:colOff>
      <xdr:row>4</xdr:row>
      <xdr:rowOff>22860</xdr:rowOff>
    </xdr:from>
    <xdr:to>
      <xdr:col>14</xdr:col>
      <xdr:colOff>30480</xdr:colOff>
      <xdr:row>18</xdr:row>
      <xdr:rowOff>60960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bhishek kapure" refreshedDate="45932.917828356483" createdVersion="5" refreshedVersion="5" minRefreshableVersion="3" recordCount="1000">
  <cacheSource type="worksheet">
    <worksheetSource ref="A1:O1001" sheet="Data"/>
  </cacheSource>
  <cacheFields count="15">
    <cacheField name="Transaction_ID" numFmtId="1">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Customer_ID" numFmtId="49">
      <sharedItems count="1000">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 v="CUST031"/>
        <s v="CUST032"/>
        <s v="CUST033"/>
        <s v="CUST034"/>
        <s v="CUST035"/>
        <s v="CUST036"/>
        <s v="CUST037"/>
        <s v="CUST038"/>
        <s v="CUST039"/>
        <s v="CUST040"/>
        <s v="CUST041"/>
        <s v="CUST042"/>
        <s v="CUST043"/>
        <s v="CUST044"/>
        <s v="CUST045"/>
        <s v="CUST046"/>
        <s v="CUST047"/>
        <s v="CUST048"/>
        <s v="CUST049"/>
        <s v="CUST050"/>
        <s v="CUST051"/>
        <s v="CUST052"/>
        <s v="CUST053"/>
        <s v="CUST054"/>
        <s v="CUST055"/>
        <s v="CUST056"/>
        <s v="CUST057"/>
        <s v="CUST058"/>
        <s v="CUST059"/>
        <s v="CUST060"/>
        <s v="CUST061"/>
        <s v="CUST062"/>
        <s v="CUST063"/>
        <s v="CUST064"/>
        <s v="CUST065"/>
        <s v="CUST066"/>
        <s v="CUST067"/>
        <s v="CUST068"/>
        <s v="CUST069"/>
        <s v="CUST070"/>
        <s v="CUST071"/>
        <s v="CUST072"/>
        <s v="CUST073"/>
        <s v="CUST074"/>
        <s v="CUST075"/>
        <s v="CUST076"/>
        <s v="CUST077"/>
        <s v="CUST078"/>
        <s v="CUST079"/>
        <s v="CUST080"/>
        <s v="CUST081"/>
        <s v="CUST082"/>
        <s v="CUST083"/>
        <s v="CUST084"/>
        <s v="CUST085"/>
        <s v="CUST086"/>
        <s v="CUST087"/>
        <s v="CUST088"/>
        <s v="CUST089"/>
        <s v="CUST090"/>
        <s v="CUST091"/>
        <s v="CUST092"/>
        <s v="CUST093"/>
        <s v="CUST094"/>
        <s v="CUST095"/>
        <s v="CUST096"/>
        <s v="CUST097"/>
        <s v="CUST098"/>
        <s v="CUST099"/>
        <s v="CUST100"/>
        <s v="CUST101"/>
        <s v="CUST102"/>
        <s v="CUST103"/>
        <s v="CUST104"/>
        <s v="CUST105"/>
        <s v="CUST106"/>
        <s v="CUST107"/>
        <s v="CUST108"/>
        <s v="CUST109"/>
        <s v="CUST110"/>
        <s v="CUST111"/>
        <s v="CUST112"/>
        <s v="CUST113"/>
        <s v="CUST114"/>
        <s v="CUST115"/>
        <s v="CUST116"/>
        <s v="CUST117"/>
        <s v="CUST118"/>
        <s v="CUST119"/>
        <s v="CUST120"/>
        <s v="CUST121"/>
        <s v="CUST122"/>
        <s v="CUST123"/>
        <s v="CUST124"/>
        <s v="CUST125"/>
        <s v="CUST126"/>
        <s v="CUST127"/>
        <s v="CUST128"/>
        <s v="CUST129"/>
        <s v="CUST130"/>
        <s v="CUST131"/>
        <s v="CUST132"/>
        <s v="CUST133"/>
        <s v="CUST134"/>
        <s v="CUST135"/>
        <s v="CUST136"/>
        <s v="CUST137"/>
        <s v="CUST138"/>
        <s v="CUST139"/>
        <s v="CUST140"/>
        <s v="CUST141"/>
        <s v="CUST142"/>
        <s v="CUST143"/>
        <s v="CUST144"/>
        <s v="CUST145"/>
        <s v="CUST146"/>
        <s v="CUST147"/>
        <s v="CUST148"/>
        <s v="CUST149"/>
        <s v="CUST150"/>
        <s v="CUST151"/>
        <s v="CUST152"/>
        <s v="CUST153"/>
        <s v="CUST154"/>
        <s v="CUST155"/>
        <s v="CUST156"/>
        <s v="CUST157"/>
        <s v="CUST158"/>
        <s v="CUST159"/>
        <s v="CUST160"/>
        <s v="CUST161"/>
        <s v="CUST162"/>
        <s v="CUST163"/>
        <s v="CUST164"/>
        <s v="CUST165"/>
        <s v="CUST166"/>
        <s v="CUST167"/>
        <s v="CUST168"/>
        <s v="CUST169"/>
        <s v="CUST170"/>
        <s v="CUST171"/>
        <s v="CUST172"/>
        <s v="CUST173"/>
        <s v="CUST174"/>
        <s v="CUST175"/>
        <s v="CUST176"/>
        <s v="CUST177"/>
        <s v="CUST178"/>
        <s v="CUST179"/>
        <s v="CUST180"/>
        <s v="CUST181"/>
        <s v="CUST182"/>
        <s v="CUST183"/>
        <s v="CUST184"/>
        <s v="CUST185"/>
        <s v="CUST186"/>
        <s v="CUST187"/>
        <s v="CUST188"/>
        <s v="CUST189"/>
        <s v="CUST190"/>
        <s v="CUST191"/>
        <s v="CUST192"/>
        <s v="CUST193"/>
        <s v="CUST194"/>
        <s v="CUST195"/>
        <s v="CUST196"/>
        <s v="CUST197"/>
        <s v="CUST198"/>
        <s v="CUST199"/>
        <s v="CUST200"/>
        <s v="CUST201"/>
        <s v="CUST202"/>
        <s v="CUST203"/>
        <s v="CUST204"/>
        <s v="CUST205"/>
        <s v="CUST206"/>
        <s v="CUST207"/>
        <s v="CUST208"/>
        <s v="CUST209"/>
        <s v="CUST210"/>
        <s v="CUST211"/>
        <s v="CUST212"/>
        <s v="CUST213"/>
        <s v="CUST214"/>
        <s v="CUST215"/>
        <s v="CUST216"/>
        <s v="CUST217"/>
        <s v="CUST218"/>
        <s v="CUST219"/>
        <s v="CUST220"/>
        <s v="CUST221"/>
        <s v="CUST222"/>
        <s v="CUST223"/>
        <s v="CUST224"/>
        <s v="CUST225"/>
        <s v="CUST226"/>
        <s v="CUST227"/>
        <s v="CUST228"/>
        <s v="CUST229"/>
        <s v="CUST230"/>
        <s v="CUST231"/>
        <s v="CUST232"/>
        <s v="CUST233"/>
        <s v="CUST234"/>
        <s v="CUST235"/>
        <s v="CUST236"/>
        <s v="CUST237"/>
        <s v="CUST238"/>
        <s v="CUST239"/>
        <s v="CUST240"/>
        <s v="CUST241"/>
        <s v="CUST242"/>
        <s v="CUST243"/>
        <s v="CUST244"/>
        <s v="CUST245"/>
        <s v="CUST246"/>
        <s v="CUST247"/>
        <s v="CUST248"/>
        <s v="CUST249"/>
        <s v="CUST250"/>
        <s v="CUST251"/>
        <s v="CUST252"/>
        <s v="CUST253"/>
        <s v="CUST254"/>
        <s v="CUST255"/>
        <s v="CUST256"/>
        <s v="CUST257"/>
        <s v="CUST258"/>
        <s v="CUST259"/>
        <s v="CUST260"/>
        <s v="CUST261"/>
        <s v="CUST262"/>
        <s v="CUST263"/>
        <s v="CUST264"/>
        <s v="CUST265"/>
        <s v="CUST266"/>
        <s v="CUST267"/>
        <s v="CUST268"/>
        <s v="CUST269"/>
        <s v="CUST270"/>
        <s v="CUST271"/>
        <s v="CUST272"/>
        <s v="CUST273"/>
        <s v="CUST274"/>
        <s v="CUST275"/>
        <s v="CUST276"/>
        <s v="CUST277"/>
        <s v="CUST278"/>
        <s v="CUST279"/>
        <s v="CUST280"/>
        <s v="CUST281"/>
        <s v="CUST282"/>
        <s v="CUST283"/>
        <s v="CUST284"/>
        <s v="CUST285"/>
        <s v="CUST286"/>
        <s v="CUST287"/>
        <s v="CUST288"/>
        <s v="CUST289"/>
        <s v="CUST290"/>
        <s v="CUST291"/>
        <s v="CUST292"/>
        <s v="CUST293"/>
        <s v="CUST294"/>
        <s v="CUST295"/>
        <s v="CUST296"/>
        <s v="CUST297"/>
        <s v="CUST298"/>
        <s v="CUST299"/>
        <s v="CUST300"/>
        <s v="CUST301"/>
        <s v="CUST302"/>
        <s v="CUST303"/>
        <s v="CUST304"/>
        <s v="CUST305"/>
        <s v="CUST306"/>
        <s v="CUST307"/>
        <s v="CUST308"/>
        <s v="CUST309"/>
        <s v="CUST310"/>
        <s v="CUST311"/>
        <s v="CUST312"/>
        <s v="CUST313"/>
        <s v="CUST314"/>
        <s v="CUST315"/>
        <s v="CUST316"/>
        <s v="CUST317"/>
        <s v="CUST318"/>
        <s v="CUST319"/>
        <s v="CUST320"/>
        <s v="CUST321"/>
        <s v="CUST322"/>
        <s v="CUST323"/>
        <s v="CUST324"/>
        <s v="CUST325"/>
        <s v="CUST326"/>
        <s v="CUST327"/>
        <s v="CUST328"/>
        <s v="CUST329"/>
        <s v="CUST330"/>
        <s v="CUST331"/>
        <s v="CUST332"/>
        <s v="CUST333"/>
        <s v="CUST334"/>
        <s v="CUST335"/>
        <s v="CUST336"/>
        <s v="CUST337"/>
        <s v="CUST338"/>
        <s v="CUST339"/>
        <s v="CUST340"/>
        <s v="CUST341"/>
        <s v="CUST342"/>
        <s v="CUST343"/>
        <s v="CUST344"/>
        <s v="CUST345"/>
        <s v="CUST346"/>
        <s v="CUST347"/>
        <s v="CUST348"/>
        <s v="CUST349"/>
        <s v="CUST350"/>
        <s v="CUST351"/>
        <s v="CUST352"/>
        <s v="CUST353"/>
        <s v="CUST354"/>
        <s v="CUST355"/>
        <s v="CUST356"/>
        <s v="CUST357"/>
        <s v="CUST358"/>
        <s v="CUST359"/>
        <s v="CUST360"/>
        <s v="CUST361"/>
        <s v="CUST362"/>
        <s v="CUST363"/>
        <s v="CUST364"/>
        <s v="CUST365"/>
        <s v="CUST366"/>
        <s v="CUST367"/>
        <s v="CUST368"/>
        <s v="CUST369"/>
        <s v="CUST370"/>
        <s v="CUST371"/>
        <s v="CUST372"/>
        <s v="CUST373"/>
        <s v="CUST374"/>
        <s v="CUST375"/>
        <s v="CUST376"/>
        <s v="CUST377"/>
        <s v="CUST378"/>
        <s v="CUST379"/>
        <s v="CUST380"/>
        <s v="CUST381"/>
        <s v="CUST382"/>
        <s v="CUST383"/>
        <s v="CUST384"/>
        <s v="CUST385"/>
        <s v="CUST386"/>
        <s v="CUST387"/>
        <s v="CUST388"/>
        <s v="CUST389"/>
        <s v="CUST390"/>
        <s v="CUST391"/>
        <s v="CUST392"/>
        <s v="CUST393"/>
        <s v="CUST394"/>
        <s v="CUST395"/>
        <s v="CUST396"/>
        <s v="CUST397"/>
        <s v="CUST398"/>
        <s v="CUST399"/>
        <s v="CUST400"/>
        <s v="CUST401"/>
        <s v="CUST402"/>
        <s v="CUST403"/>
        <s v="CUST404"/>
        <s v="CUST405"/>
        <s v="CUST406"/>
        <s v="CUST407"/>
        <s v="CUST408"/>
        <s v="CUST409"/>
        <s v="CUST410"/>
        <s v="CUST411"/>
        <s v="CUST412"/>
        <s v="CUST413"/>
        <s v="CUST414"/>
        <s v="CUST415"/>
        <s v="CUST416"/>
        <s v="CUST417"/>
        <s v="CUST418"/>
        <s v="CUST419"/>
        <s v="CUST420"/>
        <s v="CUST421"/>
        <s v="CUST422"/>
        <s v="CUST423"/>
        <s v="CUST424"/>
        <s v="CUST425"/>
        <s v="CUST426"/>
        <s v="CUST427"/>
        <s v="CUST428"/>
        <s v="CUST429"/>
        <s v="CUST430"/>
        <s v="CUST431"/>
        <s v="CUST432"/>
        <s v="CUST433"/>
        <s v="CUST434"/>
        <s v="CUST435"/>
        <s v="CUST436"/>
        <s v="CUST437"/>
        <s v="CUST438"/>
        <s v="CUST439"/>
        <s v="CUST440"/>
        <s v="CUST441"/>
        <s v="CUST442"/>
        <s v="CUST443"/>
        <s v="CUST444"/>
        <s v="CUST445"/>
        <s v="CUST446"/>
        <s v="CUST447"/>
        <s v="CUST448"/>
        <s v="CUST449"/>
        <s v="CUST450"/>
        <s v="CUST451"/>
        <s v="CUST452"/>
        <s v="CUST453"/>
        <s v="CUST454"/>
        <s v="CUST455"/>
        <s v="CUST456"/>
        <s v="CUST457"/>
        <s v="CUST458"/>
        <s v="CUST459"/>
        <s v="CUST460"/>
        <s v="CUST461"/>
        <s v="CUST462"/>
        <s v="CUST463"/>
        <s v="CUST464"/>
        <s v="CUST465"/>
        <s v="CUST466"/>
        <s v="CUST467"/>
        <s v="CUST468"/>
        <s v="CUST469"/>
        <s v="CUST470"/>
        <s v="CUST471"/>
        <s v="CUST472"/>
        <s v="CUST473"/>
        <s v="CUST474"/>
        <s v="CUST475"/>
        <s v="CUST476"/>
        <s v="CUST477"/>
        <s v="CUST478"/>
        <s v="CUST479"/>
        <s v="CUST480"/>
        <s v="CUST481"/>
        <s v="CUST482"/>
        <s v="CUST483"/>
        <s v="CUST484"/>
        <s v="CUST485"/>
        <s v="CUST486"/>
        <s v="CUST487"/>
        <s v="CUST488"/>
        <s v="CUST489"/>
        <s v="CUST490"/>
        <s v="CUST491"/>
        <s v="CUST492"/>
        <s v="CUST493"/>
        <s v="CUST494"/>
        <s v="CUST495"/>
        <s v="CUST496"/>
        <s v="CUST497"/>
        <s v="CUST498"/>
        <s v="CUST499"/>
        <s v="CUST500"/>
        <s v="CUST501"/>
        <s v="CUST502"/>
        <s v="CUST503"/>
        <s v="CUST504"/>
        <s v="CUST505"/>
        <s v="CUST506"/>
        <s v="CUST507"/>
        <s v="CUST508"/>
        <s v="CUST509"/>
        <s v="CUST510"/>
        <s v="CUST511"/>
        <s v="CUST512"/>
        <s v="CUST513"/>
        <s v="CUST514"/>
        <s v="CUST515"/>
        <s v="CUST516"/>
        <s v="CUST517"/>
        <s v="CUST518"/>
        <s v="CUST519"/>
        <s v="CUST520"/>
        <s v="CUST521"/>
        <s v="CUST522"/>
        <s v="CUST523"/>
        <s v="CUST524"/>
        <s v="CUST525"/>
        <s v="CUST526"/>
        <s v="CUST527"/>
        <s v="CUST528"/>
        <s v="CUST529"/>
        <s v="CUST530"/>
        <s v="CUST531"/>
        <s v="CUST532"/>
        <s v="CUST533"/>
        <s v="CUST534"/>
        <s v="CUST535"/>
        <s v="CUST536"/>
        <s v="CUST537"/>
        <s v="CUST538"/>
        <s v="CUST539"/>
        <s v="CUST540"/>
        <s v="CUST541"/>
        <s v="CUST542"/>
        <s v="CUST543"/>
        <s v="CUST544"/>
        <s v="CUST545"/>
        <s v="CUST546"/>
        <s v="CUST547"/>
        <s v="CUST548"/>
        <s v="CUST549"/>
        <s v="CUST550"/>
        <s v="CUST551"/>
        <s v="CUST552"/>
        <s v="CUST553"/>
        <s v="CUST554"/>
        <s v="CUST555"/>
        <s v="CUST556"/>
        <s v="CUST557"/>
        <s v="CUST558"/>
        <s v="CUST559"/>
        <s v="CUST560"/>
        <s v="CUST561"/>
        <s v="CUST562"/>
        <s v="CUST563"/>
        <s v="CUST564"/>
        <s v="CUST565"/>
        <s v="CUST566"/>
        <s v="CUST567"/>
        <s v="CUST568"/>
        <s v="CUST569"/>
        <s v="CUST570"/>
        <s v="CUST571"/>
        <s v="CUST572"/>
        <s v="CUST573"/>
        <s v="CUST574"/>
        <s v="CUST575"/>
        <s v="CUST576"/>
        <s v="CUST577"/>
        <s v="CUST578"/>
        <s v="CUST579"/>
        <s v="CUST580"/>
        <s v="CUST581"/>
        <s v="CUST582"/>
        <s v="CUST583"/>
        <s v="CUST584"/>
        <s v="CUST585"/>
        <s v="CUST586"/>
        <s v="CUST587"/>
        <s v="CUST588"/>
        <s v="CUST589"/>
        <s v="CUST590"/>
        <s v="CUST591"/>
        <s v="CUST592"/>
        <s v="CUST593"/>
        <s v="CUST594"/>
        <s v="CUST595"/>
        <s v="CUST596"/>
        <s v="CUST597"/>
        <s v="CUST598"/>
        <s v="CUST599"/>
        <s v="CUST600"/>
        <s v="CUST601"/>
        <s v="CUST602"/>
        <s v="CUST603"/>
        <s v="CUST604"/>
        <s v="CUST605"/>
        <s v="CUST606"/>
        <s v="CUST607"/>
        <s v="CUST608"/>
        <s v="CUST609"/>
        <s v="CUST610"/>
        <s v="CUST611"/>
        <s v="CUST612"/>
        <s v="CUST613"/>
        <s v="CUST614"/>
        <s v="CUST615"/>
        <s v="CUST616"/>
        <s v="CUST617"/>
        <s v="CUST618"/>
        <s v="CUST619"/>
        <s v="CUST620"/>
        <s v="CUST621"/>
        <s v="CUST622"/>
        <s v="CUST623"/>
        <s v="CUST624"/>
        <s v="CUST625"/>
        <s v="CUST626"/>
        <s v="CUST627"/>
        <s v="CUST628"/>
        <s v="CUST629"/>
        <s v="CUST630"/>
        <s v="CUST631"/>
        <s v="CUST632"/>
        <s v="CUST633"/>
        <s v="CUST634"/>
        <s v="CUST635"/>
        <s v="CUST636"/>
        <s v="CUST637"/>
        <s v="CUST638"/>
        <s v="CUST639"/>
        <s v="CUST640"/>
        <s v="CUST641"/>
        <s v="CUST642"/>
        <s v="CUST643"/>
        <s v="CUST644"/>
        <s v="CUST645"/>
        <s v="CUST646"/>
        <s v="CUST647"/>
        <s v="CUST648"/>
        <s v="CUST649"/>
        <s v="CUST650"/>
        <s v="CUST651"/>
        <s v="CUST652"/>
        <s v="CUST653"/>
        <s v="CUST654"/>
        <s v="CUST655"/>
        <s v="CUST656"/>
        <s v="CUST657"/>
        <s v="CUST658"/>
        <s v="CUST659"/>
        <s v="CUST660"/>
        <s v="CUST661"/>
        <s v="CUST662"/>
        <s v="CUST663"/>
        <s v="CUST664"/>
        <s v="CUST665"/>
        <s v="CUST666"/>
        <s v="CUST667"/>
        <s v="CUST668"/>
        <s v="CUST669"/>
        <s v="CUST670"/>
        <s v="CUST671"/>
        <s v="CUST672"/>
        <s v="CUST673"/>
        <s v="CUST674"/>
        <s v="CUST675"/>
        <s v="CUST676"/>
        <s v="CUST677"/>
        <s v="CUST678"/>
        <s v="CUST679"/>
        <s v="CUST680"/>
        <s v="CUST681"/>
        <s v="CUST682"/>
        <s v="CUST683"/>
        <s v="CUST684"/>
        <s v="CUST685"/>
        <s v="CUST686"/>
        <s v="CUST687"/>
        <s v="CUST688"/>
        <s v="CUST689"/>
        <s v="CUST690"/>
        <s v="CUST691"/>
        <s v="CUST692"/>
        <s v="CUST693"/>
        <s v="CUST694"/>
        <s v="CUST695"/>
        <s v="CUST696"/>
        <s v="CUST697"/>
        <s v="CUST698"/>
        <s v="CUST699"/>
        <s v="CUST700"/>
        <s v="CUST701"/>
        <s v="CUST702"/>
        <s v="CUST703"/>
        <s v="CUST704"/>
        <s v="CUST705"/>
        <s v="CUST706"/>
        <s v="CUST707"/>
        <s v="CUST708"/>
        <s v="CUST709"/>
        <s v="CUST710"/>
        <s v="CUST711"/>
        <s v="CUST712"/>
        <s v="CUST713"/>
        <s v="CUST714"/>
        <s v="CUST715"/>
        <s v="CUST716"/>
        <s v="CUST717"/>
        <s v="CUST718"/>
        <s v="CUST719"/>
        <s v="CUST720"/>
        <s v="CUST721"/>
        <s v="CUST722"/>
        <s v="CUST723"/>
        <s v="CUST724"/>
        <s v="CUST725"/>
        <s v="CUST726"/>
        <s v="CUST727"/>
        <s v="CUST728"/>
        <s v="CUST729"/>
        <s v="CUST730"/>
        <s v="CUST731"/>
        <s v="CUST732"/>
        <s v="CUST733"/>
        <s v="CUST734"/>
        <s v="CUST735"/>
        <s v="CUST736"/>
        <s v="CUST737"/>
        <s v="CUST738"/>
        <s v="CUST739"/>
        <s v="CUST740"/>
        <s v="CUST741"/>
        <s v="CUST742"/>
        <s v="CUST743"/>
        <s v="CUST744"/>
        <s v="CUST745"/>
        <s v="CUST746"/>
        <s v="CUST747"/>
        <s v="CUST748"/>
        <s v="CUST749"/>
        <s v="CUST750"/>
        <s v="CUST751"/>
        <s v="CUST752"/>
        <s v="CUST753"/>
        <s v="CUST754"/>
        <s v="CUST755"/>
        <s v="CUST756"/>
        <s v="CUST757"/>
        <s v="CUST758"/>
        <s v="CUST759"/>
        <s v="CUST760"/>
        <s v="CUST761"/>
        <s v="CUST762"/>
        <s v="CUST763"/>
        <s v="CUST764"/>
        <s v="CUST765"/>
        <s v="CUST766"/>
        <s v="CUST767"/>
        <s v="CUST768"/>
        <s v="CUST769"/>
        <s v="CUST770"/>
        <s v="CUST771"/>
        <s v="CUST772"/>
        <s v="CUST773"/>
        <s v="CUST774"/>
        <s v="CUST775"/>
        <s v="CUST776"/>
        <s v="CUST777"/>
        <s v="CUST778"/>
        <s v="CUST779"/>
        <s v="CUST780"/>
        <s v="CUST781"/>
        <s v="CUST782"/>
        <s v="CUST783"/>
        <s v="CUST784"/>
        <s v="CUST785"/>
        <s v="CUST786"/>
        <s v="CUST787"/>
        <s v="CUST788"/>
        <s v="CUST789"/>
        <s v="CUST790"/>
        <s v="CUST791"/>
        <s v="CUST792"/>
        <s v="CUST793"/>
        <s v="CUST794"/>
        <s v="CUST795"/>
        <s v="CUST796"/>
        <s v="CUST797"/>
        <s v="CUST798"/>
        <s v="CUST799"/>
        <s v="CUST800"/>
        <s v="CUST801"/>
        <s v="CUST802"/>
        <s v="CUST803"/>
        <s v="CUST804"/>
        <s v="CUST805"/>
        <s v="CUST806"/>
        <s v="CUST807"/>
        <s v="CUST808"/>
        <s v="CUST809"/>
        <s v="CUST810"/>
        <s v="CUST811"/>
        <s v="CUST812"/>
        <s v="CUST813"/>
        <s v="CUST814"/>
        <s v="CUST815"/>
        <s v="CUST816"/>
        <s v="CUST817"/>
        <s v="CUST818"/>
        <s v="CUST819"/>
        <s v="CUST820"/>
        <s v="CUST821"/>
        <s v="CUST822"/>
        <s v="CUST823"/>
        <s v="CUST824"/>
        <s v="CUST825"/>
        <s v="CUST826"/>
        <s v="CUST827"/>
        <s v="CUST828"/>
        <s v="CUST829"/>
        <s v="CUST830"/>
        <s v="CUST831"/>
        <s v="CUST832"/>
        <s v="CUST833"/>
        <s v="CUST834"/>
        <s v="CUST835"/>
        <s v="CUST836"/>
        <s v="CUST837"/>
        <s v="CUST838"/>
        <s v="CUST839"/>
        <s v="CUST840"/>
        <s v="CUST841"/>
        <s v="CUST842"/>
        <s v="CUST843"/>
        <s v="CUST844"/>
        <s v="CUST845"/>
        <s v="CUST846"/>
        <s v="CUST847"/>
        <s v="CUST848"/>
        <s v="CUST849"/>
        <s v="CUST850"/>
        <s v="CUST851"/>
        <s v="CUST852"/>
        <s v="CUST853"/>
        <s v="CUST854"/>
        <s v="CUST855"/>
        <s v="CUST856"/>
        <s v="CUST857"/>
        <s v="CUST858"/>
        <s v="CUST859"/>
        <s v="CUST860"/>
        <s v="CUST861"/>
        <s v="CUST862"/>
        <s v="CUST863"/>
        <s v="CUST864"/>
        <s v="CUST865"/>
        <s v="CUST866"/>
        <s v="CUST867"/>
        <s v="CUST868"/>
        <s v="CUST869"/>
        <s v="CUST870"/>
        <s v="CUST871"/>
        <s v="CUST872"/>
        <s v="CUST873"/>
        <s v="CUST874"/>
        <s v="CUST875"/>
        <s v="CUST876"/>
        <s v="CUST877"/>
        <s v="CUST878"/>
        <s v="CUST879"/>
        <s v="CUST880"/>
        <s v="CUST881"/>
        <s v="CUST882"/>
        <s v="CUST883"/>
        <s v="CUST884"/>
        <s v="CUST885"/>
        <s v="CUST886"/>
        <s v="CUST887"/>
        <s v="CUST888"/>
        <s v="CUST889"/>
        <s v="CUST890"/>
        <s v="CUST891"/>
        <s v="CUST892"/>
        <s v="CUST893"/>
        <s v="CUST894"/>
        <s v="CUST895"/>
        <s v="CUST896"/>
        <s v="CUST897"/>
        <s v="CUST898"/>
        <s v="CUST899"/>
        <s v="CUST900"/>
        <s v="CUST901"/>
        <s v="CUST902"/>
        <s v="CUST903"/>
        <s v="CUST904"/>
        <s v="CUST905"/>
        <s v="CUST906"/>
        <s v="CUST907"/>
        <s v="CUST908"/>
        <s v="CUST909"/>
        <s v="CUST910"/>
        <s v="CUST911"/>
        <s v="CUST912"/>
        <s v="CUST913"/>
        <s v="CUST914"/>
        <s v="CUST915"/>
        <s v="CUST916"/>
        <s v="CUST917"/>
        <s v="CUST918"/>
        <s v="CUST919"/>
        <s v="CUST920"/>
        <s v="CUST921"/>
        <s v="CUST922"/>
        <s v="CUST923"/>
        <s v="CUST924"/>
        <s v="CUST925"/>
        <s v="CUST926"/>
        <s v="CUST927"/>
        <s v="CUST928"/>
        <s v="CUST929"/>
        <s v="CUST930"/>
        <s v="CUST931"/>
        <s v="CUST932"/>
        <s v="CUST933"/>
        <s v="CUST934"/>
        <s v="CUST935"/>
        <s v="CUST936"/>
        <s v="CUST937"/>
        <s v="CUST938"/>
        <s v="CUST939"/>
        <s v="CUST940"/>
        <s v="CUST941"/>
        <s v="CUST942"/>
        <s v="CUST943"/>
        <s v="CUST944"/>
        <s v="CUST945"/>
        <s v="CUST946"/>
        <s v="CUST947"/>
        <s v="CUST948"/>
        <s v="CUST949"/>
        <s v="CUST950"/>
        <s v="CUST951"/>
        <s v="CUST952"/>
        <s v="CUST953"/>
        <s v="CUST954"/>
        <s v="CUST955"/>
        <s v="CUST956"/>
        <s v="CUST957"/>
        <s v="CUST958"/>
        <s v="CUST959"/>
        <s v="CUST960"/>
        <s v="CUST961"/>
        <s v="CUST962"/>
        <s v="CUST963"/>
        <s v="CUST964"/>
        <s v="CUST965"/>
        <s v="CUST966"/>
        <s v="CUST967"/>
        <s v="CUST968"/>
        <s v="CUST969"/>
        <s v="CUST970"/>
        <s v="CUST971"/>
        <s v="CUST972"/>
        <s v="CUST973"/>
        <s v="CUST974"/>
        <s v="CUST975"/>
        <s v="CUST976"/>
        <s v="CUST977"/>
        <s v="CUST978"/>
        <s v="CUST979"/>
        <s v="CUST980"/>
        <s v="CUST981"/>
        <s v="CUST982"/>
        <s v="CUST983"/>
        <s v="CUST984"/>
        <s v="CUST985"/>
        <s v="CUST986"/>
        <s v="CUST987"/>
        <s v="CUST988"/>
        <s v="CUST989"/>
        <s v="CUST990"/>
        <s v="CUST991"/>
        <s v="CUST992"/>
        <s v="CUST993"/>
        <s v="CUST994"/>
        <s v="CUST995"/>
        <s v="CUST996"/>
        <s v="CUST997"/>
        <s v="CUST998"/>
        <s v="CUST999"/>
        <s v="CUST1000"/>
      </sharedItems>
    </cacheField>
    <cacheField name="Gender" numFmtId="49">
      <sharedItems count="2">
        <s v="Male"/>
        <s v="Female"/>
      </sharedItems>
    </cacheField>
    <cacheField name="Age" numFmtId="1">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cacheField>
    <cacheField name="Age_Group" numFmtId="1">
      <sharedItems count="3">
        <s v="Adult"/>
        <s v="Young"/>
        <s v="Senior"/>
      </sharedItems>
    </cacheField>
    <cacheField name="Product_Category" numFmtId="49">
      <sharedItems count="3">
        <s v="Beauty"/>
        <s v="Clothing"/>
        <s v="Electronics"/>
      </sharedItems>
    </cacheField>
    <cacheField name="Quantity" numFmtId="1">
      <sharedItems containsSemiMixedTypes="0" containsString="0" containsNumber="1" containsInteger="1" minValue="1" maxValue="4" count="4">
        <n v="3"/>
        <n v="2"/>
        <n v="1"/>
        <n v="4"/>
      </sharedItems>
    </cacheField>
    <cacheField name="Price_per_Unit" numFmtId="1">
      <sharedItems containsSemiMixedTypes="0" containsString="0" containsNumber="1" containsInteger="1" minValue="25" maxValue="500"/>
    </cacheField>
    <cacheField name="Total_Amount" numFmtId="1">
      <sharedItems containsSemiMixedTypes="0" containsString="0" containsNumber="1" containsInteger="1" minValue="25" maxValue="2000" count="18">
        <n v="150"/>
        <n v="1000"/>
        <n v="30"/>
        <n v="500"/>
        <n v="100"/>
        <n v="50"/>
        <n v="600"/>
        <n v="200"/>
        <n v="75"/>
        <n v="1500"/>
        <n v="120"/>
        <n v="2000"/>
        <n v="900"/>
        <n v="300"/>
        <n v="1200"/>
        <n v="90"/>
        <n v="25"/>
        <n v="60"/>
      </sharedItems>
    </cacheField>
    <cacheField name="Sales_Classification" numFmtId="0">
      <sharedItems count="3">
        <s v="Low"/>
        <s v="Medium"/>
        <s v="High"/>
      </sharedItems>
    </cacheField>
    <cacheField name="Year" numFmtId="1">
      <sharedItems containsSemiMixedTypes="0" containsString="0" containsNumber="1" containsInteger="1" minValue="2023" maxValue="2024" count="2">
        <n v="2023"/>
        <n v="2024"/>
      </sharedItems>
    </cacheField>
    <cacheField name="Quarter" numFmtId="1">
      <sharedItems containsSemiMixedTypes="0" containsString="0" containsNumber="1" containsInteger="1" minValue="1" maxValue="4" count="4">
        <n v="4"/>
        <n v="1"/>
        <n v="2"/>
        <n v="3"/>
      </sharedItems>
    </cacheField>
    <cacheField name="Day_of_Week" numFmtId="49">
      <sharedItems count="7">
        <s v="Friday"/>
        <s v="Monday"/>
        <s v="Sunday"/>
        <s v="Saturday"/>
        <s v="Tuesday"/>
        <s v="Wednesday"/>
        <s v="Thursday"/>
      </sharedItems>
    </cacheField>
    <cacheField name="Month" numFmtId="49">
      <sharedItems count="12">
        <s v="November"/>
        <s v="February"/>
        <s v="January"/>
        <s v="May"/>
        <s v="April"/>
        <s v="March"/>
        <s v="December"/>
        <s v="October"/>
        <s v="August"/>
        <s v="September"/>
        <s v="June"/>
        <s v="July"/>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
    <d v="2023-11-24T00:00:00"/>
    <x v="0"/>
    <x v="0"/>
    <x v="0"/>
    <x v="0"/>
    <x v="0"/>
    <x v="0"/>
    <n v="50"/>
    <x v="0"/>
    <x v="0"/>
    <x v="0"/>
    <x v="0"/>
    <x v="0"/>
    <x v="0"/>
  </r>
  <r>
    <n v="2"/>
    <d v="2023-02-27T00:00:00"/>
    <x v="1"/>
    <x v="1"/>
    <x v="1"/>
    <x v="1"/>
    <x v="1"/>
    <x v="1"/>
    <n v="500"/>
    <x v="1"/>
    <x v="1"/>
    <x v="0"/>
    <x v="1"/>
    <x v="1"/>
    <x v="1"/>
  </r>
  <r>
    <n v="3"/>
    <d v="2023-01-13T00:00:00"/>
    <x v="2"/>
    <x v="0"/>
    <x v="2"/>
    <x v="0"/>
    <x v="2"/>
    <x v="2"/>
    <n v="30"/>
    <x v="2"/>
    <x v="0"/>
    <x v="0"/>
    <x v="1"/>
    <x v="0"/>
    <x v="2"/>
  </r>
  <r>
    <n v="4"/>
    <d v="2023-05-21T00:00:00"/>
    <x v="3"/>
    <x v="0"/>
    <x v="3"/>
    <x v="0"/>
    <x v="1"/>
    <x v="2"/>
    <n v="500"/>
    <x v="3"/>
    <x v="0"/>
    <x v="0"/>
    <x v="2"/>
    <x v="2"/>
    <x v="3"/>
  </r>
  <r>
    <n v="5"/>
    <d v="2023-05-06T00:00:00"/>
    <x v="4"/>
    <x v="0"/>
    <x v="4"/>
    <x v="1"/>
    <x v="0"/>
    <x v="1"/>
    <n v="50"/>
    <x v="4"/>
    <x v="0"/>
    <x v="0"/>
    <x v="2"/>
    <x v="3"/>
    <x v="3"/>
  </r>
  <r>
    <n v="6"/>
    <d v="2023-04-25T00:00:00"/>
    <x v="5"/>
    <x v="1"/>
    <x v="5"/>
    <x v="0"/>
    <x v="0"/>
    <x v="2"/>
    <n v="30"/>
    <x v="2"/>
    <x v="0"/>
    <x v="0"/>
    <x v="2"/>
    <x v="4"/>
    <x v="4"/>
  </r>
  <r>
    <n v="7"/>
    <d v="2023-03-13T00:00:00"/>
    <x v="6"/>
    <x v="0"/>
    <x v="6"/>
    <x v="0"/>
    <x v="1"/>
    <x v="1"/>
    <n v="25"/>
    <x v="5"/>
    <x v="0"/>
    <x v="0"/>
    <x v="1"/>
    <x v="1"/>
    <x v="5"/>
  </r>
  <r>
    <n v="8"/>
    <d v="2023-02-22T00:00:00"/>
    <x v="7"/>
    <x v="0"/>
    <x v="4"/>
    <x v="1"/>
    <x v="2"/>
    <x v="3"/>
    <n v="25"/>
    <x v="4"/>
    <x v="0"/>
    <x v="0"/>
    <x v="1"/>
    <x v="5"/>
    <x v="1"/>
  </r>
  <r>
    <n v="9"/>
    <d v="2023-12-13T00:00:00"/>
    <x v="8"/>
    <x v="0"/>
    <x v="7"/>
    <x v="2"/>
    <x v="2"/>
    <x v="1"/>
    <n v="300"/>
    <x v="6"/>
    <x v="1"/>
    <x v="0"/>
    <x v="0"/>
    <x v="5"/>
    <x v="6"/>
  </r>
  <r>
    <n v="10"/>
    <d v="2023-10-07T00:00:00"/>
    <x v="9"/>
    <x v="1"/>
    <x v="8"/>
    <x v="0"/>
    <x v="1"/>
    <x v="3"/>
    <n v="50"/>
    <x v="7"/>
    <x v="0"/>
    <x v="0"/>
    <x v="0"/>
    <x v="3"/>
    <x v="7"/>
  </r>
  <r>
    <n v="11"/>
    <d v="2023-02-14T00:00:00"/>
    <x v="10"/>
    <x v="0"/>
    <x v="9"/>
    <x v="1"/>
    <x v="1"/>
    <x v="1"/>
    <n v="50"/>
    <x v="4"/>
    <x v="0"/>
    <x v="0"/>
    <x v="1"/>
    <x v="4"/>
    <x v="1"/>
  </r>
  <r>
    <n v="12"/>
    <d v="2023-10-30T00:00:00"/>
    <x v="11"/>
    <x v="0"/>
    <x v="10"/>
    <x v="0"/>
    <x v="0"/>
    <x v="0"/>
    <n v="25"/>
    <x v="8"/>
    <x v="0"/>
    <x v="0"/>
    <x v="0"/>
    <x v="1"/>
    <x v="7"/>
  </r>
  <r>
    <n v="13"/>
    <d v="2023-08-05T00:00:00"/>
    <x v="12"/>
    <x v="0"/>
    <x v="11"/>
    <x v="1"/>
    <x v="2"/>
    <x v="0"/>
    <n v="500"/>
    <x v="9"/>
    <x v="1"/>
    <x v="0"/>
    <x v="3"/>
    <x v="3"/>
    <x v="8"/>
  </r>
  <r>
    <n v="14"/>
    <d v="2023-01-17T00:00:00"/>
    <x v="13"/>
    <x v="0"/>
    <x v="12"/>
    <x v="2"/>
    <x v="1"/>
    <x v="3"/>
    <n v="30"/>
    <x v="10"/>
    <x v="0"/>
    <x v="0"/>
    <x v="1"/>
    <x v="4"/>
    <x v="2"/>
  </r>
  <r>
    <n v="15"/>
    <d v="2023-01-16T00:00:00"/>
    <x v="14"/>
    <x v="1"/>
    <x v="13"/>
    <x v="0"/>
    <x v="2"/>
    <x v="3"/>
    <n v="500"/>
    <x v="11"/>
    <x v="2"/>
    <x v="0"/>
    <x v="1"/>
    <x v="1"/>
    <x v="2"/>
  </r>
  <r>
    <n v="16"/>
    <d v="2023-02-17T00:00:00"/>
    <x v="15"/>
    <x v="0"/>
    <x v="14"/>
    <x v="1"/>
    <x v="1"/>
    <x v="0"/>
    <n v="500"/>
    <x v="9"/>
    <x v="1"/>
    <x v="0"/>
    <x v="1"/>
    <x v="0"/>
    <x v="1"/>
  </r>
  <r>
    <n v="17"/>
    <d v="2023-04-22T00:00:00"/>
    <x v="16"/>
    <x v="1"/>
    <x v="15"/>
    <x v="1"/>
    <x v="1"/>
    <x v="3"/>
    <n v="25"/>
    <x v="4"/>
    <x v="0"/>
    <x v="0"/>
    <x v="2"/>
    <x v="3"/>
    <x v="4"/>
  </r>
  <r>
    <n v="18"/>
    <d v="2023-04-30T00:00:00"/>
    <x v="17"/>
    <x v="1"/>
    <x v="16"/>
    <x v="0"/>
    <x v="2"/>
    <x v="1"/>
    <n v="25"/>
    <x v="5"/>
    <x v="0"/>
    <x v="0"/>
    <x v="2"/>
    <x v="2"/>
    <x v="4"/>
  </r>
  <r>
    <n v="19"/>
    <d v="2023-09-16T00:00:00"/>
    <x v="18"/>
    <x v="1"/>
    <x v="17"/>
    <x v="2"/>
    <x v="1"/>
    <x v="1"/>
    <n v="25"/>
    <x v="5"/>
    <x v="0"/>
    <x v="0"/>
    <x v="3"/>
    <x v="3"/>
    <x v="9"/>
  </r>
  <r>
    <n v="20"/>
    <d v="2023-11-05T00:00:00"/>
    <x v="19"/>
    <x v="0"/>
    <x v="11"/>
    <x v="1"/>
    <x v="1"/>
    <x v="0"/>
    <n v="300"/>
    <x v="12"/>
    <x v="1"/>
    <x v="0"/>
    <x v="0"/>
    <x v="2"/>
    <x v="0"/>
  </r>
  <r>
    <n v="21"/>
    <d v="2023-01-14T00:00:00"/>
    <x v="20"/>
    <x v="1"/>
    <x v="2"/>
    <x v="0"/>
    <x v="0"/>
    <x v="2"/>
    <n v="500"/>
    <x v="3"/>
    <x v="0"/>
    <x v="0"/>
    <x v="1"/>
    <x v="3"/>
    <x v="2"/>
  </r>
  <r>
    <n v="22"/>
    <d v="2023-10-15T00:00:00"/>
    <x v="21"/>
    <x v="0"/>
    <x v="18"/>
    <x v="1"/>
    <x v="1"/>
    <x v="1"/>
    <n v="50"/>
    <x v="4"/>
    <x v="0"/>
    <x v="0"/>
    <x v="0"/>
    <x v="2"/>
    <x v="7"/>
  </r>
  <r>
    <n v="23"/>
    <d v="2023-04-12T00:00:00"/>
    <x v="22"/>
    <x v="1"/>
    <x v="10"/>
    <x v="0"/>
    <x v="1"/>
    <x v="3"/>
    <n v="30"/>
    <x v="10"/>
    <x v="0"/>
    <x v="0"/>
    <x v="2"/>
    <x v="5"/>
    <x v="4"/>
  </r>
  <r>
    <n v="24"/>
    <d v="2023-11-29T00:00:00"/>
    <x v="23"/>
    <x v="1"/>
    <x v="19"/>
    <x v="0"/>
    <x v="1"/>
    <x v="2"/>
    <n v="300"/>
    <x v="13"/>
    <x v="0"/>
    <x v="0"/>
    <x v="0"/>
    <x v="5"/>
    <x v="0"/>
  </r>
  <r>
    <n v="25"/>
    <d v="2023-12-26T00:00:00"/>
    <x v="24"/>
    <x v="1"/>
    <x v="12"/>
    <x v="2"/>
    <x v="0"/>
    <x v="2"/>
    <n v="50"/>
    <x v="5"/>
    <x v="0"/>
    <x v="0"/>
    <x v="0"/>
    <x v="4"/>
    <x v="6"/>
  </r>
  <r>
    <n v="26"/>
    <d v="2023-10-07T00:00:00"/>
    <x v="25"/>
    <x v="1"/>
    <x v="20"/>
    <x v="1"/>
    <x v="2"/>
    <x v="1"/>
    <n v="500"/>
    <x v="1"/>
    <x v="1"/>
    <x v="0"/>
    <x v="0"/>
    <x v="3"/>
    <x v="7"/>
  </r>
  <r>
    <n v="27"/>
    <d v="2023-08-03T00:00:00"/>
    <x v="26"/>
    <x v="1"/>
    <x v="21"/>
    <x v="0"/>
    <x v="0"/>
    <x v="1"/>
    <n v="25"/>
    <x v="5"/>
    <x v="0"/>
    <x v="0"/>
    <x v="3"/>
    <x v="6"/>
    <x v="8"/>
  </r>
  <r>
    <n v="28"/>
    <d v="2023-04-23T00:00:00"/>
    <x v="27"/>
    <x v="1"/>
    <x v="22"/>
    <x v="0"/>
    <x v="0"/>
    <x v="2"/>
    <n v="500"/>
    <x v="3"/>
    <x v="0"/>
    <x v="0"/>
    <x v="2"/>
    <x v="2"/>
    <x v="4"/>
  </r>
  <r>
    <n v="29"/>
    <d v="2023-08-18T00:00:00"/>
    <x v="28"/>
    <x v="1"/>
    <x v="13"/>
    <x v="0"/>
    <x v="2"/>
    <x v="2"/>
    <n v="30"/>
    <x v="2"/>
    <x v="0"/>
    <x v="0"/>
    <x v="3"/>
    <x v="0"/>
    <x v="8"/>
  </r>
  <r>
    <n v="30"/>
    <d v="2023-10-29T00:00:00"/>
    <x v="29"/>
    <x v="1"/>
    <x v="23"/>
    <x v="0"/>
    <x v="0"/>
    <x v="0"/>
    <n v="300"/>
    <x v="12"/>
    <x v="1"/>
    <x v="0"/>
    <x v="0"/>
    <x v="2"/>
    <x v="7"/>
  </r>
  <r>
    <n v="31"/>
    <d v="2023-05-23T00:00:00"/>
    <x v="30"/>
    <x v="0"/>
    <x v="24"/>
    <x v="0"/>
    <x v="2"/>
    <x v="3"/>
    <n v="300"/>
    <x v="14"/>
    <x v="1"/>
    <x v="0"/>
    <x v="2"/>
    <x v="4"/>
    <x v="3"/>
  </r>
  <r>
    <n v="32"/>
    <d v="2023-01-04T00:00:00"/>
    <x v="31"/>
    <x v="0"/>
    <x v="4"/>
    <x v="1"/>
    <x v="0"/>
    <x v="0"/>
    <n v="30"/>
    <x v="15"/>
    <x v="0"/>
    <x v="0"/>
    <x v="1"/>
    <x v="5"/>
    <x v="2"/>
  </r>
  <r>
    <n v="33"/>
    <d v="2023-03-23T00:00:00"/>
    <x v="32"/>
    <x v="1"/>
    <x v="2"/>
    <x v="0"/>
    <x v="2"/>
    <x v="1"/>
    <n v="50"/>
    <x v="4"/>
    <x v="0"/>
    <x v="0"/>
    <x v="1"/>
    <x v="6"/>
    <x v="5"/>
  </r>
  <r>
    <n v="34"/>
    <d v="2023-12-24T00:00:00"/>
    <x v="33"/>
    <x v="1"/>
    <x v="25"/>
    <x v="0"/>
    <x v="1"/>
    <x v="0"/>
    <n v="50"/>
    <x v="0"/>
    <x v="0"/>
    <x v="0"/>
    <x v="0"/>
    <x v="2"/>
    <x v="6"/>
  </r>
  <r>
    <n v="35"/>
    <d v="2023-08-05T00:00:00"/>
    <x v="34"/>
    <x v="1"/>
    <x v="26"/>
    <x v="0"/>
    <x v="0"/>
    <x v="0"/>
    <n v="300"/>
    <x v="12"/>
    <x v="1"/>
    <x v="0"/>
    <x v="3"/>
    <x v="3"/>
    <x v="8"/>
  </r>
  <r>
    <n v="36"/>
    <d v="2023-06-24T00:00:00"/>
    <x v="35"/>
    <x v="0"/>
    <x v="8"/>
    <x v="0"/>
    <x v="0"/>
    <x v="0"/>
    <n v="300"/>
    <x v="12"/>
    <x v="1"/>
    <x v="0"/>
    <x v="2"/>
    <x v="3"/>
    <x v="10"/>
  </r>
  <r>
    <n v="37"/>
    <d v="2023-05-23T00:00:00"/>
    <x v="36"/>
    <x v="1"/>
    <x v="18"/>
    <x v="1"/>
    <x v="0"/>
    <x v="0"/>
    <n v="25"/>
    <x v="8"/>
    <x v="0"/>
    <x v="0"/>
    <x v="2"/>
    <x v="4"/>
    <x v="3"/>
  </r>
  <r>
    <n v="38"/>
    <d v="2023-03-21T00:00:00"/>
    <x v="37"/>
    <x v="0"/>
    <x v="21"/>
    <x v="0"/>
    <x v="0"/>
    <x v="3"/>
    <n v="50"/>
    <x v="7"/>
    <x v="0"/>
    <x v="0"/>
    <x v="1"/>
    <x v="4"/>
    <x v="5"/>
  </r>
  <r>
    <n v="39"/>
    <d v="2023-04-21T00:00:00"/>
    <x v="38"/>
    <x v="0"/>
    <x v="9"/>
    <x v="1"/>
    <x v="1"/>
    <x v="3"/>
    <n v="30"/>
    <x v="10"/>
    <x v="0"/>
    <x v="0"/>
    <x v="2"/>
    <x v="0"/>
    <x v="4"/>
  </r>
  <r>
    <n v="40"/>
    <d v="2023-06-22T00:00:00"/>
    <x v="39"/>
    <x v="0"/>
    <x v="5"/>
    <x v="0"/>
    <x v="0"/>
    <x v="2"/>
    <n v="50"/>
    <x v="5"/>
    <x v="0"/>
    <x v="0"/>
    <x v="2"/>
    <x v="6"/>
    <x v="10"/>
  </r>
  <r>
    <n v="41"/>
    <d v="2023-02-22T00:00:00"/>
    <x v="40"/>
    <x v="0"/>
    <x v="0"/>
    <x v="0"/>
    <x v="1"/>
    <x v="1"/>
    <n v="25"/>
    <x v="5"/>
    <x v="0"/>
    <x v="0"/>
    <x v="1"/>
    <x v="5"/>
    <x v="1"/>
  </r>
  <r>
    <n v="42"/>
    <d v="2023-02-17T00:00:00"/>
    <x v="41"/>
    <x v="0"/>
    <x v="11"/>
    <x v="1"/>
    <x v="1"/>
    <x v="0"/>
    <n v="300"/>
    <x v="12"/>
    <x v="1"/>
    <x v="0"/>
    <x v="1"/>
    <x v="0"/>
    <x v="1"/>
  </r>
  <r>
    <n v="43"/>
    <d v="2023-07-14T00:00:00"/>
    <x v="42"/>
    <x v="1"/>
    <x v="27"/>
    <x v="0"/>
    <x v="1"/>
    <x v="2"/>
    <n v="300"/>
    <x v="13"/>
    <x v="0"/>
    <x v="0"/>
    <x v="3"/>
    <x v="0"/>
    <x v="11"/>
  </r>
  <r>
    <n v="44"/>
    <d v="2023-02-19T00:00:00"/>
    <x v="43"/>
    <x v="1"/>
    <x v="11"/>
    <x v="1"/>
    <x v="1"/>
    <x v="2"/>
    <n v="25"/>
    <x v="16"/>
    <x v="0"/>
    <x v="0"/>
    <x v="1"/>
    <x v="2"/>
    <x v="1"/>
  </r>
  <r>
    <n v="45"/>
    <d v="2023-07-03T00:00:00"/>
    <x v="44"/>
    <x v="1"/>
    <x v="28"/>
    <x v="0"/>
    <x v="2"/>
    <x v="2"/>
    <n v="30"/>
    <x v="2"/>
    <x v="0"/>
    <x v="0"/>
    <x v="3"/>
    <x v="1"/>
    <x v="11"/>
  </r>
  <r>
    <n v="46"/>
    <d v="2023-06-26T00:00:00"/>
    <x v="45"/>
    <x v="1"/>
    <x v="29"/>
    <x v="1"/>
    <x v="2"/>
    <x v="3"/>
    <n v="300"/>
    <x v="14"/>
    <x v="1"/>
    <x v="0"/>
    <x v="2"/>
    <x v="1"/>
    <x v="10"/>
  </r>
  <r>
    <n v="47"/>
    <d v="2023-11-06T00:00:00"/>
    <x v="46"/>
    <x v="1"/>
    <x v="30"/>
    <x v="0"/>
    <x v="0"/>
    <x v="0"/>
    <n v="500"/>
    <x v="9"/>
    <x v="1"/>
    <x v="0"/>
    <x v="0"/>
    <x v="1"/>
    <x v="0"/>
  </r>
  <r>
    <n v="48"/>
    <d v="2023-05-16T00:00:00"/>
    <x v="47"/>
    <x v="0"/>
    <x v="31"/>
    <x v="0"/>
    <x v="2"/>
    <x v="0"/>
    <n v="300"/>
    <x v="12"/>
    <x v="1"/>
    <x v="0"/>
    <x v="2"/>
    <x v="4"/>
    <x v="3"/>
  </r>
  <r>
    <n v="49"/>
    <d v="2023-01-23T00:00:00"/>
    <x v="48"/>
    <x v="1"/>
    <x v="31"/>
    <x v="0"/>
    <x v="2"/>
    <x v="1"/>
    <n v="500"/>
    <x v="1"/>
    <x v="1"/>
    <x v="0"/>
    <x v="1"/>
    <x v="1"/>
    <x v="2"/>
  </r>
  <r>
    <n v="50"/>
    <d v="2023-08-24T00:00:00"/>
    <x v="49"/>
    <x v="1"/>
    <x v="15"/>
    <x v="1"/>
    <x v="0"/>
    <x v="0"/>
    <n v="25"/>
    <x v="8"/>
    <x v="0"/>
    <x v="0"/>
    <x v="3"/>
    <x v="6"/>
    <x v="8"/>
  </r>
  <r>
    <n v="51"/>
    <d v="2023-10-02T00:00:00"/>
    <x v="50"/>
    <x v="0"/>
    <x v="15"/>
    <x v="1"/>
    <x v="0"/>
    <x v="0"/>
    <n v="25"/>
    <x v="8"/>
    <x v="0"/>
    <x v="0"/>
    <x v="0"/>
    <x v="1"/>
    <x v="7"/>
  </r>
  <r>
    <n v="52"/>
    <d v="2023-03-05T00:00:00"/>
    <x v="51"/>
    <x v="1"/>
    <x v="32"/>
    <x v="0"/>
    <x v="0"/>
    <x v="2"/>
    <n v="300"/>
    <x v="13"/>
    <x v="0"/>
    <x v="0"/>
    <x v="1"/>
    <x v="2"/>
    <x v="5"/>
  </r>
  <r>
    <n v="53"/>
    <d v="2023-07-13T00:00:00"/>
    <x v="52"/>
    <x v="0"/>
    <x v="0"/>
    <x v="0"/>
    <x v="2"/>
    <x v="1"/>
    <n v="50"/>
    <x v="4"/>
    <x v="0"/>
    <x v="0"/>
    <x v="3"/>
    <x v="6"/>
    <x v="11"/>
  </r>
  <r>
    <n v="54"/>
    <d v="2023-02-10T00:00:00"/>
    <x v="53"/>
    <x v="1"/>
    <x v="21"/>
    <x v="0"/>
    <x v="2"/>
    <x v="0"/>
    <n v="500"/>
    <x v="9"/>
    <x v="1"/>
    <x v="0"/>
    <x v="1"/>
    <x v="0"/>
    <x v="1"/>
  </r>
  <r>
    <n v="55"/>
    <d v="2023-10-10T00:00:00"/>
    <x v="54"/>
    <x v="0"/>
    <x v="33"/>
    <x v="0"/>
    <x v="0"/>
    <x v="3"/>
    <n v="30"/>
    <x v="10"/>
    <x v="0"/>
    <x v="0"/>
    <x v="0"/>
    <x v="4"/>
    <x v="7"/>
  </r>
  <r>
    <n v="56"/>
    <d v="2023-05-31T00:00:00"/>
    <x v="55"/>
    <x v="1"/>
    <x v="1"/>
    <x v="1"/>
    <x v="1"/>
    <x v="0"/>
    <n v="300"/>
    <x v="12"/>
    <x v="1"/>
    <x v="0"/>
    <x v="2"/>
    <x v="5"/>
    <x v="3"/>
  </r>
  <r>
    <n v="57"/>
    <d v="2023-11-18T00:00:00"/>
    <x v="56"/>
    <x v="1"/>
    <x v="7"/>
    <x v="2"/>
    <x v="0"/>
    <x v="2"/>
    <n v="30"/>
    <x v="2"/>
    <x v="0"/>
    <x v="0"/>
    <x v="0"/>
    <x v="3"/>
    <x v="0"/>
  </r>
  <r>
    <n v="58"/>
    <d v="2023-11-13T00:00:00"/>
    <x v="57"/>
    <x v="0"/>
    <x v="18"/>
    <x v="1"/>
    <x v="1"/>
    <x v="3"/>
    <n v="300"/>
    <x v="14"/>
    <x v="1"/>
    <x v="0"/>
    <x v="0"/>
    <x v="1"/>
    <x v="0"/>
  </r>
  <r>
    <n v="59"/>
    <d v="2023-07-05T00:00:00"/>
    <x v="58"/>
    <x v="0"/>
    <x v="17"/>
    <x v="2"/>
    <x v="1"/>
    <x v="2"/>
    <n v="50"/>
    <x v="5"/>
    <x v="0"/>
    <x v="0"/>
    <x v="3"/>
    <x v="5"/>
    <x v="11"/>
  </r>
  <r>
    <n v="60"/>
    <d v="2023-10-23T00:00:00"/>
    <x v="59"/>
    <x v="0"/>
    <x v="4"/>
    <x v="1"/>
    <x v="0"/>
    <x v="0"/>
    <n v="50"/>
    <x v="0"/>
    <x v="0"/>
    <x v="0"/>
    <x v="0"/>
    <x v="1"/>
    <x v="7"/>
  </r>
  <r>
    <n v="61"/>
    <d v="2023-04-09T00:00:00"/>
    <x v="60"/>
    <x v="0"/>
    <x v="34"/>
    <x v="1"/>
    <x v="0"/>
    <x v="3"/>
    <n v="50"/>
    <x v="7"/>
    <x v="0"/>
    <x v="0"/>
    <x v="2"/>
    <x v="2"/>
    <x v="4"/>
  </r>
  <r>
    <n v="62"/>
    <d v="2023-12-27T00:00:00"/>
    <x v="61"/>
    <x v="0"/>
    <x v="18"/>
    <x v="1"/>
    <x v="0"/>
    <x v="1"/>
    <n v="50"/>
    <x v="4"/>
    <x v="0"/>
    <x v="0"/>
    <x v="0"/>
    <x v="5"/>
    <x v="6"/>
  </r>
  <r>
    <n v="63"/>
    <d v="2023-02-05T00:00:00"/>
    <x v="62"/>
    <x v="0"/>
    <x v="35"/>
    <x v="0"/>
    <x v="2"/>
    <x v="1"/>
    <n v="25"/>
    <x v="5"/>
    <x v="0"/>
    <x v="0"/>
    <x v="1"/>
    <x v="2"/>
    <x v="1"/>
  </r>
  <r>
    <n v="64"/>
    <d v="2023-01-24T00:00:00"/>
    <x v="63"/>
    <x v="0"/>
    <x v="19"/>
    <x v="0"/>
    <x v="1"/>
    <x v="3"/>
    <n v="25"/>
    <x v="4"/>
    <x v="0"/>
    <x v="0"/>
    <x v="1"/>
    <x v="4"/>
    <x v="2"/>
  </r>
  <r>
    <n v="65"/>
    <d v="2023-12-05T00:00:00"/>
    <x v="64"/>
    <x v="0"/>
    <x v="25"/>
    <x v="0"/>
    <x v="2"/>
    <x v="3"/>
    <n v="500"/>
    <x v="11"/>
    <x v="2"/>
    <x v="0"/>
    <x v="0"/>
    <x v="4"/>
    <x v="6"/>
  </r>
  <r>
    <n v="66"/>
    <d v="2023-04-27T00:00:00"/>
    <x v="65"/>
    <x v="1"/>
    <x v="5"/>
    <x v="0"/>
    <x v="2"/>
    <x v="2"/>
    <n v="30"/>
    <x v="2"/>
    <x v="0"/>
    <x v="0"/>
    <x v="2"/>
    <x v="6"/>
    <x v="4"/>
  </r>
  <r>
    <n v="67"/>
    <d v="2023-05-29T00:00:00"/>
    <x v="66"/>
    <x v="1"/>
    <x v="27"/>
    <x v="0"/>
    <x v="0"/>
    <x v="3"/>
    <n v="300"/>
    <x v="14"/>
    <x v="1"/>
    <x v="0"/>
    <x v="2"/>
    <x v="1"/>
    <x v="3"/>
  </r>
  <r>
    <n v="68"/>
    <d v="2023-02-10T00:00:00"/>
    <x v="67"/>
    <x v="0"/>
    <x v="36"/>
    <x v="1"/>
    <x v="2"/>
    <x v="2"/>
    <n v="300"/>
    <x v="13"/>
    <x v="0"/>
    <x v="0"/>
    <x v="1"/>
    <x v="0"/>
    <x v="1"/>
  </r>
  <r>
    <n v="69"/>
    <d v="2023-04-30T00:00:00"/>
    <x v="68"/>
    <x v="1"/>
    <x v="37"/>
    <x v="0"/>
    <x v="0"/>
    <x v="0"/>
    <n v="25"/>
    <x v="8"/>
    <x v="0"/>
    <x v="0"/>
    <x v="2"/>
    <x v="2"/>
    <x v="4"/>
  </r>
  <r>
    <n v="70"/>
    <d v="2023-02-21T00:00:00"/>
    <x v="69"/>
    <x v="1"/>
    <x v="22"/>
    <x v="0"/>
    <x v="1"/>
    <x v="2"/>
    <n v="300"/>
    <x v="13"/>
    <x v="0"/>
    <x v="0"/>
    <x v="1"/>
    <x v="4"/>
    <x v="1"/>
  </r>
  <r>
    <n v="71"/>
    <d v="2023-07-14T00:00:00"/>
    <x v="70"/>
    <x v="1"/>
    <x v="25"/>
    <x v="0"/>
    <x v="0"/>
    <x v="3"/>
    <n v="25"/>
    <x v="4"/>
    <x v="0"/>
    <x v="0"/>
    <x v="3"/>
    <x v="0"/>
    <x v="11"/>
  </r>
  <r>
    <n v="72"/>
    <d v="2023-05-23T00:00:00"/>
    <x v="71"/>
    <x v="1"/>
    <x v="29"/>
    <x v="1"/>
    <x v="2"/>
    <x v="3"/>
    <n v="500"/>
    <x v="11"/>
    <x v="2"/>
    <x v="0"/>
    <x v="2"/>
    <x v="4"/>
    <x v="3"/>
  </r>
  <r>
    <n v="73"/>
    <d v="2023-08-21T00:00:00"/>
    <x v="72"/>
    <x v="0"/>
    <x v="38"/>
    <x v="1"/>
    <x v="2"/>
    <x v="0"/>
    <n v="30"/>
    <x v="15"/>
    <x v="0"/>
    <x v="0"/>
    <x v="3"/>
    <x v="1"/>
    <x v="8"/>
  </r>
  <r>
    <n v="74"/>
    <d v="2023-11-22T00:00:00"/>
    <x v="73"/>
    <x v="1"/>
    <x v="18"/>
    <x v="1"/>
    <x v="0"/>
    <x v="3"/>
    <n v="500"/>
    <x v="11"/>
    <x v="2"/>
    <x v="0"/>
    <x v="0"/>
    <x v="5"/>
    <x v="0"/>
  </r>
  <r>
    <n v="75"/>
    <d v="2023-07-06T00:00:00"/>
    <x v="74"/>
    <x v="0"/>
    <x v="39"/>
    <x v="2"/>
    <x v="0"/>
    <x v="3"/>
    <n v="50"/>
    <x v="7"/>
    <x v="0"/>
    <x v="0"/>
    <x v="3"/>
    <x v="6"/>
    <x v="11"/>
  </r>
  <r>
    <n v="76"/>
    <d v="2023-03-25T00:00:00"/>
    <x v="75"/>
    <x v="1"/>
    <x v="11"/>
    <x v="1"/>
    <x v="2"/>
    <x v="1"/>
    <n v="50"/>
    <x v="4"/>
    <x v="0"/>
    <x v="0"/>
    <x v="1"/>
    <x v="3"/>
    <x v="5"/>
  </r>
  <r>
    <n v="77"/>
    <d v="2023-07-09T00:00:00"/>
    <x v="76"/>
    <x v="1"/>
    <x v="16"/>
    <x v="0"/>
    <x v="1"/>
    <x v="1"/>
    <n v="50"/>
    <x v="4"/>
    <x v="0"/>
    <x v="0"/>
    <x v="3"/>
    <x v="2"/>
    <x v="11"/>
  </r>
  <r>
    <n v="78"/>
    <d v="2023-07-01T00:00:00"/>
    <x v="77"/>
    <x v="1"/>
    <x v="16"/>
    <x v="0"/>
    <x v="1"/>
    <x v="0"/>
    <n v="500"/>
    <x v="9"/>
    <x v="1"/>
    <x v="0"/>
    <x v="3"/>
    <x v="3"/>
    <x v="11"/>
  </r>
  <r>
    <n v="79"/>
    <d v="2023-04-18T00:00:00"/>
    <x v="78"/>
    <x v="0"/>
    <x v="0"/>
    <x v="0"/>
    <x v="0"/>
    <x v="2"/>
    <n v="300"/>
    <x v="13"/>
    <x v="0"/>
    <x v="0"/>
    <x v="2"/>
    <x v="4"/>
    <x v="4"/>
  </r>
  <r>
    <n v="80"/>
    <d v="2023-12-10T00:00:00"/>
    <x v="79"/>
    <x v="1"/>
    <x v="12"/>
    <x v="2"/>
    <x v="1"/>
    <x v="1"/>
    <n v="30"/>
    <x v="17"/>
    <x v="0"/>
    <x v="0"/>
    <x v="0"/>
    <x v="2"/>
    <x v="6"/>
  </r>
  <r>
    <n v="81"/>
    <d v="2023-05-17T00:00:00"/>
    <x v="80"/>
    <x v="0"/>
    <x v="30"/>
    <x v="0"/>
    <x v="2"/>
    <x v="2"/>
    <n v="50"/>
    <x v="5"/>
    <x v="0"/>
    <x v="0"/>
    <x v="2"/>
    <x v="5"/>
    <x v="3"/>
  </r>
  <r>
    <n v="82"/>
    <d v="2023-12-26T00:00:00"/>
    <x v="81"/>
    <x v="1"/>
    <x v="40"/>
    <x v="0"/>
    <x v="0"/>
    <x v="3"/>
    <n v="50"/>
    <x v="7"/>
    <x v="0"/>
    <x v="0"/>
    <x v="0"/>
    <x v="4"/>
    <x v="6"/>
  </r>
  <r>
    <n v="83"/>
    <d v="2023-12-16T00:00:00"/>
    <x v="82"/>
    <x v="0"/>
    <x v="31"/>
    <x v="0"/>
    <x v="2"/>
    <x v="1"/>
    <n v="50"/>
    <x v="4"/>
    <x v="0"/>
    <x v="0"/>
    <x v="0"/>
    <x v="3"/>
    <x v="6"/>
  </r>
  <r>
    <n v="84"/>
    <d v="2023-11-28T00:00:00"/>
    <x v="83"/>
    <x v="1"/>
    <x v="21"/>
    <x v="0"/>
    <x v="2"/>
    <x v="0"/>
    <n v="30"/>
    <x v="15"/>
    <x v="0"/>
    <x v="0"/>
    <x v="0"/>
    <x v="4"/>
    <x v="0"/>
  </r>
  <r>
    <n v="85"/>
    <d v="2023-02-06T00:00:00"/>
    <x v="84"/>
    <x v="0"/>
    <x v="33"/>
    <x v="0"/>
    <x v="1"/>
    <x v="0"/>
    <n v="50"/>
    <x v="0"/>
    <x v="0"/>
    <x v="0"/>
    <x v="1"/>
    <x v="1"/>
    <x v="1"/>
  </r>
  <r>
    <n v="86"/>
    <d v="2023-11-08T00:00:00"/>
    <x v="85"/>
    <x v="0"/>
    <x v="14"/>
    <x v="1"/>
    <x v="0"/>
    <x v="0"/>
    <n v="30"/>
    <x v="15"/>
    <x v="0"/>
    <x v="0"/>
    <x v="0"/>
    <x v="5"/>
    <x v="0"/>
  </r>
  <r>
    <n v="87"/>
    <d v="2023-11-22T00:00:00"/>
    <x v="86"/>
    <x v="1"/>
    <x v="20"/>
    <x v="1"/>
    <x v="0"/>
    <x v="1"/>
    <n v="50"/>
    <x v="4"/>
    <x v="0"/>
    <x v="0"/>
    <x v="0"/>
    <x v="5"/>
    <x v="0"/>
  </r>
  <r>
    <n v="88"/>
    <d v="2023-03-29T00:00:00"/>
    <x v="87"/>
    <x v="0"/>
    <x v="37"/>
    <x v="0"/>
    <x v="1"/>
    <x v="2"/>
    <n v="500"/>
    <x v="3"/>
    <x v="0"/>
    <x v="0"/>
    <x v="1"/>
    <x v="5"/>
    <x v="5"/>
  </r>
  <r>
    <n v="89"/>
    <d v="2023-10-01T00:00:00"/>
    <x v="88"/>
    <x v="1"/>
    <x v="28"/>
    <x v="0"/>
    <x v="2"/>
    <x v="3"/>
    <n v="500"/>
    <x v="11"/>
    <x v="2"/>
    <x v="0"/>
    <x v="0"/>
    <x v="2"/>
    <x v="7"/>
  </r>
  <r>
    <n v="90"/>
    <d v="2023-05-06T00:00:00"/>
    <x v="89"/>
    <x v="1"/>
    <x v="25"/>
    <x v="0"/>
    <x v="2"/>
    <x v="2"/>
    <n v="30"/>
    <x v="2"/>
    <x v="0"/>
    <x v="0"/>
    <x v="2"/>
    <x v="3"/>
    <x v="3"/>
  </r>
  <r>
    <n v="91"/>
    <d v="2023-03-25T00:00:00"/>
    <x v="90"/>
    <x v="1"/>
    <x v="28"/>
    <x v="0"/>
    <x v="2"/>
    <x v="2"/>
    <n v="500"/>
    <x v="3"/>
    <x v="0"/>
    <x v="0"/>
    <x v="1"/>
    <x v="3"/>
    <x v="5"/>
  </r>
  <r>
    <n v="92"/>
    <d v="2023-08-25T00:00:00"/>
    <x v="91"/>
    <x v="1"/>
    <x v="25"/>
    <x v="0"/>
    <x v="2"/>
    <x v="3"/>
    <n v="30"/>
    <x v="10"/>
    <x v="0"/>
    <x v="0"/>
    <x v="3"/>
    <x v="0"/>
    <x v="8"/>
  </r>
  <r>
    <n v="93"/>
    <d v="2023-07-14T00:00:00"/>
    <x v="92"/>
    <x v="1"/>
    <x v="10"/>
    <x v="0"/>
    <x v="0"/>
    <x v="3"/>
    <n v="500"/>
    <x v="11"/>
    <x v="2"/>
    <x v="0"/>
    <x v="3"/>
    <x v="0"/>
    <x v="11"/>
  </r>
  <r>
    <n v="94"/>
    <d v="2023-05-19T00:00:00"/>
    <x v="93"/>
    <x v="1"/>
    <x v="16"/>
    <x v="0"/>
    <x v="0"/>
    <x v="1"/>
    <n v="500"/>
    <x v="1"/>
    <x v="1"/>
    <x v="0"/>
    <x v="2"/>
    <x v="0"/>
    <x v="3"/>
  </r>
  <r>
    <n v="95"/>
    <d v="2023-11-24T00:00:00"/>
    <x v="94"/>
    <x v="1"/>
    <x v="40"/>
    <x v="0"/>
    <x v="1"/>
    <x v="1"/>
    <n v="30"/>
    <x v="17"/>
    <x v="0"/>
    <x v="0"/>
    <x v="0"/>
    <x v="0"/>
    <x v="0"/>
  </r>
  <r>
    <n v="96"/>
    <d v="2023-12-19T00:00:00"/>
    <x v="95"/>
    <x v="1"/>
    <x v="24"/>
    <x v="0"/>
    <x v="1"/>
    <x v="1"/>
    <n v="300"/>
    <x v="6"/>
    <x v="1"/>
    <x v="0"/>
    <x v="0"/>
    <x v="4"/>
    <x v="6"/>
  </r>
  <r>
    <n v="97"/>
    <d v="2023-10-13T00:00:00"/>
    <x v="96"/>
    <x v="1"/>
    <x v="25"/>
    <x v="0"/>
    <x v="0"/>
    <x v="1"/>
    <n v="500"/>
    <x v="1"/>
    <x v="1"/>
    <x v="0"/>
    <x v="0"/>
    <x v="0"/>
    <x v="7"/>
  </r>
  <r>
    <n v="98"/>
    <d v="2023-04-23T00:00:00"/>
    <x v="97"/>
    <x v="1"/>
    <x v="28"/>
    <x v="0"/>
    <x v="0"/>
    <x v="1"/>
    <n v="50"/>
    <x v="4"/>
    <x v="0"/>
    <x v="0"/>
    <x v="2"/>
    <x v="2"/>
    <x v="4"/>
  </r>
  <r>
    <n v="99"/>
    <d v="2023-12-17T00:00:00"/>
    <x v="98"/>
    <x v="1"/>
    <x v="2"/>
    <x v="0"/>
    <x v="2"/>
    <x v="3"/>
    <n v="300"/>
    <x v="14"/>
    <x v="1"/>
    <x v="0"/>
    <x v="0"/>
    <x v="2"/>
    <x v="6"/>
  </r>
  <r>
    <n v="100"/>
    <d v="2023-06-16T00:00:00"/>
    <x v="99"/>
    <x v="0"/>
    <x v="41"/>
    <x v="0"/>
    <x v="2"/>
    <x v="2"/>
    <n v="30"/>
    <x v="2"/>
    <x v="0"/>
    <x v="0"/>
    <x v="2"/>
    <x v="0"/>
    <x v="10"/>
  </r>
  <r>
    <n v="101"/>
    <d v="2023-01-29T00:00:00"/>
    <x v="100"/>
    <x v="0"/>
    <x v="40"/>
    <x v="0"/>
    <x v="1"/>
    <x v="1"/>
    <n v="300"/>
    <x v="6"/>
    <x v="1"/>
    <x v="0"/>
    <x v="1"/>
    <x v="2"/>
    <x v="2"/>
  </r>
  <r>
    <n v="102"/>
    <d v="2023-04-28T00:00:00"/>
    <x v="101"/>
    <x v="1"/>
    <x v="16"/>
    <x v="0"/>
    <x v="0"/>
    <x v="1"/>
    <n v="25"/>
    <x v="5"/>
    <x v="0"/>
    <x v="0"/>
    <x v="2"/>
    <x v="0"/>
    <x v="4"/>
  </r>
  <r>
    <n v="103"/>
    <d v="2023-01-17T00:00:00"/>
    <x v="102"/>
    <x v="1"/>
    <x v="42"/>
    <x v="0"/>
    <x v="1"/>
    <x v="2"/>
    <n v="25"/>
    <x v="16"/>
    <x v="0"/>
    <x v="0"/>
    <x v="1"/>
    <x v="4"/>
    <x v="2"/>
  </r>
  <r>
    <n v="104"/>
    <d v="2023-06-11T00:00:00"/>
    <x v="103"/>
    <x v="1"/>
    <x v="0"/>
    <x v="0"/>
    <x v="0"/>
    <x v="1"/>
    <n v="500"/>
    <x v="1"/>
    <x v="1"/>
    <x v="0"/>
    <x v="2"/>
    <x v="2"/>
    <x v="10"/>
  </r>
  <r>
    <n v="105"/>
    <d v="2023-07-25T00:00:00"/>
    <x v="104"/>
    <x v="1"/>
    <x v="11"/>
    <x v="1"/>
    <x v="2"/>
    <x v="2"/>
    <n v="500"/>
    <x v="3"/>
    <x v="0"/>
    <x v="0"/>
    <x v="3"/>
    <x v="4"/>
    <x v="11"/>
  </r>
  <r>
    <n v="106"/>
    <d v="2023-05-18T00:00:00"/>
    <x v="105"/>
    <x v="1"/>
    <x v="6"/>
    <x v="0"/>
    <x v="1"/>
    <x v="2"/>
    <n v="50"/>
    <x v="5"/>
    <x v="0"/>
    <x v="0"/>
    <x v="2"/>
    <x v="6"/>
    <x v="3"/>
  </r>
  <r>
    <n v="107"/>
    <d v="2023-02-03T00:00:00"/>
    <x v="106"/>
    <x v="1"/>
    <x v="34"/>
    <x v="1"/>
    <x v="1"/>
    <x v="3"/>
    <n v="300"/>
    <x v="14"/>
    <x v="1"/>
    <x v="0"/>
    <x v="1"/>
    <x v="0"/>
    <x v="1"/>
  </r>
  <r>
    <n v="108"/>
    <d v="2023-04-19T00:00:00"/>
    <x v="107"/>
    <x v="1"/>
    <x v="15"/>
    <x v="1"/>
    <x v="0"/>
    <x v="0"/>
    <n v="25"/>
    <x v="8"/>
    <x v="0"/>
    <x v="0"/>
    <x v="2"/>
    <x v="5"/>
    <x v="4"/>
  </r>
  <r>
    <n v="109"/>
    <d v="2023-10-18T00:00:00"/>
    <x v="108"/>
    <x v="1"/>
    <x v="0"/>
    <x v="0"/>
    <x v="2"/>
    <x v="3"/>
    <n v="500"/>
    <x v="11"/>
    <x v="2"/>
    <x v="0"/>
    <x v="0"/>
    <x v="5"/>
    <x v="7"/>
  </r>
  <r>
    <n v="110"/>
    <d v="2023-06-11T00:00:00"/>
    <x v="109"/>
    <x v="0"/>
    <x v="15"/>
    <x v="1"/>
    <x v="1"/>
    <x v="0"/>
    <n v="300"/>
    <x v="12"/>
    <x v="1"/>
    <x v="0"/>
    <x v="2"/>
    <x v="2"/>
    <x v="10"/>
  </r>
  <r>
    <n v="111"/>
    <d v="2023-04-19T00:00:00"/>
    <x v="110"/>
    <x v="1"/>
    <x v="0"/>
    <x v="0"/>
    <x v="2"/>
    <x v="0"/>
    <n v="500"/>
    <x v="9"/>
    <x v="1"/>
    <x v="0"/>
    <x v="2"/>
    <x v="5"/>
    <x v="4"/>
  </r>
  <r>
    <n v="112"/>
    <d v="2023-12-02T00:00:00"/>
    <x v="111"/>
    <x v="0"/>
    <x v="3"/>
    <x v="0"/>
    <x v="1"/>
    <x v="0"/>
    <n v="500"/>
    <x v="9"/>
    <x v="1"/>
    <x v="0"/>
    <x v="0"/>
    <x v="3"/>
    <x v="6"/>
  </r>
  <r>
    <n v="113"/>
    <d v="2023-09-13T00:00:00"/>
    <x v="112"/>
    <x v="1"/>
    <x v="41"/>
    <x v="0"/>
    <x v="2"/>
    <x v="1"/>
    <n v="25"/>
    <x v="5"/>
    <x v="0"/>
    <x v="0"/>
    <x v="3"/>
    <x v="5"/>
    <x v="9"/>
  </r>
  <r>
    <n v="114"/>
    <d v="2023-07-22T00:00:00"/>
    <x v="113"/>
    <x v="1"/>
    <x v="11"/>
    <x v="1"/>
    <x v="0"/>
    <x v="3"/>
    <n v="25"/>
    <x v="4"/>
    <x v="0"/>
    <x v="0"/>
    <x v="3"/>
    <x v="3"/>
    <x v="11"/>
  </r>
  <r>
    <n v="115"/>
    <d v="2023-11-26T00:00:00"/>
    <x v="114"/>
    <x v="0"/>
    <x v="25"/>
    <x v="0"/>
    <x v="1"/>
    <x v="0"/>
    <n v="500"/>
    <x v="9"/>
    <x v="1"/>
    <x v="0"/>
    <x v="0"/>
    <x v="2"/>
    <x v="0"/>
  </r>
  <r>
    <n v="116"/>
    <d v="2023-08-23T00:00:00"/>
    <x v="115"/>
    <x v="1"/>
    <x v="9"/>
    <x v="1"/>
    <x v="1"/>
    <x v="2"/>
    <n v="30"/>
    <x v="2"/>
    <x v="0"/>
    <x v="0"/>
    <x v="3"/>
    <x v="5"/>
    <x v="8"/>
  </r>
  <r>
    <n v="117"/>
    <d v="2023-03-15T00:00:00"/>
    <x v="116"/>
    <x v="0"/>
    <x v="14"/>
    <x v="1"/>
    <x v="2"/>
    <x v="1"/>
    <n v="500"/>
    <x v="1"/>
    <x v="1"/>
    <x v="0"/>
    <x v="1"/>
    <x v="5"/>
    <x v="5"/>
  </r>
  <r>
    <n v="118"/>
    <d v="2023-05-16T00:00:00"/>
    <x v="117"/>
    <x v="1"/>
    <x v="4"/>
    <x v="1"/>
    <x v="2"/>
    <x v="3"/>
    <n v="500"/>
    <x v="11"/>
    <x v="2"/>
    <x v="0"/>
    <x v="2"/>
    <x v="4"/>
    <x v="3"/>
  </r>
  <r>
    <n v="119"/>
    <d v="2023-03-13T00:00:00"/>
    <x v="118"/>
    <x v="1"/>
    <x v="43"/>
    <x v="0"/>
    <x v="1"/>
    <x v="0"/>
    <n v="50"/>
    <x v="0"/>
    <x v="0"/>
    <x v="0"/>
    <x v="1"/>
    <x v="1"/>
    <x v="5"/>
  </r>
  <r>
    <n v="120"/>
    <d v="2023-05-07T00:00:00"/>
    <x v="119"/>
    <x v="0"/>
    <x v="43"/>
    <x v="0"/>
    <x v="0"/>
    <x v="2"/>
    <n v="50"/>
    <x v="5"/>
    <x v="0"/>
    <x v="0"/>
    <x v="2"/>
    <x v="2"/>
    <x v="3"/>
  </r>
  <r>
    <n v="121"/>
    <d v="2023-10-15T00:00:00"/>
    <x v="120"/>
    <x v="1"/>
    <x v="20"/>
    <x v="1"/>
    <x v="2"/>
    <x v="3"/>
    <n v="50"/>
    <x v="7"/>
    <x v="0"/>
    <x v="0"/>
    <x v="0"/>
    <x v="2"/>
    <x v="7"/>
  </r>
  <r>
    <n v="122"/>
    <d v="2023-10-03T00:00:00"/>
    <x v="121"/>
    <x v="0"/>
    <x v="12"/>
    <x v="2"/>
    <x v="2"/>
    <x v="3"/>
    <n v="30"/>
    <x v="10"/>
    <x v="0"/>
    <x v="0"/>
    <x v="0"/>
    <x v="4"/>
    <x v="7"/>
  </r>
  <r>
    <n v="123"/>
    <d v="2023-05-15T00:00:00"/>
    <x v="122"/>
    <x v="1"/>
    <x v="30"/>
    <x v="0"/>
    <x v="2"/>
    <x v="1"/>
    <n v="30"/>
    <x v="17"/>
    <x v="0"/>
    <x v="0"/>
    <x v="2"/>
    <x v="1"/>
    <x v="3"/>
  </r>
  <r>
    <n v="124"/>
    <d v="2023-10-27T00:00:00"/>
    <x v="123"/>
    <x v="0"/>
    <x v="44"/>
    <x v="0"/>
    <x v="1"/>
    <x v="3"/>
    <n v="500"/>
    <x v="11"/>
    <x v="2"/>
    <x v="0"/>
    <x v="0"/>
    <x v="0"/>
    <x v="7"/>
  </r>
  <r>
    <n v="125"/>
    <d v="2023-08-08T00:00:00"/>
    <x v="124"/>
    <x v="0"/>
    <x v="27"/>
    <x v="0"/>
    <x v="1"/>
    <x v="1"/>
    <n v="50"/>
    <x v="4"/>
    <x v="0"/>
    <x v="0"/>
    <x v="3"/>
    <x v="4"/>
    <x v="8"/>
  </r>
  <r>
    <n v="126"/>
    <d v="2023-10-26T00:00:00"/>
    <x v="125"/>
    <x v="1"/>
    <x v="20"/>
    <x v="1"/>
    <x v="1"/>
    <x v="0"/>
    <n v="30"/>
    <x v="15"/>
    <x v="0"/>
    <x v="0"/>
    <x v="0"/>
    <x v="6"/>
    <x v="7"/>
  </r>
  <r>
    <n v="127"/>
    <d v="2023-07-24T00:00:00"/>
    <x v="126"/>
    <x v="1"/>
    <x v="44"/>
    <x v="0"/>
    <x v="1"/>
    <x v="1"/>
    <n v="25"/>
    <x v="5"/>
    <x v="0"/>
    <x v="0"/>
    <x v="3"/>
    <x v="1"/>
    <x v="11"/>
  </r>
  <r>
    <n v="128"/>
    <d v="2023-07-05T00:00:00"/>
    <x v="127"/>
    <x v="0"/>
    <x v="36"/>
    <x v="1"/>
    <x v="0"/>
    <x v="2"/>
    <n v="500"/>
    <x v="3"/>
    <x v="0"/>
    <x v="0"/>
    <x v="3"/>
    <x v="5"/>
    <x v="11"/>
  </r>
  <r>
    <n v="129"/>
    <d v="2023-04-23T00:00:00"/>
    <x v="128"/>
    <x v="1"/>
    <x v="34"/>
    <x v="1"/>
    <x v="0"/>
    <x v="1"/>
    <n v="300"/>
    <x v="6"/>
    <x v="1"/>
    <x v="0"/>
    <x v="2"/>
    <x v="2"/>
    <x v="4"/>
  </r>
  <r>
    <n v="130"/>
    <d v="2023-03-12T00:00:00"/>
    <x v="129"/>
    <x v="1"/>
    <x v="35"/>
    <x v="0"/>
    <x v="1"/>
    <x v="2"/>
    <n v="500"/>
    <x v="3"/>
    <x v="0"/>
    <x v="0"/>
    <x v="1"/>
    <x v="2"/>
    <x v="5"/>
  </r>
  <r>
    <n v="131"/>
    <d v="2023-09-18T00:00:00"/>
    <x v="130"/>
    <x v="1"/>
    <x v="34"/>
    <x v="1"/>
    <x v="0"/>
    <x v="1"/>
    <n v="300"/>
    <x v="6"/>
    <x v="1"/>
    <x v="0"/>
    <x v="3"/>
    <x v="1"/>
    <x v="9"/>
  </r>
  <r>
    <n v="132"/>
    <d v="2023-09-10T00:00:00"/>
    <x v="131"/>
    <x v="0"/>
    <x v="13"/>
    <x v="0"/>
    <x v="2"/>
    <x v="3"/>
    <n v="50"/>
    <x v="7"/>
    <x v="0"/>
    <x v="0"/>
    <x v="3"/>
    <x v="2"/>
    <x v="9"/>
  </r>
  <r>
    <n v="133"/>
    <d v="2023-02-16T00:00:00"/>
    <x v="132"/>
    <x v="0"/>
    <x v="29"/>
    <x v="1"/>
    <x v="2"/>
    <x v="0"/>
    <n v="300"/>
    <x v="12"/>
    <x v="1"/>
    <x v="0"/>
    <x v="1"/>
    <x v="6"/>
    <x v="1"/>
  </r>
  <r>
    <n v="134"/>
    <d v="2023-01-25T00:00:00"/>
    <x v="133"/>
    <x v="0"/>
    <x v="19"/>
    <x v="0"/>
    <x v="2"/>
    <x v="2"/>
    <n v="50"/>
    <x v="5"/>
    <x v="0"/>
    <x v="0"/>
    <x v="1"/>
    <x v="5"/>
    <x v="2"/>
  </r>
  <r>
    <n v="135"/>
    <d v="2023-02-26T00:00:00"/>
    <x v="134"/>
    <x v="0"/>
    <x v="29"/>
    <x v="1"/>
    <x v="1"/>
    <x v="1"/>
    <n v="25"/>
    <x v="5"/>
    <x v="0"/>
    <x v="0"/>
    <x v="1"/>
    <x v="2"/>
    <x v="1"/>
  </r>
  <r>
    <n v="136"/>
    <d v="2023-03-20T00:00:00"/>
    <x v="135"/>
    <x v="0"/>
    <x v="24"/>
    <x v="0"/>
    <x v="2"/>
    <x v="1"/>
    <n v="300"/>
    <x v="6"/>
    <x v="1"/>
    <x v="0"/>
    <x v="1"/>
    <x v="1"/>
    <x v="5"/>
  </r>
  <r>
    <n v="137"/>
    <d v="2023-11-18T00:00:00"/>
    <x v="136"/>
    <x v="0"/>
    <x v="6"/>
    <x v="0"/>
    <x v="0"/>
    <x v="1"/>
    <n v="500"/>
    <x v="1"/>
    <x v="1"/>
    <x v="0"/>
    <x v="0"/>
    <x v="3"/>
    <x v="0"/>
  </r>
  <r>
    <n v="138"/>
    <d v="2023-03-23T00:00:00"/>
    <x v="137"/>
    <x v="0"/>
    <x v="19"/>
    <x v="0"/>
    <x v="1"/>
    <x v="3"/>
    <n v="50"/>
    <x v="7"/>
    <x v="0"/>
    <x v="0"/>
    <x v="1"/>
    <x v="6"/>
    <x v="5"/>
  </r>
  <r>
    <n v="139"/>
    <d v="2023-12-15T00:00:00"/>
    <x v="138"/>
    <x v="0"/>
    <x v="32"/>
    <x v="0"/>
    <x v="0"/>
    <x v="3"/>
    <n v="500"/>
    <x v="11"/>
    <x v="2"/>
    <x v="0"/>
    <x v="0"/>
    <x v="0"/>
    <x v="6"/>
  </r>
  <r>
    <n v="140"/>
    <d v="2023-08-05T00:00:00"/>
    <x v="139"/>
    <x v="0"/>
    <x v="21"/>
    <x v="0"/>
    <x v="2"/>
    <x v="2"/>
    <n v="30"/>
    <x v="2"/>
    <x v="0"/>
    <x v="0"/>
    <x v="3"/>
    <x v="3"/>
    <x v="8"/>
  </r>
  <r>
    <n v="141"/>
    <d v="2023-11-02T00:00:00"/>
    <x v="140"/>
    <x v="1"/>
    <x v="11"/>
    <x v="1"/>
    <x v="2"/>
    <x v="2"/>
    <n v="50"/>
    <x v="5"/>
    <x v="0"/>
    <x v="0"/>
    <x v="0"/>
    <x v="6"/>
    <x v="0"/>
  </r>
  <r>
    <n v="142"/>
    <d v="2023-02-02T00:00:00"/>
    <x v="141"/>
    <x v="0"/>
    <x v="10"/>
    <x v="0"/>
    <x v="2"/>
    <x v="3"/>
    <n v="300"/>
    <x v="14"/>
    <x v="1"/>
    <x v="0"/>
    <x v="1"/>
    <x v="6"/>
    <x v="1"/>
  </r>
  <r>
    <n v="143"/>
    <d v="2023-07-17T00:00:00"/>
    <x v="142"/>
    <x v="1"/>
    <x v="5"/>
    <x v="0"/>
    <x v="1"/>
    <x v="2"/>
    <n v="50"/>
    <x v="5"/>
    <x v="0"/>
    <x v="0"/>
    <x v="3"/>
    <x v="1"/>
    <x v="11"/>
  </r>
  <r>
    <n v="144"/>
    <d v="2023-07-15T00:00:00"/>
    <x v="143"/>
    <x v="1"/>
    <x v="42"/>
    <x v="0"/>
    <x v="0"/>
    <x v="0"/>
    <n v="500"/>
    <x v="9"/>
    <x v="1"/>
    <x v="0"/>
    <x v="3"/>
    <x v="3"/>
    <x v="11"/>
  </r>
  <r>
    <n v="145"/>
    <d v="2023-11-02T00:00:00"/>
    <x v="144"/>
    <x v="1"/>
    <x v="23"/>
    <x v="0"/>
    <x v="1"/>
    <x v="0"/>
    <n v="25"/>
    <x v="8"/>
    <x v="0"/>
    <x v="0"/>
    <x v="0"/>
    <x v="6"/>
    <x v="0"/>
  </r>
  <r>
    <n v="146"/>
    <d v="2023-08-28T00:00:00"/>
    <x v="145"/>
    <x v="0"/>
    <x v="21"/>
    <x v="0"/>
    <x v="1"/>
    <x v="3"/>
    <n v="50"/>
    <x v="7"/>
    <x v="0"/>
    <x v="0"/>
    <x v="3"/>
    <x v="1"/>
    <x v="8"/>
  </r>
  <r>
    <n v="147"/>
    <d v="2023-09-28T00:00:00"/>
    <x v="146"/>
    <x v="0"/>
    <x v="9"/>
    <x v="1"/>
    <x v="2"/>
    <x v="2"/>
    <n v="300"/>
    <x v="13"/>
    <x v="0"/>
    <x v="0"/>
    <x v="3"/>
    <x v="6"/>
    <x v="9"/>
  </r>
  <r>
    <n v="148"/>
    <d v="2023-05-09T00:00:00"/>
    <x v="147"/>
    <x v="0"/>
    <x v="18"/>
    <x v="1"/>
    <x v="1"/>
    <x v="1"/>
    <n v="30"/>
    <x v="17"/>
    <x v="0"/>
    <x v="0"/>
    <x v="2"/>
    <x v="4"/>
    <x v="3"/>
  </r>
  <r>
    <n v="149"/>
    <d v="2023-10-11T00:00:00"/>
    <x v="148"/>
    <x v="0"/>
    <x v="11"/>
    <x v="1"/>
    <x v="1"/>
    <x v="0"/>
    <n v="25"/>
    <x v="8"/>
    <x v="0"/>
    <x v="0"/>
    <x v="0"/>
    <x v="5"/>
    <x v="7"/>
  </r>
  <r>
    <n v="150"/>
    <d v="2023-01-06T00:00:00"/>
    <x v="149"/>
    <x v="1"/>
    <x v="26"/>
    <x v="0"/>
    <x v="2"/>
    <x v="3"/>
    <n v="30"/>
    <x v="10"/>
    <x v="0"/>
    <x v="0"/>
    <x v="1"/>
    <x v="0"/>
    <x v="2"/>
  </r>
  <r>
    <n v="151"/>
    <d v="2023-12-15T00:00:00"/>
    <x v="150"/>
    <x v="0"/>
    <x v="38"/>
    <x v="1"/>
    <x v="1"/>
    <x v="2"/>
    <n v="50"/>
    <x v="5"/>
    <x v="0"/>
    <x v="0"/>
    <x v="0"/>
    <x v="0"/>
    <x v="6"/>
  </r>
  <r>
    <n v="152"/>
    <d v="2023-02-28T00:00:00"/>
    <x v="151"/>
    <x v="0"/>
    <x v="22"/>
    <x v="0"/>
    <x v="2"/>
    <x v="3"/>
    <n v="500"/>
    <x v="11"/>
    <x v="2"/>
    <x v="0"/>
    <x v="1"/>
    <x v="4"/>
    <x v="1"/>
  </r>
  <r>
    <n v="153"/>
    <d v="2023-12-16T00:00:00"/>
    <x v="152"/>
    <x v="0"/>
    <x v="7"/>
    <x v="2"/>
    <x v="2"/>
    <x v="1"/>
    <n v="500"/>
    <x v="1"/>
    <x v="1"/>
    <x v="0"/>
    <x v="0"/>
    <x v="3"/>
    <x v="6"/>
  </r>
  <r>
    <n v="154"/>
    <d v="2023-10-02T00:00:00"/>
    <x v="153"/>
    <x v="0"/>
    <x v="25"/>
    <x v="0"/>
    <x v="2"/>
    <x v="0"/>
    <n v="300"/>
    <x v="12"/>
    <x v="1"/>
    <x v="0"/>
    <x v="0"/>
    <x v="1"/>
    <x v="7"/>
  </r>
  <r>
    <n v="155"/>
    <d v="2023-05-17T00:00:00"/>
    <x v="154"/>
    <x v="0"/>
    <x v="33"/>
    <x v="0"/>
    <x v="2"/>
    <x v="3"/>
    <n v="500"/>
    <x v="11"/>
    <x v="2"/>
    <x v="0"/>
    <x v="2"/>
    <x v="5"/>
    <x v="3"/>
  </r>
  <r>
    <n v="156"/>
    <d v="2023-11-25T00:00:00"/>
    <x v="155"/>
    <x v="1"/>
    <x v="22"/>
    <x v="0"/>
    <x v="1"/>
    <x v="3"/>
    <n v="25"/>
    <x v="4"/>
    <x v="0"/>
    <x v="0"/>
    <x v="0"/>
    <x v="3"/>
    <x v="0"/>
  </r>
  <r>
    <n v="157"/>
    <d v="2023-06-24T00:00:00"/>
    <x v="156"/>
    <x v="0"/>
    <x v="17"/>
    <x v="2"/>
    <x v="2"/>
    <x v="3"/>
    <n v="500"/>
    <x v="11"/>
    <x v="2"/>
    <x v="0"/>
    <x v="2"/>
    <x v="3"/>
    <x v="10"/>
  </r>
  <r>
    <n v="158"/>
    <d v="2023-02-27T00:00:00"/>
    <x v="157"/>
    <x v="1"/>
    <x v="24"/>
    <x v="0"/>
    <x v="2"/>
    <x v="1"/>
    <n v="300"/>
    <x v="6"/>
    <x v="1"/>
    <x v="0"/>
    <x v="1"/>
    <x v="1"/>
    <x v="1"/>
  </r>
  <r>
    <n v="159"/>
    <d v="2023-05-31T00:00:00"/>
    <x v="158"/>
    <x v="0"/>
    <x v="1"/>
    <x v="1"/>
    <x v="1"/>
    <x v="3"/>
    <n v="50"/>
    <x v="7"/>
    <x v="0"/>
    <x v="0"/>
    <x v="2"/>
    <x v="5"/>
    <x v="3"/>
  </r>
  <r>
    <n v="160"/>
    <d v="2023-08-11T00:00:00"/>
    <x v="159"/>
    <x v="1"/>
    <x v="22"/>
    <x v="0"/>
    <x v="1"/>
    <x v="1"/>
    <n v="50"/>
    <x v="4"/>
    <x v="0"/>
    <x v="0"/>
    <x v="3"/>
    <x v="0"/>
    <x v="8"/>
  </r>
  <r>
    <n v="161"/>
    <d v="2023-03-22T00:00:00"/>
    <x v="160"/>
    <x v="0"/>
    <x v="12"/>
    <x v="2"/>
    <x v="0"/>
    <x v="1"/>
    <n v="500"/>
    <x v="1"/>
    <x v="1"/>
    <x v="0"/>
    <x v="1"/>
    <x v="5"/>
    <x v="5"/>
  </r>
  <r>
    <n v="162"/>
    <d v="2023-08-21T00:00:00"/>
    <x v="161"/>
    <x v="0"/>
    <x v="23"/>
    <x v="0"/>
    <x v="1"/>
    <x v="1"/>
    <n v="30"/>
    <x v="17"/>
    <x v="0"/>
    <x v="0"/>
    <x v="3"/>
    <x v="1"/>
    <x v="8"/>
  </r>
  <r>
    <n v="163"/>
    <d v="2023-01-02T00:00:00"/>
    <x v="162"/>
    <x v="1"/>
    <x v="12"/>
    <x v="2"/>
    <x v="1"/>
    <x v="0"/>
    <n v="50"/>
    <x v="0"/>
    <x v="0"/>
    <x v="0"/>
    <x v="1"/>
    <x v="1"/>
    <x v="2"/>
  </r>
  <r>
    <n v="164"/>
    <d v="2023-05-15T00:00:00"/>
    <x v="163"/>
    <x v="1"/>
    <x v="16"/>
    <x v="0"/>
    <x v="0"/>
    <x v="0"/>
    <n v="500"/>
    <x v="9"/>
    <x v="1"/>
    <x v="0"/>
    <x v="2"/>
    <x v="1"/>
    <x v="3"/>
  </r>
  <r>
    <n v="165"/>
    <d v="2023-09-14T00:00:00"/>
    <x v="164"/>
    <x v="1"/>
    <x v="43"/>
    <x v="0"/>
    <x v="1"/>
    <x v="3"/>
    <n v="300"/>
    <x v="14"/>
    <x v="1"/>
    <x v="0"/>
    <x v="3"/>
    <x v="6"/>
    <x v="9"/>
  </r>
  <r>
    <n v="166"/>
    <d v="2023-04-02T00:00:00"/>
    <x v="165"/>
    <x v="0"/>
    <x v="0"/>
    <x v="0"/>
    <x v="1"/>
    <x v="3"/>
    <n v="500"/>
    <x v="11"/>
    <x v="2"/>
    <x v="0"/>
    <x v="2"/>
    <x v="2"/>
    <x v="4"/>
  </r>
  <r>
    <n v="167"/>
    <d v="2023-09-17T00:00:00"/>
    <x v="166"/>
    <x v="1"/>
    <x v="22"/>
    <x v="0"/>
    <x v="1"/>
    <x v="0"/>
    <n v="50"/>
    <x v="0"/>
    <x v="0"/>
    <x v="0"/>
    <x v="3"/>
    <x v="2"/>
    <x v="9"/>
  </r>
  <r>
    <n v="168"/>
    <d v="2023-02-24T00:00:00"/>
    <x v="167"/>
    <x v="0"/>
    <x v="45"/>
    <x v="0"/>
    <x v="1"/>
    <x v="2"/>
    <n v="300"/>
    <x v="13"/>
    <x v="0"/>
    <x v="0"/>
    <x v="1"/>
    <x v="0"/>
    <x v="1"/>
  </r>
  <r>
    <n v="169"/>
    <d v="2023-11-17T00:00:00"/>
    <x v="168"/>
    <x v="0"/>
    <x v="18"/>
    <x v="1"/>
    <x v="0"/>
    <x v="0"/>
    <n v="500"/>
    <x v="9"/>
    <x v="1"/>
    <x v="0"/>
    <x v="0"/>
    <x v="0"/>
    <x v="0"/>
  </r>
  <r>
    <n v="170"/>
    <d v="2023-06-02T00:00:00"/>
    <x v="169"/>
    <x v="1"/>
    <x v="36"/>
    <x v="1"/>
    <x v="1"/>
    <x v="1"/>
    <n v="25"/>
    <x v="5"/>
    <x v="0"/>
    <x v="0"/>
    <x v="2"/>
    <x v="0"/>
    <x v="10"/>
  </r>
  <r>
    <n v="171"/>
    <d v="2023-11-24T00:00:00"/>
    <x v="170"/>
    <x v="1"/>
    <x v="8"/>
    <x v="0"/>
    <x v="1"/>
    <x v="0"/>
    <n v="300"/>
    <x v="12"/>
    <x v="1"/>
    <x v="0"/>
    <x v="0"/>
    <x v="0"/>
    <x v="0"/>
  </r>
  <r>
    <n v="172"/>
    <d v="2023-09-17T00:00:00"/>
    <x v="171"/>
    <x v="0"/>
    <x v="40"/>
    <x v="0"/>
    <x v="0"/>
    <x v="1"/>
    <n v="25"/>
    <x v="5"/>
    <x v="0"/>
    <x v="0"/>
    <x v="3"/>
    <x v="2"/>
    <x v="9"/>
  </r>
  <r>
    <n v="173"/>
    <d v="2023-11-08T00:00:00"/>
    <x v="172"/>
    <x v="0"/>
    <x v="12"/>
    <x v="2"/>
    <x v="2"/>
    <x v="3"/>
    <n v="30"/>
    <x v="10"/>
    <x v="0"/>
    <x v="0"/>
    <x v="0"/>
    <x v="5"/>
    <x v="0"/>
  </r>
  <r>
    <n v="174"/>
    <d v="2023-04-12T00:00:00"/>
    <x v="173"/>
    <x v="1"/>
    <x v="23"/>
    <x v="0"/>
    <x v="0"/>
    <x v="2"/>
    <n v="300"/>
    <x v="13"/>
    <x v="0"/>
    <x v="0"/>
    <x v="2"/>
    <x v="5"/>
    <x v="4"/>
  </r>
  <r>
    <n v="175"/>
    <d v="2023-03-20T00:00:00"/>
    <x v="174"/>
    <x v="1"/>
    <x v="33"/>
    <x v="0"/>
    <x v="2"/>
    <x v="3"/>
    <n v="25"/>
    <x v="4"/>
    <x v="0"/>
    <x v="0"/>
    <x v="1"/>
    <x v="1"/>
    <x v="5"/>
  </r>
  <r>
    <n v="176"/>
    <d v="2023-07-11T00:00:00"/>
    <x v="175"/>
    <x v="1"/>
    <x v="22"/>
    <x v="0"/>
    <x v="0"/>
    <x v="1"/>
    <n v="50"/>
    <x v="4"/>
    <x v="0"/>
    <x v="0"/>
    <x v="3"/>
    <x v="4"/>
    <x v="11"/>
  </r>
  <r>
    <n v="177"/>
    <d v="2023-03-24T00:00:00"/>
    <x v="176"/>
    <x v="0"/>
    <x v="5"/>
    <x v="0"/>
    <x v="0"/>
    <x v="1"/>
    <n v="50"/>
    <x v="4"/>
    <x v="0"/>
    <x v="0"/>
    <x v="1"/>
    <x v="0"/>
    <x v="5"/>
  </r>
  <r>
    <n v="178"/>
    <d v="2023-10-04T00:00:00"/>
    <x v="177"/>
    <x v="0"/>
    <x v="30"/>
    <x v="0"/>
    <x v="1"/>
    <x v="1"/>
    <n v="30"/>
    <x v="17"/>
    <x v="0"/>
    <x v="0"/>
    <x v="0"/>
    <x v="5"/>
    <x v="7"/>
  </r>
  <r>
    <n v="179"/>
    <d v="2023-09-29T00:00:00"/>
    <x v="178"/>
    <x v="0"/>
    <x v="33"/>
    <x v="0"/>
    <x v="2"/>
    <x v="2"/>
    <n v="300"/>
    <x v="13"/>
    <x v="0"/>
    <x v="0"/>
    <x v="3"/>
    <x v="0"/>
    <x v="9"/>
  </r>
  <r>
    <n v="180"/>
    <d v="2023-01-01T00:00:00"/>
    <x v="179"/>
    <x v="0"/>
    <x v="41"/>
    <x v="0"/>
    <x v="1"/>
    <x v="0"/>
    <n v="300"/>
    <x v="12"/>
    <x v="1"/>
    <x v="0"/>
    <x v="1"/>
    <x v="2"/>
    <x v="2"/>
  </r>
  <r>
    <n v="181"/>
    <d v="2023-11-03T00:00:00"/>
    <x v="180"/>
    <x v="0"/>
    <x v="14"/>
    <x v="1"/>
    <x v="2"/>
    <x v="3"/>
    <n v="300"/>
    <x v="14"/>
    <x v="1"/>
    <x v="0"/>
    <x v="0"/>
    <x v="0"/>
    <x v="0"/>
  </r>
  <r>
    <n v="182"/>
    <d v="2023-06-15T00:00:00"/>
    <x v="181"/>
    <x v="0"/>
    <x v="17"/>
    <x v="2"/>
    <x v="0"/>
    <x v="3"/>
    <n v="30"/>
    <x v="10"/>
    <x v="0"/>
    <x v="0"/>
    <x v="2"/>
    <x v="6"/>
    <x v="10"/>
  </r>
  <r>
    <n v="183"/>
    <d v="2023-09-08T00:00:00"/>
    <x v="182"/>
    <x v="1"/>
    <x v="22"/>
    <x v="0"/>
    <x v="0"/>
    <x v="0"/>
    <n v="300"/>
    <x v="12"/>
    <x v="1"/>
    <x v="0"/>
    <x v="3"/>
    <x v="0"/>
    <x v="9"/>
  </r>
  <r>
    <n v="184"/>
    <d v="2023-01-10T00:00:00"/>
    <x v="183"/>
    <x v="0"/>
    <x v="33"/>
    <x v="0"/>
    <x v="2"/>
    <x v="3"/>
    <n v="50"/>
    <x v="7"/>
    <x v="0"/>
    <x v="0"/>
    <x v="1"/>
    <x v="4"/>
    <x v="2"/>
  </r>
  <r>
    <n v="185"/>
    <d v="2023-02-27T00:00:00"/>
    <x v="184"/>
    <x v="0"/>
    <x v="46"/>
    <x v="1"/>
    <x v="1"/>
    <x v="2"/>
    <n v="25"/>
    <x v="16"/>
    <x v="0"/>
    <x v="0"/>
    <x v="1"/>
    <x v="1"/>
    <x v="1"/>
  </r>
  <r>
    <n v="186"/>
    <d v="2023-07-05T00:00:00"/>
    <x v="185"/>
    <x v="0"/>
    <x v="29"/>
    <x v="1"/>
    <x v="1"/>
    <x v="3"/>
    <n v="50"/>
    <x v="7"/>
    <x v="0"/>
    <x v="0"/>
    <x v="3"/>
    <x v="5"/>
    <x v="11"/>
  </r>
  <r>
    <n v="187"/>
    <d v="2023-06-07T00:00:00"/>
    <x v="186"/>
    <x v="1"/>
    <x v="12"/>
    <x v="2"/>
    <x v="1"/>
    <x v="1"/>
    <n v="50"/>
    <x v="4"/>
    <x v="0"/>
    <x v="0"/>
    <x v="2"/>
    <x v="5"/>
    <x v="10"/>
  </r>
  <r>
    <n v="188"/>
    <d v="2023-05-03T00:00:00"/>
    <x v="187"/>
    <x v="0"/>
    <x v="30"/>
    <x v="0"/>
    <x v="1"/>
    <x v="0"/>
    <n v="25"/>
    <x v="8"/>
    <x v="0"/>
    <x v="0"/>
    <x v="2"/>
    <x v="5"/>
    <x v="3"/>
  </r>
  <r>
    <n v="189"/>
    <d v="2023-01-30T00:00:00"/>
    <x v="188"/>
    <x v="0"/>
    <x v="7"/>
    <x v="2"/>
    <x v="0"/>
    <x v="2"/>
    <n v="50"/>
    <x v="5"/>
    <x v="0"/>
    <x v="0"/>
    <x v="1"/>
    <x v="1"/>
    <x v="2"/>
  </r>
  <r>
    <n v="190"/>
    <d v="2023-05-04T00:00:00"/>
    <x v="189"/>
    <x v="1"/>
    <x v="43"/>
    <x v="0"/>
    <x v="0"/>
    <x v="0"/>
    <n v="30"/>
    <x v="15"/>
    <x v="0"/>
    <x v="0"/>
    <x v="2"/>
    <x v="6"/>
    <x v="3"/>
  </r>
  <r>
    <n v="191"/>
    <d v="2023-10-18T00:00:00"/>
    <x v="190"/>
    <x v="0"/>
    <x v="12"/>
    <x v="2"/>
    <x v="0"/>
    <x v="2"/>
    <n v="25"/>
    <x v="16"/>
    <x v="0"/>
    <x v="0"/>
    <x v="0"/>
    <x v="5"/>
    <x v="7"/>
  </r>
  <r>
    <n v="192"/>
    <d v="2023-02-10T00:00:00"/>
    <x v="191"/>
    <x v="0"/>
    <x v="17"/>
    <x v="2"/>
    <x v="0"/>
    <x v="1"/>
    <n v="50"/>
    <x v="4"/>
    <x v="0"/>
    <x v="0"/>
    <x v="1"/>
    <x v="0"/>
    <x v="1"/>
  </r>
  <r>
    <n v="193"/>
    <d v="2023-02-13T00:00:00"/>
    <x v="192"/>
    <x v="0"/>
    <x v="10"/>
    <x v="0"/>
    <x v="0"/>
    <x v="0"/>
    <n v="500"/>
    <x v="9"/>
    <x v="1"/>
    <x v="0"/>
    <x v="1"/>
    <x v="1"/>
    <x v="1"/>
  </r>
  <r>
    <n v="194"/>
    <d v="2023-09-06T00:00:00"/>
    <x v="193"/>
    <x v="0"/>
    <x v="28"/>
    <x v="0"/>
    <x v="1"/>
    <x v="3"/>
    <n v="50"/>
    <x v="7"/>
    <x v="0"/>
    <x v="0"/>
    <x v="3"/>
    <x v="5"/>
    <x v="9"/>
  </r>
  <r>
    <n v="195"/>
    <d v="2023-02-05T00:00:00"/>
    <x v="194"/>
    <x v="0"/>
    <x v="8"/>
    <x v="0"/>
    <x v="1"/>
    <x v="2"/>
    <n v="30"/>
    <x v="2"/>
    <x v="0"/>
    <x v="0"/>
    <x v="1"/>
    <x v="2"/>
    <x v="1"/>
  </r>
  <r>
    <n v="196"/>
    <d v="2023-09-30T00:00:00"/>
    <x v="195"/>
    <x v="1"/>
    <x v="40"/>
    <x v="0"/>
    <x v="1"/>
    <x v="0"/>
    <n v="300"/>
    <x v="12"/>
    <x v="1"/>
    <x v="0"/>
    <x v="3"/>
    <x v="3"/>
    <x v="9"/>
  </r>
  <r>
    <n v="197"/>
    <d v="2023-03-06T00:00:00"/>
    <x v="196"/>
    <x v="1"/>
    <x v="13"/>
    <x v="0"/>
    <x v="1"/>
    <x v="3"/>
    <n v="50"/>
    <x v="7"/>
    <x v="0"/>
    <x v="0"/>
    <x v="1"/>
    <x v="1"/>
    <x v="5"/>
  </r>
  <r>
    <n v="198"/>
    <d v="2023-03-07T00:00:00"/>
    <x v="197"/>
    <x v="1"/>
    <x v="31"/>
    <x v="0"/>
    <x v="0"/>
    <x v="0"/>
    <n v="300"/>
    <x v="12"/>
    <x v="1"/>
    <x v="0"/>
    <x v="1"/>
    <x v="4"/>
    <x v="5"/>
  </r>
  <r>
    <n v="199"/>
    <d v="2023-12-04T00:00:00"/>
    <x v="198"/>
    <x v="0"/>
    <x v="5"/>
    <x v="0"/>
    <x v="0"/>
    <x v="0"/>
    <n v="500"/>
    <x v="9"/>
    <x v="1"/>
    <x v="0"/>
    <x v="0"/>
    <x v="1"/>
    <x v="6"/>
  </r>
  <r>
    <n v="200"/>
    <d v="2023-09-01T00:00:00"/>
    <x v="199"/>
    <x v="0"/>
    <x v="15"/>
    <x v="1"/>
    <x v="0"/>
    <x v="0"/>
    <n v="50"/>
    <x v="0"/>
    <x v="0"/>
    <x v="0"/>
    <x v="3"/>
    <x v="0"/>
    <x v="9"/>
  </r>
  <r>
    <n v="201"/>
    <d v="2023-10-09T00:00:00"/>
    <x v="200"/>
    <x v="0"/>
    <x v="37"/>
    <x v="0"/>
    <x v="2"/>
    <x v="2"/>
    <n v="25"/>
    <x v="16"/>
    <x v="0"/>
    <x v="0"/>
    <x v="0"/>
    <x v="1"/>
    <x v="7"/>
  </r>
  <r>
    <n v="202"/>
    <d v="2023-03-26T00:00:00"/>
    <x v="201"/>
    <x v="1"/>
    <x v="0"/>
    <x v="0"/>
    <x v="1"/>
    <x v="3"/>
    <n v="300"/>
    <x v="14"/>
    <x v="1"/>
    <x v="0"/>
    <x v="1"/>
    <x v="2"/>
    <x v="5"/>
  </r>
  <r>
    <n v="203"/>
    <d v="2023-05-16T00:00:00"/>
    <x v="202"/>
    <x v="0"/>
    <x v="37"/>
    <x v="0"/>
    <x v="1"/>
    <x v="1"/>
    <n v="500"/>
    <x v="1"/>
    <x v="1"/>
    <x v="0"/>
    <x v="2"/>
    <x v="4"/>
    <x v="3"/>
  </r>
  <r>
    <n v="204"/>
    <d v="2023-09-28T00:00:00"/>
    <x v="203"/>
    <x v="0"/>
    <x v="23"/>
    <x v="0"/>
    <x v="0"/>
    <x v="2"/>
    <n v="25"/>
    <x v="16"/>
    <x v="0"/>
    <x v="0"/>
    <x v="3"/>
    <x v="6"/>
    <x v="9"/>
  </r>
  <r>
    <n v="205"/>
    <d v="2023-11-07T00:00:00"/>
    <x v="204"/>
    <x v="1"/>
    <x v="22"/>
    <x v="0"/>
    <x v="1"/>
    <x v="2"/>
    <n v="25"/>
    <x v="16"/>
    <x v="0"/>
    <x v="0"/>
    <x v="0"/>
    <x v="4"/>
    <x v="0"/>
  </r>
  <r>
    <n v="206"/>
    <d v="2023-08-05T00:00:00"/>
    <x v="205"/>
    <x v="0"/>
    <x v="39"/>
    <x v="2"/>
    <x v="1"/>
    <x v="2"/>
    <n v="25"/>
    <x v="16"/>
    <x v="0"/>
    <x v="0"/>
    <x v="3"/>
    <x v="3"/>
    <x v="8"/>
  </r>
  <r>
    <n v="207"/>
    <d v="2023-04-19T00:00:00"/>
    <x v="206"/>
    <x v="1"/>
    <x v="13"/>
    <x v="0"/>
    <x v="0"/>
    <x v="1"/>
    <n v="25"/>
    <x v="5"/>
    <x v="0"/>
    <x v="0"/>
    <x v="2"/>
    <x v="5"/>
    <x v="4"/>
  </r>
  <r>
    <n v="208"/>
    <d v="2023-10-04T00:00:00"/>
    <x v="207"/>
    <x v="1"/>
    <x v="0"/>
    <x v="0"/>
    <x v="2"/>
    <x v="3"/>
    <n v="50"/>
    <x v="7"/>
    <x v="0"/>
    <x v="0"/>
    <x v="0"/>
    <x v="5"/>
    <x v="7"/>
  </r>
  <r>
    <n v="209"/>
    <d v="2023-12-20T00:00:00"/>
    <x v="208"/>
    <x v="1"/>
    <x v="4"/>
    <x v="1"/>
    <x v="2"/>
    <x v="3"/>
    <n v="50"/>
    <x v="7"/>
    <x v="0"/>
    <x v="0"/>
    <x v="0"/>
    <x v="5"/>
    <x v="6"/>
  </r>
  <r>
    <n v="210"/>
    <d v="2023-04-13T00:00:00"/>
    <x v="209"/>
    <x v="0"/>
    <x v="3"/>
    <x v="0"/>
    <x v="2"/>
    <x v="3"/>
    <n v="50"/>
    <x v="7"/>
    <x v="0"/>
    <x v="0"/>
    <x v="2"/>
    <x v="6"/>
    <x v="4"/>
  </r>
  <r>
    <n v="211"/>
    <d v="2024-01-01T00:00:00"/>
    <x v="210"/>
    <x v="0"/>
    <x v="13"/>
    <x v="0"/>
    <x v="0"/>
    <x v="0"/>
    <n v="500"/>
    <x v="9"/>
    <x v="1"/>
    <x v="1"/>
    <x v="1"/>
    <x v="1"/>
    <x v="2"/>
  </r>
  <r>
    <n v="212"/>
    <d v="2023-06-09T00:00:00"/>
    <x v="211"/>
    <x v="0"/>
    <x v="34"/>
    <x v="1"/>
    <x v="1"/>
    <x v="0"/>
    <n v="500"/>
    <x v="9"/>
    <x v="1"/>
    <x v="0"/>
    <x v="2"/>
    <x v="0"/>
    <x v="10"/>
  </r>
  <r>
    <n v="213"/>
    <d v="2023-07-24T00:00:00"/>
    <x v="212"/>
    <x v="0"/>
    <x v="15"/>
    <x v="1"/>
    <x v="0"/>
    <x v="0"/>
    <n v="500"/>
    <x v="9"/>
    <x v="1"/>
    <x v="0"/>
    <x v="3"/>
    <x v="1"/>
    <x v="11"/>
  </r>
  <r>
    <n v="214"/>
    <d v="2023-12-10T00:00:00"/>
    <x v="213"/>
    <x v="0"/>
    <x v="29"/>
    <x v="1"/>
    <x v="0"/>
    <x v="1"/>
    <n v="30"/>
    <x v="17"/>
    <x v="0"/>
    <x v="0"/>
    <x v="0"/>
    <x v="2"/>
    <x v="6"/>
  </r>
  <r>
    <n v="215"/>
    <d v="2023-11-29T00:00:00"/>
    <x v="214"/>
    <x v="0"/>
    <x v="26"/>
    <x v="0"/>
    <x v="1"/>
    <x v="0"/>
    <n v="500"/>
    <x v="9"/>
    <x v="1"/>
    <x v="0"/>
    <x v="0"/>
    <x v="5"/>
    <x v="0"/>
  </r>
  <r>
    <n v="216"/>
    <d v="2023-07-11T00:00:00"/>
    <x v="215"/>
    <x v="0"/>
    <x v="17"/>
    <x v="2"/>
    <x v="2"/>
    <x v="1"/>
    <n v="50"/>
    <x v="4"/>
    <x v="0"/>
    <x v="0"/>
    <x v="3"/>
    <x v="4"/>
    <x v="11"/>
  </r>
  <r>
    <n v="217"/>
    <d v="2023-08-13T00:00:00"/>
    <x v="216"/>
    <x v="1"/>
    <x v="10"/>
    <x v="0"/>
    <x v="2"/>
    <x v="3"/>
    <n v="50"/>
    <x v="7"/>
    <x v="0"/>
    <x v="0"/>
    <x v="3"/>
    <x v="2"/>
    <x v="8"/>
  </r>
  <r>
    <n v="218"/>
    <d v="2023-09-22T00:00:00"/>
    <x v="217"/>
    <x v="0"/>
    <x v="12"/>
    <x v="2"/>
    <x v="0"/>
    <x v="0"/>
    <n v="30"/>
    <x v="15"/>
    <x v="0"/>
    <x v="0"/>
    <x v="3"/>
    <x v="0"/>
    <x v="9"/>
  </r>
  <r>
    <n v="219"/>
    <d v="2023-08-20T00:00:00"/>
    <x v="218"/>
    <x v="1"/>
    <x v="45"/>
    <x v="0"/>
    <x v="2"/>
    <x v="0"/>
    <n v="30"/>
    <x v="15"/>
    <x v="0"/>
    <x v="0"/>
    <x v="3"/>
    <x v="2"/>
    <x v="8"/>
  </r>
  <r>
    <n v="220"/>
    <d v="2023-03-03T00:00:00"/>
    <x v="219"/>
    <x v="0"/>
    <x v="12"/>
    <x v="2"/>
    <x v="0"/>
    <x v="2"/>
    <n v="500"/>
    <x v="3"/>
    <x v="0"/>
    <x v="0"/>
    <x v="1"/>
    <x v="0"/>
    <x v="5"/>
  </r>
  <r>
    <n v="221"/>
    <d v="2023-05-07T00:00:00"/>
    <x v="220"/>
    <x v="0"/>
    <x v="23"/>
    <x v="0"/>
    <x v="0"/>
    <x v="1"/>
    <n v="300"/>
    <x v="6"/>
    <x v="1"/>
    <x v="0"/>
    <x v="2"/>
    <x v="2"/>
    <x v="3"/>
  </r>
  <r>
    <n v="222"/>
    <d v="2023-04-26T00:00:00"/>
    <x v="221"/>
    <x v="0"/>
    <x v="25"/>
    <x v="0"/>
    <x v="1"/>
    <x v="3"/>
    <n v="30"/>
    <x v="10"/>
    <x v="0"/>
    <x v="0"/>
    <x v="2"/>
    <x v="5"/>
    <x v="4"/>
  </r>
  <r>
    <n v="223"/>
    <d v="2023-02-02T00:00:00"/>
    <x v="222"/>
    <x v="1"/>
    <x v="12"/>
    <x v="2"/>
    <x v="1"/>
    <x v="2"/>
    <n v="25"/>
    <x v="16"/>
    <x v="0"/>
    <x v="0"/>
    <x v="1"/>
    <x v="6"/>
    <x v="1"/>
  </r>
  <r>
    <n v="224"/>
    <d v="2023-06-23T00:00:00"/>
    <x v="223"/>
    <x v="1"/>
    <x v="36"/>
    <x v="1"/>
    <x v="1"/>
    <x v="2"/>
    <n v="50"/>
    <x v="5"/>
    <x v="0"/>
    <x v="0"/>
    <x v="2"/>
    <x v="0"/>
    <x v="10"/>
  </r>
  <r>
    <n v="225"/>
    <d v="2023-01-11T00:00:00"/>
    <x v="224"/>
    <x v="1"/>
    <x v="35"/>
    <x v="0"/>
    <x v="0"/>
    <x v="3"/>
    <n v="25"/>
    <x v="4"/>
    <x v="0"/>
    <x v="0"/>
    <x v="1"/>
    <x v="5"/>
    <x v="2"/>
  </r>
  <r>
    <n v="226"/>
    <d v="2023-10-29T00:00:00"/>
    <x v="225"/>
    <x v="1"/>
    <x v="39"/>
    <x v="2"/>
    <x v="1"/>
    <x v="2"/>
    <n v="50"/>
    <x v="5"/>
    <x v="0"/>
    <x v="0"/>
    <x v="0"/>
    <x v="2"/>
    <x v="7"/>
  </r>
  <r>
    <n v="227"/>
    <d v="2023-10-11T00:00:00"/>
    <x v="226"/>
    <x v="0"/>
    <x v="32"/>
    <x v="0"/>
    <x v="2"/>
    <x v="1"/>
    <n v="50"/>
    <x v="4"/>
    <x v="0"/>
    <x v="0"/>
    <x v="0"/>
    <x v="5"/>
    <x v="7"/>
  </r>
  <r>
    <n v="228"/>
    <d v="2023-04-28T00:00:00"/>
    <x v="227"/>
    <x v="1"/>
    <x v="42"/>
    <x v="0"/>
    <x v="2"/>
    <x v="1"/>
    <n v="30"/>
    <x v="17"/>
    <x v="0"/>
    <x v="0"/>
    <x v="2"/>
    <x v="0"/>
    <x v="4"/>
  </r>
  <r>
    <n v="229"/>
    <d v="2023-10-29T00:00:00"/>
    <x v="228"/>
    <x v="0"/>
    <x v="26"/>
    <x v="0"/>
    <x v="0"/>
    <x v="0"/>
    <n v="30"/>
    <x v="15"/>
    <x v="0"/>
    <x v="0"/>
    <x v="0"/>
    <x v="2"/>
    <x v="7"/>
  </r>
  <r>
    <n v="230"/>
    <d v="2023-04-23T00:00:00"/>
    <x v="229"/>
    <x v="0"/>
    <x v="31"/>
    <x v="0"/>
    <x v="0"/>
    <x v="2"/>
    <n v="25"/>
    <x v="16"/>
    <x v="0"/>
    <x v="0"/>
    <x v="2"/>
    <x v="2"/>
    <x v="4"/>
  </r>
  <r>
    <n v="231"/>
    <d v="2023-01-04T00:00:00"/>
    <x v="230"/>
    <x v="1"/>
    <x v="9"/>
    <x v="1"/>
    <x v="1"/>
    <x v="0"/>
    <n v="50"/>
    <x v="0"/>
    <x v="0"/>
    <x v="0"/>
    <x v="1"/>
    <x v="5"/>
    <x v="2"/>
  </r>
  <r>
    <n v="232"/>
    <d v="2023-02-06T00:00:00"/>
    <x v="231"/>
    <x v="1"/>
    <x v="22"/>
    <x v="0"/>
    <x v="0"/>
    <x v="2"/>
    <n v="25"/>
    <x v="16"/>
    <x v="0"/>
    <x v="0"/>
    <x v="1"/>
    <x v="1"/>
    <x v="1"/>
  </r>
  <r>
    <n v="233"/>
    <d v="2023-12-29T00:00:00"/>
    <x v="232"/>
    <x v="1"/>
    <x v="25"/>
    <x v="0"/>
    <x v="0"/>
    <x v="1"/>
    <n v="300"/>
    <x v="6"/>
    <x v="1"/>
    <x v="0"/>
    <x v="0"/>
    <x v="0"/>
    <x v="6"/>
  </r>
  <r>
    <n v="234"/>
    <d v="2023-11-20T00:00:00"/>
    <x v="233"/>
    <x v="1"/>
    <x v="17"/>
    <x v="2"/>
    <x v="2"/>
    <x v="1"/>
    <n v="25"/>
    <x v="5"/>
    <x v="0"/>
    <x v="0"/>
    <x v="0"/>
    <x v="1"/>
    <x v="0"/>
  </r>
  <r>
    <n v="235"/>
    <d v="2023-01-31T00:00:00"/>
    <x v="234"/>
    <x v="1"/>
    <x v="9"/>
    <x v="1"/>
    <x v="2"/>
    <x v="1"/>
    <n v="500"/>
    <x v="1"/>
    <x v="1"/>
    <x v="0"/>
    <x v="1"/>
    <x v="4"/>
    <x v="2"/>
  </r>
  <r>
    <n v="236"/>
    <d v="2023-04-28T00:00:00"/>
    <x v="235"/>
    <x v="1"/>
    <x v="31"/>
    <x v="0"/>
    <x v="1"/>
    <x v="2"/>
    <n v="25"/>
    <x v="16"/>
    <x v="0"/>
    <x v="0"/>
    <x v="2"/>
    <x v="0"/>
    <x v="4"/>
  </r>
  <r>
    <n v="237"/>
    <d v="2023-02-04T00:00:00"/>
    <x v="236"/>
    <x v="1"/>
    <x v="2"/>
    <x v="0"/>
    <x v="0"/>
    <x v="1"/>
    <n v="500"/>
    <x v="1"/>
    <x v="1"/>
    <x v="0"/>
    <x v="1"/>
    <x v="3"/>
    <x v="1"/>
  </r>
  <r>
    <n v="238"/>
    <d v="2023-01-17T00:00:00"/>
    <x v="237"/>
    <x v="1"/>
    <x v="23"/>
    <x v="0"/>
    <x v="0"/>
    <x v="2"/>
    <n v="500"/>
    <x v="3"/>
    <x v="0"/>
    <x v="0"/>
    <x v="1"/>
    <x v="4"/>
    <x v="2"/>
  </r>
  <r>
    <n v="239"/>
    <d v="2023-06-19T00:00:00"/>
    <x v="238"/>
    <x v="0"/>
    <x v="21"/>
    <x v="0"/>
    <x v="2"/>
    <x v="0"/>
    <n v="500"/>
    <x v="9"/>
    <x v="1"/>
    <x v="0"/>
    <x v="2"/>
    <x v="1"/>
    <x v="10"/>
  </r>
  <r>
    <n v="240"/>
    <d v="2023-02-06T00:00:00"/>
    <x v="239"/>
    <x v="1"/>
    <x v="9"/>
    <x v="1"/>
    <x v="0"/>
    <x v="2"/>
    <n v="300"/>
    <x v="13"/>
    <x v="0"/>
    <x v="0"/>
    <x v="1"/>
    <x v="1"/>
    <x v="1"/>
  </r>
  <r>
    <n v="241"/>
    <d v="2023-09-21T00:00:00"/>
    <x v="240"/>
    <x v="1"/>
    <x v="9"/>
    <x v="1"/>
    <x v="2"/>
    <x v="0"/>
    <n v="25"/>
    <x v="8"/>
    <x v="0"/>
    <x v="0"/>
    <x v="3"/>
    <x v="6"/>
    <x v="9"/>
  </r>
  <r>
    <n v="242"/>
    <d v="2023-05-02T00:00:00"/>
    <x v="241"/>
    <x v="0"/>
    <x v="34"/>
    <x v="1"/>
    <x v="1"/>
    <x v="2"/>
    <n v="25"/>
    <x v="16"/>
    <x v="0"/>
    <x v="0"/>
    <x v="2"/>
    <x v="4"/>
    <x v="3"/>
  </r>
  <r>
    <n v="243"/>
    <d v="2023-05-23T00:00:00"/>
    <x v="242"/>
    <x v="1"/>
    <x v="16"/>
    <x v="0"/>
    <x v="2"/>
    <x v="0"/>
    <n v="300"/>
    <x v="12"/>
    <x v="1"/>
    <x v="0"/>
    <x v="2"/>
    <x v="4"/>
    <x v="3"/>
  </r>
  <r>
    <n v="244"/>
    <d v="2023-12-09T00:00:00"/>
    <x v="243"/>
    <x v="0"/>
    <x v="20"/>
    <x v="1"/>
    <x v="0"/>
    <x v="1"/>
    <n v="50"/>
    <x v="4"/>
    <x v="0"/>
    <x v="0"/>
    <x v="0"/>
    <x v="3"/>
    <x v="6"/>
  </r>
  <r>
    <n v="245"/>
    <d v="2023-09-06T00:00:00"/>
    <x v="244"/>
    <x v="0"/>
    <x v="16"/>
    <x v="0"/>
    <x v="1"/>
    <x v="0"/>
    <n v="30"/>
    <x v="15"/>
    <x v="0"/>
    <x v="0"/>
    <x v="3"/>
    <x v="5"/>
    <x v="9"/>
  </r>
  <r>
    <n v="246"/>
    <d v="2023-04-20T00:00:00"/>
    <x v="245"/>
    <x v="1"/>
    <x v="27"/>
    <x v="0"/>
    <x v="2"/>
    <x v="1"/>
    <n v="25"/>
    <x v="5"/>
    <x v="0"/>
    <x v="0"/>
    <x v="2"/>
    <x v="6"/>
    <x v="4"/>
  </r>
  <r>
    <n v="247"/>
    <d v="2023-10-04T00:00:00"/>
    <x v="246"/>
    <x v="0"/>
    <x v="41"/>
    <x v="0"/>
    <x v="2"/>
    <x v="1"/>
    <n v="30"/>
    <x v="17"/>
    <x v="0"/>
    <x v="0"/>
    <x v="0"/>
    <x v="5"/>
    <x v="7"/>
  </r>
  <r>
    <n v="248"/>
    <d v="2023-03-09T00:00:00"/>
    <x v="247"/>
    <x v="0"/>
    <x v="1"/>
    <x v="1"/>
    <x v="1"/>
    <x v="0"/>
    <n v="300"/>
    <x v="12"/>
    <x v="1"/>
    <x v="0"/>
    <x v="1"/>
    <x v="6"/>
    <x v="5"/>
  </r>
  <r>
    <n v="249"/>
    <d v="2023-10-20T00:00:00"/>
    <x v="248"/>
    <x v="0"/>
    <x v="29"/>
    <x v="1"/>
    <x v="1"/>
    <x v="2"/>
    <n v="50"/>
    <x v="5"/>
    <x v="0"/>
    <x v="0"/>
    <x v="0"/>
    <x v="0"/>
    <x v="7"/>
  </r>
  <r>
    <n v="250"/>
    <d v="2023-10-23T00:00:00"/>
    <x v="249"/>
    <x v="0"/>
    <x v="27"/>
    <x v="0"/>
    <x v="2"/>
    <x v="2"/>
    <n v="50"/>
    <x v="5"/>
    <x v="0"/>
    <x v="0"/>
    <x v="0"/>
    <x v="1"/>
    <x v="7"/>
  </r>
  <r>
    <n v="251"/>
    <d v="2023-08-31T00:00:00"/>
    <x v="250"/>
    <x v="1"/>
    <x v="35"/>
    <x v="0"/>
    <x v="0"/>
    <x v="3"/>
    <n v="50"/>
    <x v="7"/>
    <x v="0"/>
    <x v="0"/>
    <x v="3"/>
    <x v="6"/>
    <x v="8"/>
  </r>
  <r>
    <n v="252"/>
    <d v="2023-05-05T00:00:00"/>
    <x v="251"/>
    <x v="0"/>
    <x v="31"/>
    <x v="0"/>
    <x v="2"/>
    <x v="2"/>
    <n v="300"/>
    <x v="13"/>
    <x v="0"/>
    <x v="0"/>
    <x v="2"/>
    <x v="0"/>
    <x v="3"/>
  </r>
  <r>
    <n v="253"/>
    <d v="2023-08-31T00:00:00"/>
    <x v="252"/>
    <x v="1"/>
    <x v="45"/>
    <x v="0"/>
    <x v="1"/>
    <x v="3"/>
    <n v="500"/>
    <x v="11"/>
    <x v="2"/>
    <x v="0"/>
    <x v="3"/>
    <x v="6"/>
    <x v="8"/>
  </r>
  <r>
    <n v="254"/>
    <d v="2023-07-28T00:00:00"/>
    <x v="253"/>
    <x v="0"/>
    <x v="41"/>
    <x v="0"/>
    <x v="2"/>
    <x v="2"/>
    <n v="500"/>
    <x v="3"/>
    <x v="0"/>
    <x v="0"/>
    <x v="3"/>
    <x v="0"/>
    <x v="11"/>
  </r>
  <r>
    <n v="255"/>
    <d v="2023-04-08T00:00:00"/>
    <x v="254"/>
    <x v="0"/>
    <x v="27"/>
    <x v="0"/>
    <x v="1"/>
    <x v="2"/>
    <n v="30"/>
    <x v="2"/>
    <x v="0"/>
    <x v="0"/>
    <x v="2"/>
    <x v="3"/>
    <x v="4"/>
  </r>
  <r>
    <n v="256"/>
    <d v="2023-02-18T00:00:00"/>
    <x v="255"/>
    <x v="0"/>
    <x v="9"/>
    <x v="1"/>
    <x v="1"/>
    <x v="1"/>
    <n v="500"/>
    <x v="1"/>
    <x v="1"/>
    <x v="0"/>
    <x v="1"/>
    <x v="3"/>
    <x v="1"/>
  </r>
  <r>
    <n v="257"/>
    <d v="2023-02-19T00:00:00"/>
    <x v="256"/>
    <x v="0"/>
    <x v="14"/>
    <x v="1"/>
    <x v="0"/>
    <x v="3"/>
    <n v="500"/>
    <x v="11"/>
    <x v="2"/>
    <x v="0"/>
    <x v="1"/>
    <x v="2"/>
    <x v="1"/>
  </r>
  <r>
    <n v="258"/>
    <d v="2023-12-04T00:00:00"/>
    <x v="257"/>
    <x v="1"/>
    <x v="3"/>
    <x v="0"/>
    <x v="1"/>
    <x v="2"/>
    <n v="50"/>
    <x v="5"/>
    <x v="0"/>
    <x v="0"/>
    <x v="0"/>
    <x v="1"/>
    <x v="6"/>
  </r>
  <r>
    <n v="259"/>
    <d v="2023-08-09T00:00:00"/>
    <x v="258"/>
    <x v="1"/>
    <x v="5"/>
    <x v="0"/>
    <x v="1"/>
    <x v="3"/>
    <n v="50"/>
    <x v="7"/>
    <x v="0"/>
    <x v="0"/>
    <x v="3"/>
    <x v="5"/>
    <x v="8"/>
  </r>
  <r>
    <n v="260"/>
    <d v="2023-07-01T00:00:00"/>
    <x v="259"/>
    <x v="0"/>
    <x v="20"/>
    <x v="1"/>
    <x v="0"/>
    <x v="1"/>
    <n v="30"/>
    <x v="17"/>
    <x v="0"/>
    <x v="0"/>
    <x v="3"/>
    <x v="3"/>
    <x v="11"/>
  </r>
  <r>
    <n v="261"/>
    <d v="2023-08-05T00:00:00"/>
    <x v="260"/>
    <x v="0"/>
    <x v="34"/>
    <x v="1"/>
    <x v="1"/>
    <x v="1"/>
    <n v="25"/>
    <x v="5"/>
    <x v="0"/>
    <x v="0"/>
    <x v="3"/>
    <x v="3"/>
    <x v="8"/>
  </r>
  <r>
    <n v="262"/>
    <d v="2023-07-30T00:00:00"/>
    <x v="261"/>
    <x v="1"/>
    <x v="40"/>
    <x v="0"/>
    <x v="0"/>
    <x v="3"/>
    <n v="30"/>
    <x v="10"/>
    <x v="0"/>
    <x v="0"/>
    <x v="3"/>
    <x v="2"/>
    <x v="11"/>
  </r>
  <r>
    <n v="263"/>
    <d v="2023-08-28T00:00:00"/>
    <x v="262"/>
    <x v="0"/>
    <x v="9"/>
    <x v="1"/>
    <x v="0"/>
    <x v="1"/>
    <n v="30"/>
    <x v="17"/>
    <x v="0"/>
    <x v="0"/>
    <x v="3"/>
    <x v="1"/>
    <x v="8"/>
  </r>
  <r>
    <n v="264"/>
    <d v="2023-01-28T00:00:00"/>
    <x v="263"/>
    <x v="0"/>
    <x v="16"/>
    <x v="0"/>
    <x v="1"/>
    <x v="0"/>
    <n v="300"/>
    <x v="12"/>
    <x v="1"/>
    <x v="0"/>
    <x v="1"/>
    <x v="3"/>
    <x v="2"/>
  </r>
  <r>
    <n v="265"/>
    <d v="2023-12-11T00:00:00"/>
    <x v="264"/>
    <x v="0"/>
    <x v="28"/>
    <x v="0"/>
    <x v="1"/>
    <x v="0"/>
    <n v="300"/>
    <x v="12"/>
    <x v="1"/>
    <x v="0"/>
    <x v="0"/>
    <x v="1"/>
    <x v="6"/>
  </r>
  <r>
    <n v="266"/>
    <d v="2023-12-01T00:00:00"/>
    <x v="265"/>
    <x v="1"/>
    <x v="14"/>
    <x v="1"/>
    <x v="2"/>
    <x v="1"/>
    <n v="30"/>
    <x v="17"/>
    <x v="0"/>
    <x v="0"/>
    <x v="0"/>
    <x v="0"/>
    <x v="6"/>
  </r>
  <r>
    <n v="267"/>
    <d v="2023-11-27T00:00:00"/>
    <x v="266"/>
    <x v="1"/>
    <x v="40"/>
    <x v="0"/>
    <x v="0"/>
    <x v="0"/>
    <n v="30"/>
    <x v="15"/>
    <x v="0"/>
    <x v="0"/>
    <x v="0"/>
    <x v="1"/>
    <x v="0"/>
  </r>
  <r>
    <n v="268"/>
    <d v="2023-02-20T00:00:00"/>
    <x v="267"/>
    <x v="1"/>
    <x v="20"/>
    <x v="1"/>
    <x v="2"/>
    <x v="2"/>
    <n v="30"/>
    <x v="2"/>
    <x v="0"/>
    <x v="0"/>
    <x v="1"/>
    <x v="1"/>
    <x v="1"/>
  </r>
  <r>
    <n v="269"/>
    <d v="2023-02-01T00:00:00"/>
    <x v="268"/>
    <x v="0"/>
    <x v="36"/>
    <x v="1"/>
    <x v="1"/>
    <x v="3"/>
    <n v="500"/>
    <x v="11"/>
    <x v="2"/>
    <x v="0"/>
    <x v="1"/>
    <x v="5"/>
    <x v="1"/>
  </r>
  <r>
    <n v="270"/>
    <d v="2023-07-26T00:00:00"/>
    <x v="269"/>
    <x v="0"/>
    <x v="22"/>
    <x v="0"/>
    <x v="2"/>
    <x v="2"/>
    <n v="300"/>
    <x v="13"/>
    <x v="0"/>
    <x v="0"/>
    <x v="3"/>
    <x v="5"/>
    <x v="11"/>
  </r>
  <r>
    <n v="271"/>
    <d v="2023-06-23T00:00:00"/>
    <x v="270"/>
    <x v="1"/>
    <x v="17"/>
    <x v="2"/>
    <x v="0"/>
    <x v="3"/>
    <n v="30"/>
    <x v="10"/>
    <x v="0"/>
    <x v="0"/>
    <x v="2"/>
    <x v="0"/>
    <x v="10"/>
  </r>
  <r>
    <n v="272"/>
    <d v="2023-02-25T00:00:00"/>
    <x v="271"/>
    <x v="1"/>
    <x v="39"/>
    <x v="2"/>
    <x v="2"/>
    <x v="1"/>
    <n v="50"/>
    <x v="4"/>
    <x v="0"/>
    <x v="0"/>
    <x v="1"/>
    <x v="3"/>
    <x v="1"/>
  </r>
  <r>
    <n v="273"/>
    <d v="2023-05-08T00:00:00"/>
    <x v="272"/>
    <x v="1"/>
    <x v="11"/>
    <x v="1"/>
    <x v="0"/>
    <x v="2"/>
    <n v="50"/>
    <x v="5"/>
    <x v="0"/>
    <x v="0"/>
    <x v="2"/>
    <x v="1"/>
    <x v="3"/>
  </r>
  <r>
    <n v="274"/>
    <d v="2023-04-09T00:00:00"/>
    <x v="273"/>
    <x v="1"/>
    <x v="9"/>
    <x v="1"/>
    <x v="1"/>
    <x v="1"/>
    <n v="500"/>
    <x v="1"/>
    <x v="1"/>
    <x v="0"/>
    <x v="2"/>
    <x v="2"/>
    <x v="4"/>
  </r>
  <r>
    <n v="275"/>
    <d v="2023-04-08T00:00:00"/>
    <x v="274"/>
    <x v="0"/>
    <x v="22"/>
    <x v="0"/>
    <x v="1"/>
    <x v="1"/>
    <n v="500"/>
    <x v="1"/>
    <x v="1"/>
    <x v="0"/>
    <x v="2"/>
    <x v="3"/>
    <x v="4"/>
  </r>
  <r>
    <n v="276"/>
    <d v="2023-10-02T00:00:00"/>
    <x v="275"/>
    <x v="1"/>
    <x v="34"/>
    <x v="1"/>
    <x v="0"/>
    <x v="3"/>
    <n v="25"/>
    <x v="4"/>
    <x v="0"/>
    <x v="0"/>
    <x v="0"/>
    <x v="1"/>
    <x v="7"/>
  </r>
  <r>
    <n v="277"/>
    <d v="2023-08-18T00:00:00"/>
    <x v="276"/>
    <x v="0"/>
    <x v="32"/>
    <x v="0"/>
    <x v="1"/>
    <x v="3"/>
    <n v="25"/>
    <x v="4"/>
    <x v="0"/>
    <x v="0"/>
    <x v="3"/>
    <x v="0"/>
    <x v="8"/>
  </r>
  <r>
    <n v="278"/>
    <d v="2023-03-13T00:00:00"/>
    <x v="277"/>
    <x v="1"/>
    <x v="3"/>
    <x v="0"/>
    <x v="1"/>
    <x v="3"/>
    <n v="25"/>
    <x v="4"/>
    <x v="0"/>
    <x v="0"/>
    <x v="1"/>
    <x v="1"/>
    <x v="5"/>
  </r>
  <r>
    <n v="279"/>
    <d v="2023-08-05T00:00:00"/>
    <x v="278"/>
    <x v="0"/>
    <x v="2"/>
    <x v="0"/>
    <x v="1"/>
    <x v="2"/>
    <n v="500"/>
    <x v="3"/>
    <x v="0"/>
    <x v="0"/>
    <x v="3"/>
    <x v="3"/>
    <x v="8"/>
  </r>
  <r>
    <n v="280"/>
    <d v="2023-04-04T00:00:00"/>
    <x v="279"/>
    <x v="1"/>
    <x v="3"/>
    <x v="0"/>
    <x v="1"/>
    <x v="0"/>
    <n v="500"/>
    <x v="9"/>
    <x v="1"/>
    <x v="0"/>
    <x v="2"/>
    <x v="4"/>
    <x v="4"/>
  </r>
  <r>
    <n v="281"/>
    <d v="2023-05-23T00:00:00"/>
    <x v="280"/>
    <x v="1"/>
    <x v="38"/>
    <x v="1"/>
    <x v="0"/>
    <x v="3"/>
    <n v="500"/>
    <x v="11"/>
    <x v="2"/>
    <x v="0"/>
    <x v="2"/>
    <x v="4"/>
    <x v="3"/>
  </r>
  <r>
    <n v="282"/>
    <d v="2023-08-25T00:00:00"/>
    <x v="281"/>
    <x v="1"/>
    <x v="12"/>
    <x v="2"/>
    <x v="2"/>
    <x v="3"/>
    <n v="50"/>
    <x v="7"/>
    <x v="0"/>
    <x v="0"/>
    <x v="3"/>
    <x v="0"/>
    <x v="8"/>
  </r>
  <r>
    <n v="283"/>
    <d v="2023-05-08T00:00:00"/>
    <x v="282"/>
    <x v="1"/>
    <x v="18"/>
    <x v="1"/>
    <x v="2"/>
    <x v="2"/>
    <n v="500"/>
    <x v="3"/>
    <x v="0"/>
    <x v="0"/>
    <x v="2"/>
    <x v="1"/>
    <x v="3"/>
  </r>
  <r>
    <n v="284"/>
    <d v="2023-02-08T00:00:00"/>
    <x v="283"/>
    <x v="0"/>
    <x v="22"/>
    <x v="0"/>
    <x v="1"/>
    <x v="3"/>
    <n v="50"/>
    <x v="7"/>
    <x v="0"/>
    <x v="0"/>
    <x v="1"/>
    <x v="5"/>
    <x v="1"/>
  </r>
  <r>
    <n v="285"/>
    <d v="2023-08-15T00:00:00"/>
    <x v="284"/>
    <x v="1"/>
    <x v="33"/>
    <x v="0"/>
    <x v="2"/>
    <x v="2"/>
    <n v="25"/>
    <x v="16"/>
    <x v="0"/>
    <x v="0"/>
    <x v="3"/>
    <x v="4"/>
    <x v="8"/>
  </r>
  <r>
    <n v="286"/>
    <d v="2023-10-09T00:00:00"/>
    <x v="285"/>
    <x v="0"/>
    <x v="28"/>
    <x v="0"/>
    <x v="2"/>
    <x v="1"/>
    <n v="25"/>
    <x v="5"/>
    <x v="0"/>
    <x v="0"/>
    <x v="0"/>
    <x v="1"/>
    <x v="7"/>
  </r>
  <r>
    <n v="287"/>
    <d v="2023-02-20T00:00:00"/>
    <x v="286"/>
    <x v="0"/>
    <x v="31"/>
    <x v="0"/>
    <x v="1"/>
    <x v="3"/>
    <n v="25"/>
    <x v="4"/>
    <x v="0"/>
    <x v="0"/>
    <x v="1"/>
    <x v="1"/>
    <x v="1"/>
  </r>
  <r>
    <n v="288"/>
    <d v="2023-01-26T00:00:00"/>
    <x v="287"/>
    <x v="0"/>
    <x v="20"/>
    <x v="1"/>
    <x v="1"/>
    <x v="3"/>
    <n v="30"/>
    <x v="10"/>
    <x v="0"/>
    <x v="0"/>
    <x v="1"/>
    <x v="6"/>
    <x v="2"/>
  </r>
  <r>
    <n v="289"/>
    <d v="2023-11-30T00:00:00"/>
    <x v="288"/>
    <x v="0"/>
    <x v="45"/>
    <x v="0"/>
    <x v="2"/>
    <x v="1"/>
    <n v="30"/>
    <x v="17"/>
    <x v="0"/>
    <x v="0"/>
    <x v="0"/>
    <x v="6"/>
    <x v="0"/>
  </r>
  <r>
    <n v="290"/>
    <d v="2023-10-04T00:00:00"/>
    <x v="289"/>
    <x v="1"/>
    <x v="4"/>
    <x v="1"/>
    <x v="0"/>
    <x v="1"/>
    <n v="300"/>
    <x v="6"/>
    <x v="1"/>
    <x v="0"/>
    <x v="0"/>
    <x v="5"/>
    <x v="7"/>
  </r>
  <r>
    <n v="291"/>
    <d v="2023-01-08T00:00:00"/>
    <x v="290"/>
    <x v="0"/>
    <x v="43"/>
    <x v="0"/>
    <x v="1"/>
    <x v="1"/>
    <n v="300"/>
    <x v="6"/>
    <x v="1"/>
    <x v="0"/>
    <x v="1"/>
    <x v="2"/>
    <x v="2"/>
  </r>
  <r>
    <n v="292"/>
    <d v="2023-02-17T00:00:00"/>
    <x v="291"/>
    <x v="0"/>
    <x v="29"/>
    <x v="1"/>
    <x v="0"/>
    <x v="3"/>
    <n v="300"/>
    <x v="14"/>
    <x v="1"/>
    <x v="0"/>
    <x v="1"/>
    <x v="0"/>
    <x v="1"/>
  </r>
  <r>
    <n v="293"/>
    <d v="2023-05-02T00:00:00"/>
    <x v="292"/>
    <x v="0"/>
    <x v="2"/>
    <x v="0"/>
    <x v="2"/>
    <x v="0"/>
    <n v="30"/>
    <x v="15"/>
    <x v="0"/>
    <x v="0"/>
    <x v="2"/>
    <x v="4"/>
    <x v="3"/>
  </r>
  <r>
    <n v="294"/>
    <d v="2023-03-27T00:00:00"/>
    <x v="293"/>
    <x v="1"/>
    <x v="9"/>
    <x v="1"/>
    <x v="1"/>
    <x v="0"/>
    <n v="30"/>
    <x v="15"/>
    <x v="0"/>
    <x v="0"/>
    <x v="1"/>
    <x v="1"/>
    <x v="5"/>
  </r>
  <r>
    <n v="295"/>
    <d v="2023-07-28T00:00:00"/>
    <x v="294"/>
    <x v="1"/>
    <x v="15"/>
    <x v="1"/>
    <x v="0"/>
    <x v="0"/>
    <n v="300"/>
    <x v="12"/>
    <x v="1"/>
    <x v="0"/>
    <x v="3"/>
    <x v="0"/>
    <x v="11"/>
  </r>
  <r>
    <n v="296"/>
    <d v="2023-09-06T00:00:00"/>
    <x v="295"/>
    <x v="1"/>
    <x v="11"/>
    <x v="1"/>
    <x v="1"/>
    <x v="3"/>
    <n v="300"/>
    <x v="14"/>
    <x v="1"/>
    <x v="0"/>
    <x v="3"/>
    <x v="5"/>
    <x v="9"/>
  </r>
  <r>
    <n v="297"/>
    <d v="2023-09-04T00:00:00"/>
    <x v="296"/>
    <x v="1"/>
    <x v="30"/>
    <x v="0"/>
    <x v="2"/>
    <x v="1"/>
    <n v="500"/>
    <x v="1"/>
    <x v="1"/>
    <x v="0"/>
    <x v="3"/>
    <x v="1"/>
    <x v="9"/>
  </r>
  <r>
    <n v="298"/>
    <d v="2023-04-20T00:00:00"/>
    <x v="297"/>
    <x v="0"/>
    <x v="15"/>
    <x v="1"/>
    <x v="0"/>
    <x v="3"/>
    <n v="300"/>
    <x v="14"/>
    <x v="1"/>
    <x v="0"/>
    <x v="2"/>
    <x v="6"/>
    <x v="4"/>
  </r>
  <r>
    <n v="299"/>
    <d v="2023-07-25T00:00:00"/>
    <x v="298"/>
    <x v="0"/>
    <x v="39"/>
    <x v="2"/>
    <x v="2"/>
    <x v="1"/>
    <n v="500"/>
    <x v="1"/>
    <x v="1"/>
    <x v="0"/>
    <x v="3"/>
    <x v="4"/>
    <x v="11"/>
  </r>
  <r>
    <n v="300"/>
    <d v="2023-01-31T00:00:00"/>
    <x v="299"/>
    <x v="1"/>
    <x v="14"/>
    <x v="1"/>
    <x v="2"/>
    <x v="3"/>
    <n v="50"/>
    <x v="7"/>
    <x v="0"/>
    <x v="0"/>
    <x v="1"/>
    <x v="4"/>
    <x v="2"/>
  </r>
  <r>
    <n v="301"/>
    <d v="2023-03-26T00:00:00"/>
    <x v="300"/>
    <x v="0"/>
    <x v="4"/>
    <x v="1"/>
    <x v="1"/>
    <x v="3"/>
    <n v="30"/>
    <x v="10"/>
    <x v="0"/>
    <x v="0"/>
    <x v="1"/>
    <x v="2"/>
    <x v="5"/>
  </r>
  <r>
    <n v="302"/>
    <d v="2023-07-14T00:00:00"/>
    <x v="301"/>
    <x v="0"/>
    <x v="35"/>
    <x v="0"/>
    <x v="0"/>
    <x v="1"/>
    <n v="300"/>
    <x v="6"/>
    <x v="1"/>
    <x v="0"/>
    <x v="3"/>
    <x v="0"/>
    <x v="11"/>
  </r>
  <r>
    <n v="303"/>
    <d v="2023-01-02T00:00:00"/>
    <x v="302"/>
    <x v="0"/>
    <x v="14"/>
    <x v="1"/>
    <x v="2"/>
    <x v="0"/>
    <n v="30"/>
    <x v="15"/>
    <x v="0"/>
    <x v="0"/>
    <x v="1"/>
    <x v="1"/>
    <x v="2"/>
  </r>
  <r>
    <n v="304"/>
    <d v="2023-07-19T00:00:00"/>
    <x v="303"/>
    <x v="1"/>
    <x v="3"/>
    <x v="0"/>
    <x v="2"/>
    <x v="1"/>
    <n v="30"/>
    <x v="17"/>
    <x v="0"/>
    <x v="0"/>
    <x v="3"/>
    <x v="5"/>
    <x v="11"/>
  </r>
  <r>
    <n v="305"/>
    <d v="2023-05-16T00:00:00"/>
    <x v="304"/>
    <x v="1"/>
    <x v="18"/>
    <x v="1"/>
    <x v="0"/>
    <x v="2"/>
    <n v="30"/>
    <x v="2"/>
    <x v="0"/>
    <x v="0"/>
    <x v="2"/>
    <x v="4"/>
    <x v="3"/>
  </r>
  <r>
    <n v="306"/>
    <d v="2023-08-21T00:00:00"/>
    <x v="305"/>
    <x v="0"/>
    <x v="31"/>
    <x v="0"/>
    <x v="2"/>
    <x v="2"/>
    <n v="50"/>
    <x v="5"/>
    <x v="0"/>
    <x v="0"/>
    <x v="3"/>
    <x v="1"/>
    <x v="8"/>
  </r>
  <r>
    <n v="307"/>
    <d v="2023-05-27T00:00:00"/>
    <x v="306"/>
    <x v="1"/>
    <x v="1"/>
    <x v="1"/>
    <x v="2"/>
    <x v="1"/>
    <n v="25"/>
    <x v="5"/>
    <x v="0"/>
    <x v="0"/>
    <x v="2"/>
    <x v="3"/>
    <x v="3"/>
  </r>
  <r>
    <n v="308"/>
    <d v="2023-08-05T00:00:00"/>
    <x v="307"/>
    <x v="1"/>
    <x v="0"/>
    <x v="0"/>
    <x v="0"/>
    <x v="3"/>
    <n v="300"/>
    <x v="14"/>
    <x v="1"/>
    <x v="0"/>
    <x v="3"/>
    <x v="3"/>
    <x v="8"/>
  </r>
  <r>
    <n v="309"/>
    <d v="2023-12-23T00:00:00"/>
    <x v="308"/>
    <x v="1"/>
    <x v="1"/>
    <x v="1"/>
    <x v="0"/>
    <x v="2"/>
    <n v="25"/>
    <x v="16"/>
    <x v="0"/>
    <x v="0"/>
    <x v="0"/>
    <x v="3"/>
    <x v="6"/>
  </r>
  <r>
    <n v="310"/>
    <d v="2023-10-12T00:00:00"/>
    <x v="309"/>
    <x v="1"/>
    <x v="20"/>
    <x v="1"/>
    <x v="0"/>
    <x v="2"/>
    <n v="25"/>
    <x v="16"/>
    <x v="0"/>
    <x v="0"/>
    <x v="0"/>
    <x v="6"/>
    <x v="7"/>
  </r>
  <r>
    <n v="311"/>
    <d v="2023-12-05T00:00:00"/>
    <x v="310"/>
    <x v="1"/>
    <x v="40"/>
    <x v="0"/>
    <x v="0"/>
    <x v="3"/>
    <n v="25"/>
    <x v="4"/>
    <x v="0"/>
    <x v="0"/>
    <x v="0"/>
    <x v="4"/>
    <x v="6"/>
  </r>
  <r>
    <n v="312"/>
    <d v="2023-09-07T00:00:00"/>
    <x v="311"/>
    <x v="0"/>
    <x v="41"/>
    <x v="0"/>
    <x v="1"/>
    <x v="3"/>
    <n v="30"/>
    <x v="10"/>
    <x v="0"/>
    <x v="0"/>
    <x v="3"/>
    <x v="6"/>
    <x v="9"/>
  </r>
  <r>
    <n v="313"/>
    <d v="2023-03-21T00:00:00"/>
    <x v="312"/>
    <x v="1"/>
    <x v="28"/>
    <x v="0"/>
    <x v="0"/>
    <x v="0"/>
    <n v="500"/>
    <x v="9"/>
    <x v="1"/>
    <x v="0"/>
    <x v="1"/>
    <x v="4"/>
    <x v="5"/>
  </r>
  <r>
    <n v="314"/>
    <d v="2023-04-08T00:00:00"/>
    <x v="313"/>
    <x v="0"/>
    <x v="8"/>
    <x v="0"/>
    <x v="1"/>
    <x v="3"/>
    <n v="30"/>
    <x v="10"/>
    <x v="0"/>
    <x v="0"/>
    <x v="2"/>
    <x v="3"/>
    <x v="4"/>
  </r>
  <r>
    <n v="315"/>
    <d v="2023-06-01T00:00:00"/>
    <x v="314"/>
    <x v="0"/>
    <x v="16"/>
    <x v="0"/>
    <x v="1"/>
    <x v="1"/>
    <n v="30"/>
    <x v="17"/>
    <x v="0"/>
    <x v="0"/>
    <x v="2"/>
    <x v="6"/>
    <x v="10"/>
  </r>
  <r>
    <n v="316"/>
    <d v="2023-04-22T00:00:00"/>
    <x v="315"/>
    <x v="1"/>
    <x v="27"/>
    <x v="0"/>
    <x v="1"/>
    <x v="1"/>
    <n v="25"/>
    <x v="5"/>
    <x v="0"/>
    <x v="0"/>
    <x v="2"/>
    <x v="3"/>
    <x v="4"/>
  </r>
  <r>
    <n v="317"/>
    <d v="2023-01-30T00:00:00"/>
    <x v="316"/>
    <x v="0"/>
    <x v="11"/>
    <x v="1"/>
    <x v="2"/>
    <x v="0"/>
    <n v="30"/>
    <x v="15"/>
    <x v="0"/>
    <x v="0"/>
    <x v="1"/>
    <x v="1"/>
    <x v="2"/>
  </r>
  <r>
    <n v="318"/>
    <d v="2023-10-24T00:00:00"/>
    <x v="317"/>
    <x v="0"/>
    <x v="39"/>
    <x v="2"/>
    <x v="1"/>
    <x v="2"/>
    <n v="25"/>
    <x v="16"/>
    <x v="0"/>
    <x v="0"/>
    <x v="0"/>
    <x v="4"/>
    <x v="7"/>
  </r>
  <r>
    <n v="319"/>
    <d v="2023-10-05T00:00:00"/>
    <x v="318"/>
    <x v="0"/>
    <x v="33"/>
    <x v="0"/>
    <x v="1"/>
    <x v="2"/>
    <n v="500"/>
    <x v="3"/>
    <x v="0"/>
    <x v="0"/>
    <x v="0"/>
    <x v="6"/>
    <x v="7"/>
  </r>
  <r>
    <n v="320"/>
    <d v="2023-02-01T00:00:00"/>
    <x v="319"/>
    <x v="1"/>
    <x v="20"/>
    <x v="1"/>
    <x v="2"/>
    <x v="3"/>
    <n v="300"/>
    <x v="14"/>
    <x v="1"/>
    <x v="0"/>
    <x v="1"/>
    <x v="5"/>
    <x v="1"/>
  </r>
  <r>
    <n v="321"/>
    <d v="2023-06-10T00:00:00"/>
    <x v="320"/>
    <x v="1"/>
    <x v="1"/>
    <x v="1"/>
    <x v="2"/>
    <x v="1"/>
    <n v="25"/>
    <x v="5"/>
    <x v="0"/>
    <x v="0"/>
    <x v="2"/>
    <x v="3"/>
    <x v="10"/>
  </r>
  <r>
    <n v="322"/>
    <d v="2023-01-30T00:00:00"/>
    <x v="321"/>
    <x v="0"/>
    <x v="25"/>
    <x v="0"/>
    <x v="2"/>
    <x v="2"/>
    <n v="500"/>
    <x v="3"/>
    <x v="0"/>
    <x v="0"/>
    <x v="1"/>
    <x v="1"/>
    <x v="2"/>
  </r>
  <r>
    <n v="323"/>
    <d v="2023-01-26T00:00:00"/>
    <x v="322"/>
    <x v="1"/>
    <x v="38"/>
    <x v="1"/>
    <x v="0"/>
    <x v="0"/>
    <n v="300"/>
    <x v="12"/>
    <x v="1"/>
    <x v="0"/>
    <x v="1"/>
    <x v="6"/>
    <x v="2"/>
  </r>
  <r>
    <n v="324"/>
    <d v="2023-10-27T00:00:00"/>
    <x v="323"/>
    <x v="1"/>
    <x v="8"/>
    <x v="0"/>
    <x v="2"/>
    <x v="0"/>
    <n v="50"/>
    <x v="0"/>
    <x v="0"/>
    <x v="0"/>
    <x v="0"/>
    <x v="0"/>
    <x v="7"/>
  </r>
  <r>
    <n v="325"/>
    <d v="2023-09-02T00:00:00"/>
    <x v="324"/>
    <x v="1"/>
    <x v="8"/>
    <x v="0"/>
    <x v="2"/>
    <x v="1"/>
    <n v="25"/>
    <x v="5"/>
    <x v="0"/>
    <x v="0"/>
    <x v="3"/>
    <x v="3"/>
    <x v="9"/>
  </r>
  <r>
    <n v="326"/>
    <d v="2023-09-15T00:00:00"/>
    <x v="325"/>
    <x v="1"/>
    <x v="18"/>
    <x v="1"/>
    <x v="1"/>
    <x v="0"/>
    <n v="25"/>
    <x v="8"/>
    <x v="0"/>
    <x v="0"/>
    <x v="3"/>
    <x v="0"/>
    <x v="9"/>
  </r>
  <r>
    <n v="327"/>
    <d v="2023-09-29T00:00:00"/>
    <x v="326"/>
    <x v="0"/>
    <x v="35"/>
    <x v="0"/>
    <x v="2"/>
    <x v="0"/>
    <n v="50"/>
    <x v="0"/>
    <x v="0"/>
    <x v="0"/>
    <x v="3"/>
    <x v="0"/>
    <x v="9"/>
  </r>
  <r>
    <n v="328"/>
    <d v="2023-03-22T00:00:00"/>
    <x v="327"/>
    <x v="0"/>
    <x v="23"/>
    <x v="0"/>
    <x v="0"/>
    <x v="1"/>
    <n v="50"/>
    <x v="4"/>
    <x v="0"/>
    <x v="0"/>
    <x v="1"/>
    <x v="5"/>
    <x v="5"/>
  </r>
  <r>
    <n v="329"/>
    <d v="2023-01-30T00:00:00"/>
    <x v="328"/>
    <x v="1"/>
    <x v="6"/>
    <x v="0"/>
    <x v="2"/>
    <x v="3"/>
    <n v="25"/>
    <x v="4"/>
    <x v="0"/>
    <x v="0"/>
    <x v="1"/>
    <x v="1"/>
    <x v="2"/>
  </r>
  <r>
    <n v="330"/>
    <d v="2023-09-18T00:00:00"/>
    <x v="329"/>
    <x v="1"/>
    <x v="36"/>
    <x v="1"/>
    <x v="0"/>
    <x v="3"/>
    <n v="50"/>
    <x v="7"/>
    <x v="0"/>
    <x v="0"/>
    <x v="3"/>
    <x v="1"/>
    <x v="9"/>
  </r>
  <r>
    <n v="331"/>
    <d v="2023-02-11T00:00:00"/>
    <x v="330"/>
    <x v="0"/>
    <x v="20"/>
    <x v="1"/>
    <x v="2"/>
    <x v="0"/>
    <n v="30"/>
    <x v="15"/>
    <x v="0"/>
    <x v="0"/>
    <x v="1"/>
    <x v="3"/>
    <x v="1"/>
  </r>
  <r>
    <n v="332"/>
    <d v="2023-04-06T00:00:00"/>
    <x v="331"/>
    <x v="0"/>
    <x v="26"/>
    <x v="0"/>
    <x v="2"/>
    <x v="3"/>
    <n v="300"/>
    <x v="14"/>
    <x v="1"/>
    <x v="0"/>
    <x v="2"/>
    <x v="6"/>
    <x v="4"/>
  </r>
  <r>
    <n v="333"/>
    <d v="2023-02-05T00:00:00"/>
    <x v="332"/>
    <x v="1"/>
    <x v="31"/>
    <x v="0"/>
    <x v="2"/>
    <x v="3"/>
    <n v="300"/>
    <x v="14"/>
    <x v="1"/>
    <x v="0"/>
    <x v="1"/>
    <x v="2"/>
    <x v="1"/>
  </r>
  <r>
    <n v="334"/>
    <d v="2023-11-01T00:00:00"/>
    <x v="333"/>
    <x v="0"/>
    <x v="33"/>
    <x v="0"/>
    <x v="2"/>
    <x v="0"/>
    <n v="300"/>
    <x v="12"/>
    <x v="1"/>
    <x v="0"/>
    <x v="0"/>
    <x v="5"/>
    <x v="0"/>
  </r>
  <r>
    <n v="335"/>
    <d v="2023-02-04T00:00:00"/>
    <x v="334"/>
    <x v="1"/>
    <x v="16"/>
    <x v="0"/>
    <x v="0"/>
    <x v="3"/>
    <n v="30"/>
    <x v="10"/>
    <x v="0"/>
    <x v="0"/>
    <x v="1"/>
    <x v="3"/>
    <x v="1"/>
  </r>
  <r>
    <n v="336"/>
    <d v="2023-12-12T00:00:00"/>
    <x v="335"/>
    <x v="1"/>
    <x v="8"/>
    <x v="0"/>
    <x v="0"/>
    <x v="0"/>
    <n v="50"/>
    <x v="0"/>
    <x v="0"/>
    <x v="0"/>
    <x v="0"/>
    <x v="4"/>
    <x v="6"/>
  </r>
  <r>
    <n v="337"/>
    <d v="2023-05-01T00:00:00"/>
    <x v="336"/>
    <x v="0"/>
    <x v="21"/>
    <x v="0"/>
    <x v="1"/>
    <x v="2"/>
    <n v="500"/>
    <x v="3"/>
    <x v="0"/>
    <x v="0"/>
    <x v="2"/>
    <x v="1"/>
    <x v="3"/>
  </r>
  <r>
    <n v="338"/>
    <d v="2023-07-26T00:00:00"/>
    <x v="337"/>
    <x v="0"/>
    <x v="31"/>
    <x v="0"/>
    <x v="0"/>
    <x v="1"/>
    <n v="50"/>
    <x v="4"/>
    <x v="0"/>
    <x v="0"/>
    <x v="3"/>
    <x v="5"/>
    <x v="11"/>
  </r>
  <r>
    <n v="339"/>
    <d v="2023-03-03T00:00:00"/>
    <x v="338"/>
    <x v="1"/>
    <x v="11"/>
    <x v="1"/>
    <x v="2"/>
    <x v="1"/>
    <n v="25"/>
    <x v="5"/>
    <x v="0"/>
    <x v="0"/>
    <x v="1"/>
    <x v="0"/>
    <x v="5"/>
  </r>
  <r>
    <n v="340"/>
    <d v="2023-10-19T00:00:00"/>
    <x v="339"/>
    <x v="1"/>
    <x v="32"/>
    <x v="0"/>
    <x v="1"/>
    <x v="3"/>
    <n v="300"/>
    <x v="14"/>
    <x v="1"/>
    <x v="0"/>
    <x v="0"/>
    <x v="6"/>
    <x v="7"/>
  </r>
  <r>
    <n v="341"/>
    <d v="2023-05-07T00:00:00"/>
    <x v="340"/>
    <x v="0"/>
    <x v="33"/>
    <x v="0"/>
    <x v="1"/>
    <x v="3"/>
    <n v="50"/>
    <x v="7"/>
    <x v="0"/>
    <x v="0"/>
    <x v="2"/>
    <x v="2"/>
    <x v="3"/>
  </r>
  <r>
    <n v="342"/>
    <d v="2023-10-24T00:00:00"/>
    <x v="341"/>
    <x v="1"/>
    <x v="22"/>
    <x v="0"/>
    <x v="1"/>
    <x v="3"/>
    <n v="500"/>
    <x v="11"/>
    <x v="2"/>
    <x v="0"/>
    <x v="0"/>
    <x v="4"/>
    <x v="7"/>
  </r>
  <r>
    <n v="343"/>
    <d v="2023-11-01T00:00:00"/>
    <x v="342"/>
    <x v="0"/>
    <x v="34"/>
    <x v="1"/>
    <x v="2"/>
    <x v="1"/>
    <n v="25"/>
    <x v="5"/>
    <x v="0"/>
    <x v="0"/>
    <x v="0"/>
    <x v="5"/>
    <x v="0"/>
  </r>
  <r>
    <n v="344"/>
    <d v="2023-01-21T00:00:00"/>
    <x v="343"/>
    <x v="1"/>
    <x v="13"/>
    <x v="0"/>
    <x v="0"/>
    <x v="2"/>
    <n v="30"/>
    <x v="2"/>
    <x v="0"/>
    <x v="0"/>
    <x v="1"/>
    <x v="3"/>
    <x v="2"/>
  </r>
  <r>
    <n v="345"/>
    <d v="2023-11-14T00:00:00"/>
    <x v="344"/>
    <x v="0"/>
    <x v="17"/>
    <x v="2"/>
    <x v="2"/>
    <x v="2"/>
    <n v="30"/>
    <x v="2"/>
    <x v="0"/>
    <x v="0"/>
    <x v="0"/>
    <x v="4"/>
    <x v="0"/>
  </r>
  <r>
    <n v="346"/>
    <d v="2023-02-11T00:00:00"/>
    <x v="345"/>
    <x v="0"/>
    <x v="42"/>
    <x v="0"/>
    <x v="1"/>
    <x v="1"/>
    <n v="500"/>
    <x v="1"/>
    <x v="1"/>
    <x v="0"/>
    <x v="1"/>
    <x v="3"/>
    <x v="1"/>
  </r>
  <r>
    <n v="347"/>
    <d v="2023-08-03T00:00:00"/>
    <x v="346"/>
    <x v="0"/>
    <x v="13"/>
    <x v="0"/>
    <x v="2"/>
    <x v="2"/>
    <n v="25"/>
    <x v="16"/>
    <x v="0"/>
    <x v="0"/>
    <x v="3"/>
    <x v="6"/>
    <x v="8"/>
  </r>
  <r>
    <n v="348"/>
    <d v="2023-12-03T00:00:00"/>
    <x v="347"/>
    <x v="1"/>
    <x v="10"/>
    <x v="0"/>
    <x v="2"/>
    <x v="1"/>
    <n v="300"/>
    <x v="6"/>
    <x v="1"/>
    <x v="0"/>
    <x v="0"/>
    <x v="2"/>
    <x v="6"/>
  </r>
  <r>
    <n v="349"/>
    <d v="2023-10-26T00:00:00"/>
    <x v="348"/>
    <x v="1"/>
    <x v="35"/>
    <x v="0"/>
    <x v="0"/>
    <x v="2"/>
    <n v="50"/>
    <x v="5"/>
    <x v="0"/>
    <x v="0"/>
    <x v="0"/>
    <x v="6"/>
    <x v="7"/>
  </r>
  <r>
    <n v="350"/>
    <d v="2023-10-17T00:00:00"/>
    <x v="349"/>
    <x v="0"/>
    <x v="36"/>
    <x v="1"/>
    <x v="0"/>
    <x v="0"/>
    <n v="25"/>
    <x v="8"/>
    <x v="0"/>
    <x v="0"/>
    <x v="0"/>
    <x v="4"/>
    <x v="7"/>
  </r>
  <r>
    <n v="351"/>
    <d v="2023-09-25T00:00:00"/>
    <x v="350"/>
    <x v="1"/>
    <x v="37"/>
    <x v="0"/>
    <x v="1"/>
    <x v="0"/>
    <n v="30"/>
    <x v="15"/>
    <x v="0"/>
    <x v="0"/>
    <x v="3"/>
    <x v="1"/>
    <x v="9"/>
  </r>
  <r>
    <n v="352"/>
    <d v="2023-06-11T00:00:00"/>
    <x v="351"/>
    <x v="0"/>
    <x v="35"/>
    <x v="0"/>
    <x v="2"/>
    <x v="1"/>
    <n v="500"/>
    <x v="1"/>
    <x v="1"/>
    <x v="0"/>
    <x v="2"/>
    <x v="2"/>
    <x v="10"/>
  </r>
  <r>
    <n v="353"/>
    <d v="2023-05-14T00:00:00"/>
    <x v="352"/>
    <x v="0"/>
    <x v="33"/>
    <x v="0"/>
    <x v="2"/>
    <x v="2"/>
    <n v="500"/>
    <x v="3"/>
    <x v="0"/>
    <x v="0"/>
    <x v="2"/>
    <x v="2"/>
    <x v="3"/>
  </r>
  <r>
    <n v="354"/>
    <d v="2023-04-15T00:00:00"/>
    <x v="353"/>
    <x v="1"/>
    <x v="19"/>
    <x v="0"/>
    <x v="0"/>
    <x v="3"/>
    <n v="50"/>
    <x v="7"/>
    <x v="0"/>
    <x v="0"/>
    <x v="2"/>
    <x v="3"/>
    <x v="4"/>
  </r>
  <r>
    <n v="355"/>
    <d v="2023-12-09T00:00:00"/>
    <x v="354"/>
    <x v="1"/>
    <x v="28"/>
    <x v="0"/>
    <x v="2"/>
    <x v="2"/>
    <n v="500"/>
    <x v="3"/>
    <x v="0"/>
    <x v="0"/>
    <x v="0"/>
    <x v="3"/>
    <x v="6"/>
  </r>
  <r>
    <n v="356"/>
    <d v="2023-06-10T00:00:00"/>
    <x v="355"/>
    <x v="0"/>
    <x v="2"/>
    <x v="0"/>
    <x v="2"/>
    <x v="0"/>
    <n v="500"/>
    <x v="9"/>
    <x v="1"/>
    <x v="0"/>
    <x v="2"/>
    <x v="3"/>
    <x v="10"/>
  </r>
  <r>
    <n v="357"/>
    <d v="2023-05-03T00:00:00"/>
    <x v="356"/>
    <x v="1"/>
    <x v="30"/>
    <x v="0"/>
    <x v="2"/>
    <x v="0"/>
    <n v="25"/>
    <x v="8"/>
    <x v="0"/>
    <x v="0"/>
    <x v="2"/>
    <x v="5"/>
    <x v="3"/>
  </r>
  <r>
    <n v="358"/>
    <d v="2023-05-16T00:00:00"/>
    <x v="357"/>
    <x v="1"/>
    <x v="40"/>
    <x v="0"/>
    <x v="0"/>
    <x v="2"/>
    <n v="300"/>
    <x v="13"/>
    <x v="0"/>
    <x v="0"/>
    <x v="2"/>
    <x v="4"/>
    <x v="3"/>
  </r>
  <r>
    <n v="359"/>
    <d v="2023-07-22T00:00:00"/>
    <x v="358"/>
    <x v="0"/>
    <x v="2"/>
    <x v="0"/>
    <x v="1"/>
    <x v="2"/>
    <n v="50"/>
    <x v="5"/>
    <x v="0"/>
    <x v="0"/>
    <x v="3"/>
    <x v="3"/>
    <x v="11"/>
  </r>
  <r>
    <n v="360"/>
    <d v="2023-03-09T00:00:00"/>
    <x v="359"/>
    <x v="0"/>
    <x v="13"/>
    <x v="0"/>
    <x v="1"/>
    <x v="3"/>
    <n v="25"/>
    <x v="4"/>
    <x v="0"/>
    <x v="0"/>
    <x v="1"/>
    <x v="6"/>
    <x v="5"/>
  </r>
  <r>
    <n v="361"/>
    <d v="2023-12-10T00:00:00"/>
    <x v="360"/>
    <x v="1"/>
    <x v="0"/>
    <x v="0"/>
    <x v="2"/>
    <x v="3"/>
    <n v="300"/>
    <x v="14"/>
    <x v="1"/>
    <x v="0"/>
    <x v="0"/>
    <x v="2"/>
    <x v="6"/>
  </r>
  <r>
    <n v="362"/>
    <d v="2023-11-27T00:00:00"/>
    <x v="361"/>
    <x v="0"/>
    <x v="2"/>
    <x v="0"/>
    <x v="1"/>
    <x v="2"/>
    <n v="25"/>
    <x v="16"/>
    <x v="0"/>
    <x v="0"/>
    <x v="0"/>
    <x v="1"/>
    <x v="0"/>
  </r>
  <r>
    <n v="363"/>
    <d v="2023-06-03T00:00:00"/>
    <x v="362"/>
    <x v="0"/>
    <x v="12"/>
    <x v="2"/>
    <x v="0"/>
    <x v="2"/>
    <n v="25"/>
    <x v="16"/>
    <x v="0"/>
    <x v="0"/>
    <x v="2"/>
    <x v="3"/>
    <x v="10"/>
  </r>
  <r>
    <n v="364"/>
    <d v="2023-08-23T00:00:00"/>
    <x v="363"/>
    <x v="1"/>
    <x v="14"/>
    <x v="1"/>
    <x v="0"/>
    <x v="2"/>
    <n v="500"/>
    <x v="3"/>
    <x v="0"/>
    <x v="0"/>
    <x v="3"/>
    <x v="5"/>
    <x v="8"/>
  </r>
  <r>
    <n v="365"/>
    <d v="2023-06-11T00:00:00"/>
    <x v="364"/>
    <x v="0"/>
    <x v="33"/>
    <x v="0"/>
    <x v="1"/>
    <x v="2"/>
    <n v="300"/>
    <x v="13"/>
    <x v="0"/>
    <x v="0"/>
    <x v="2"/>
    <x v="2"/>
    <x v="10"/>
  </r>
  <r>
    <n v="366"/>
    <d v="2023-02-07T00:00:00"/>
    <x v="365"/>
    <x v="0"/>
    <x v="35"/>
    <x v="0"/>
    <x v="1"/>
    <x v="1"/>
    <n v="50"/>
    <x v="4"/>
    <x v="0"/>
    <x v="0"/>
    <x v="1"/>
    <x v="4"/>
    <x v="1"/>
  </r>
  <r>
    <n v="367"/>
    <d v="2023-01-05T00:00:00"/>
    <x v="366"/>
    <x v="1"/>
    <x v="35"/>
    <x v="0"/>
    <x v="2"/>
    <x v="2"/>
    <n v="50"/>
    <x v="5"/>
    <x v="0"/>
    <x v="0"/>
    <x v="1"/>
    <x v="6"/>
    <x v="2"/>
  </r>
  <r>
    <n v="368"/>
    <d v="2023-08-23T00:00:00"/>
    <x v="367"/>
    <x v="1"/>
    <x v="37"/>
    <x v="0"/>
    <x v="1"/>
    <x v="3"/>
    <n v="300"/>
    <x v="14"/>
    <x v="1"/>
    <x v="0"/>
    <x v="3"/>
    <x v="5"/>
    <x v="8"/>
  </r>
  <r>
    <n v="369"/>
    <d v="2023-11-15T00:00:00"/>
    <x v="368"/>
    <x v="0"/>
    <x v="9"/>
    <x v="1"/>
    <x v="2"/>
    <x v="0"/>
    <n v="500"/>
    <x v="9"/>
    <x v="1"/>
    <x v="0"/>
    <x v="0"/>
    <x v="5"/>
    <x v="0"/>
  </r>
  <r>
    <n v="370"/>
    <d v="2023-10-16T00:00:00"/>
    <x v="369"/>
    <x v="0"/>
    <x v="9"/>
    <x v="1"/>
    <x v="2"/>
    <x v="1"/>
    <n v="30"/>
    <x v="17"/>
    <x v="0"/>
    <x v="0"/>
    <x v="0"/>
    <x v="1"/>
    <x v="7"/>
  </r>
  <r>
    <n v="371"/>
    <d v="2023-02-21T00:00:00"/>
    <x v="370"/>
    <x v="1"/>
    <x v="29"/>
    <x v="1"/>
    <x v="0"/>
    <x v="2"/>
    <n v="25"/>
    <x v="16"/>
    <x v="0"/>
    <x v="0"/>
    <x v="1"/>
    <x v="4"/>
    <x v="1"/>
  </r>
  <r>
    <n v="372"/>
    <d v="2023-02-07T00:00:00"/>
    <x v="371"/>
    <x v="1"/>
    <x v="46"/>
    <x v="1"/>
    <x v="0"/>
    <x v="0"/>
    <n v="500"/>
    <x v="9"/>
    <x v="1"/>
    <x v="0"/>
    <x v="1"/>
    <x v="4"/>
    <x v="1"/>
  </r>
  <r>
    <n v="373"/>
    <d v="2023-10-03T00:00:00"/>
    <x v="372"/>
    <x v="1"/>
    <x v="36"/>
    <x v="1"/>
    <x v="0"/>
    <x v="1"/>
    <n v="300"/>
    <x v="6"/>
    <x v="1"/>
    <x v="0"/>
    <x v="0"/>
    <x v="4"/>
    <x v="7"/>
  </r>
  <r>
    <n v="374"/>
    <d v="2023-04-20T00:00:00"/>
    <x v="373"/>
    <x v="1"/>
    <x v="42"/>
    <x v="0"/>
    <x v="0"/>
    <x v="0"/>
    <n v="25"/>
    <x v="8"/>
    <x v="0"/>
    <x v="0"/>
    <x v="2"/>
    <x v="6"/>
    <x v="4"/>
  </r>
  <r>
    <n v="375"/>
    <d v="2023-09-17T00:00:00"/>
    <x v="374"/>
    <x v="0"/>
    <x v="40"/>
    <x v="0"/>
    <x v="1"/>
    <x v="2"/>
    <n v="50"/>
    <x v="5"/>
    <x v="0"/>
    <x v="0"/>
    <x v="3"/>
    <x v="2"/>
    <x v="9"/>
  </r>
  <r>
    <n v="376"/>
    <d v="2023-05-16T00:00:00"/>
    <x v="375"/>
    <x v="1"/>
    <x v="12"/>
    <x v="2"/>
    <x v="0"/>
    <x v="2"/>
    <n v="30"/>
    <x v="2"/>
    <x v="0"/>
    <x v="0"/>
    <x v="2"/>
    <x v="4"/>
    <x v="3"/>
  </r>
  <r>
    <n v="377"/>
    <d v="2023-03-09T00:00:00"/>
    <x v="376"/>
    <x v="1"/>
    <x v="6"/>
    <x v="0"/>
    <x v="1"/>
    <x v="3"/>
    <n v="50"/>
    <x v="7"/>
    <x v="0"/>
    <x v="0"/>
    <x v="1"/>
    <x v="6"/>
    <x v="5"/>
  </r>
  <r>
    <n v="378"/>
    <d v="2023-06-28T00:00:00"/>
    <x v="377"/>
    <x v="0"/>
    <x v="2"/>
    <x v="0"/>
    <x v="0"/>
    <x v="2"/>
    <n v="300"/>
    <x v="13"/>
    <x v="0"/>
    <x v="0"/>
    <x v="2"/>
    <x v="5"/>
    <x v="10"/>
  </r>
  <r>
    <n v="379"/>
    <d v="2023-02-05T00:00:00"/>
    <x v="378"/>
    <x v="1"/>
    <x v="16"/>
    <x v="0"/>
    <x v="1"/>
    <x v="2"/>
    <n v="25"/>
    <x v="16"/>
    <x v="0"/>
    <x v="0"/>
    <x v="1"/>
    <x v="2"/>
    <x v="1"/>
  </r>
  <r>
    <n v="380"/>
    <d v="2023-05-06T00:00:00"/>
    <x v="379"/>
    <x v="0"/>
    <x v="37"/>
    <x v="0"/>
    <x v="2"/>
    <x v="1"/>
    <n v="300"/>
    <x v="6"/>
    <x v="1"/>
    <x v="0"/>
    <x v="2"/>
    <x v="3"/>
    <x v="3"/>
  </r>
  <r>
    <n v="381"/>
    <d v="2023-07-09T00:00:00"/>
    <x v="380"/>
    <x v="1"/>
    <x v="24"/>
    <x v="0"/>
    <x v="1"/>
    <x v="3"/>
    <n v="25"/>
    <x v="4"/>
    <x v="0"/>
    <x v="0"/>
    <x v="3"/>
    <x v="2"/>
    <x v="11"/>
  </r>
  <r>
    <n v="382"/>
    <d v="2023-05-26T00:00:00"/>
    <x v="381"/>
    <x v="1"/>
    <x v="45"/>
    <x v="0"/>
    <x v="1"/>
    <x v="1"/>
    <n v="500"/>
    <x v="1"/>
    <x v="1"/>
    <x v="0"/>
    <x v="2"/>
    <x v="0"/>
    <x v="3"/>
  </r>
  <r>
    <n v="383"/>
    <d v="2023-03-22T00:00:00"/>
    <x v="382"/>
    <x v="1"/>
    <x v="6"/>
    <x v="0"/>
    <x v="0"/>
    <x v="0"/>
    <n v="30"/>
    <x v="15"/>
    <x v="0"/>
    <x v="0"/>
    <x v="1"/>
    <x v="5"/>
    <x v="5"/>
  </r>
  <r>
    <n v="384"/>
    <d v="2023-08-13T00:00:00"/>
    <x v="383"/>
    <x v="0"/>
    <x v="28"/>
    <x v="0"/>
    <x v="1"/>
    <x v="2"/>
    <n v="500"/>
    <x v="3"/>
    <x v="0"/>
    <x v="0"/>
    <x v="3"/>
    <x v="2"/>
    <x v="8"/>
  </r>
  <r>
    <n v="385"/>
    <d v="2023-10-06T00:00:00"/>
    <x v="384"/>
    <x v="0"/>
    <x v="2"/>
    <x v="0"/>
    <x v="2"/>
    <x v="0"/>
    <n v="500"/>
    <x v="9"/>
    <x v="1"/>
    <x v="0"/>
    <x v="0"/>
    <x v="0"/>
    <x v="7"/>
  </r>
  <r>
    <n v="386"/>
    <d v="2023-12-27T00:00:00"/>
    <x v="385"/>
    <x v="1"/>
    <x v="31"/>
    <x v="0"/>
    <x v="2"/>
    <x v="1"/>
    <n v="300"/>
    <x v="6"/>
    <x v="1"/>
    <x v="0"/>
    <x v="0"/>
    <x v="5"/>
    <x v="6"/>
  </r>
  <r>
    <n v="387"/>
    <d v="2023-06-04T00:00:00"/>
    <x v="386"/>
    <x v="0"/>
    <x v="24"/>
    <x v="0"/>
    <x v="0"/>
    <x v="2"/>
    <n v="30"/>
    <x v="2"/>
    <x v="0"/>
    <x v="0"/>
    <x v="2"/>
    <x v="2"/>
    <x v="10"/>
  </r>
  <r>
    <n v="388"/>
    <d v="2023-11-10T00:00:00"/>
    <x v="387"/>
    <x v="0"/>
    <x v="2"/>
    <x v="0"/>
    <x v="2"/>
    <x v="2"/>
    <n v="25"/>
    <x v="16"/>
    <x v="0"/>
    <x v="0"/>
    <x v="0"/>
    <x v="0"/>
    <x v="0"/>
  </r>
  <r>
    <n v="389"/>
    <d v="2023-12-01T00:00:00"/>
    <x v="388"/>
    <x v="0"/>
    <x v="34"/>
    <x v="1"/>
    <x v="1"/>
    <x v="1"/>
    <n v="25"/>
    <x v="5"/>
    <x v="0"/>
    <x v="0"/>
    <x v="0"/>
    <x v="0"/>
    <x v="6"/>
  </r>
  <r>
    <n v="390"/>
    <d v="2023-09-28T00:00:00"/>
    <x v="389"/>
    <x v="0"/>
    <x v="23"/>
    <x v="0"/>
    <x v="2"/>
    <x v="1"/>
    <n v="50"/>
    <x v="4"/>
    <x v="0"/>
    <x v="0"/>
    <x v="3"/>
    <x v="6"/>
    <x v="9"/>
  </r>
  <r>
    <n v="391"/>
    <d v="2023-01-05T00:00:00"/>
    <x v="390"/>
    <x v="0"/>
    <x v="14"/>
    <x v="1"/>
    <x v="0"/>
    <x v="1"/>
    <n v="25"/>
    <x v="5"/>
    <x v="0"/>
    <x v="0"/>
    <x v="1"/>
    <x v="6"/>
    <x v="2"/>
  </r>
  <r>
    <n v="392"/>
    <d v="2023-12-08T00:00:00"/>
    <x v="391"/>
    <x v="0"/>
    <x v="15"/>
    <x v="1"/>
    <x v="1"/>
    <x v="1"/>
    <n v="300"/>
    <x v="6"/>
    <x v="1"/>
    <x v="0"/>
    <x v="0"/>
    <x v="0"/>
    <x v="6"/>
  </r>
  <r>
    <n v="393"/>
    <d v="2023-10-11T00:00:00"/>
    <x v="392"/>
    <x v="1"/>
    <x v="11"/>
    <x v="1"/>
    <x v="0"/>
    <x v="1"/>
    <n v="500"/>
    <x v="1"/>
    <x v="1"/>
    <x v="0"/>
    <x v="0"/>
    <x v="5"/>
    <x v="7"/>
  </r>
  <r>
    <n v="394"/>
    <d v="2023-06-03T00:00:00"/>
    <x v="393"/>
    <x v="1"/>
    <x v="15"/>
    <x v="1"/>
    <x v="1"/>
    <x v="2"/>
    <n v="500"/>
    <x v="3"/>
    <x v="0"/>
    <x v="0"/>
    <x v="2"/>
    <x v="3"/>
    <x v="10"/>
  </r>
  <r>
    <n v="395"/>
    <d v="2023-12-06T00:00:00"/>
    <x v="394"/>
    <x v="0"/>
    <x v="2"/>
    <x v="0"/>
    <x v="2"/>
    <x v="1"/>
    <n v="500"/>
    <x v="1"/>
    <x v="1"/>
    <x v="0"/>
    <x v="0"/>
    <x v="5"/>
    <x v="6"/>
  </r>
  <r>
    <n v="396"/>
    <d v="2023-02-23T00:00:00"/>
    <x v="395"/>
    <x v="1"/>
    <x v="28"/>
    <x v="0"/>
    <x v="0"/>
    <x v="2"/>
    <n v="30"/>
    <x v="2"/>
    <x v="0"/>
    <x v="0"/>
    <x v="1"/>
    <x v="6"/>
    <x v="1"/>
  </r>
  <r>
    <n v="397"/>
    <d v="2023-03-10T00:00:00"/>
    <x v="396"/>
    <x v="1"/>
    <x v="4"/>
    <x v="1"/>
    <x v="0"/>
    <x v="2"/>
    <n v="25"/>
    <x v="16"/>
    <x v="0"/>
    <x v="0"/>
    <x v="1"/>
    <x v="0"/>
    <x v="5"/>
  </r>
  <r>
    <n v="398"/>
    <d v="2023-05-16T00:00:00"/>
    <x v="397"/>
    <x v="1"/>
    <x v="27"/>
    <x v="0"/>
    <x v="1"/>
    <x v="1"/>
    <n v="300"/>
    <x v="6"/>
    <x v="1"/>
    <x v="0"/>
    <x v="2"/>
    <x v="4"/>
    <x v="3"/>
  </r>
  <r>
    <n v="399"/>
    <d v="2023-03-01T00:00:00"/>
    <x v="398"/>
    <x v="1"/>
    <x v="12"/>
    <x v="2"/>
    <x v="0"/>
    <x v="1"/>
    <n v="30"/>
    <x v="17"/>
    <x v="0"/>
    <x v="0"/>
    <x v="1"/>
    <x v="5"/>
    <x v="5"/>
  </r>
  <r>
    <n v="400"/>
    <d v="2023-02-24T00:00:00"/>
    <x v="399"/>
    <x v="0"/>
    <x v="45"/>
    <x v="0"/>
    <x v="1"/>
    <x v="3"/>
    <n v="50"/>
    <x v="7"/>
    <x v="0"/>
    <x v="0"/>
    <x v="1"/>
    <x v="0"/>
    <x v="1"/>
  </r>
  <r>
    <n v="401"/>
    <d v="2023-10-11T00:00:00"/>
    <x v="400"/>
    <x v="1"/>
    <x v="17"/>
    <x v="2"/>
    <x v="1"/>
    <x v="2"/>
    <n v="300"/>
    <x v="13"/>
    <x v="0"/>
    <x v="0"/>
    <x v="0"/>
    <x v="5"/>
    <x v="7"/>
  </r>
  <r>
    <n v="402"/>
    <d v="2023-03-21T00:00:00"/>
    <x v="401"/>
    <x v="1"/>
    <x v="41"/>
    <x v="0"/>
    <x v="1"/>
    <x v="1"/>
    <n v="300"/>
    <x v="6"/>
    <x v="1"/>
    <x v="0"/>
    <x v="1"/>
    <x v="4"/>
    <x v="5"/>
  </r>
  <r>
    <n v="403"/>
    <d v="2023-05-20T00:00:00"/>
    <x v="402"/>
    <x v="0"/>
    <x v="40"/>
    <x v="0"/>
    <x v="1"/>
    <x v="1"/>
    <n v="300"/>
    <x v="6"/>
    <x v="1"/>
    <x v="0"/>
    <x v="2"/>
    <x v="3"/>
    <x v="3"/>
  </r>
  <r>
    <n v="404"/>
    <d v="2023-05-25T00:00:00"/>
    <x v="403"/>
    <x v="0"/>
    <x v="6"/>
    <x v="0"/>
    <x v="2"/>
    <x v="1"/>
    <n v="500"/>
    <x v="1"/>
    <x v="1"/>
    <x v="0"/>
    <x v="2"/>
    <x v="6"/>
    <x v="3"/>
  </r>
  <r>
    <n v="405"/>
    <d v="2023-11-06T00:00:00"/>
    <x v="404"/>
    <x v="1"/>
    <x v="36"/>
    <x v="1"/>
    <x v="1"/>
    <x v="3"/>
    <n v="300"/>
    <x v="14"/>
    <x v="1"/>
    <x v="0"/>
    <x v="0"/>
    <x v="1"/>
    <x v="0"/>
  </r>
  <r>
    <n v="406"/>
    <d v="2023-04-18T00:00:00"/>
    <x v="405"/>
    <x v="1"/>
    <x v="11"/>
    <x v="1"/>
    <x v="0"/>
    <x v="3"/>
    <n v="25"/>
    <x v="4"/>
    <x v="0"/>
    <x v="0"/>
    <x v="2"/>
    <x v="4"/>
    <x v="4"/>
  </r>
  <r>
    <n v="407"/>
    <d v="2023-06-25T00:00:00"/>
    <x v="406"/>
    <x v="1"/>
    <x v="6"/>
    <x v="0"/>
    <x v="2"/>
    <x v="0"/>
    <n v="300"/>
    <x v="12"/>
    <x v="1"/>
    <x v="0"/>
    <x v="2"/>
    <x v="2"/>
    <x v="10"/>
  </r>
  <r>
    <n v="408"/>
    <d v="2023-04-15T00:00:00"/>
    <x v="407"/>
    <x v="1"/>
    <x v="12"/>
    <x v="2"/>
    <x v="0"/>
    <x v="2"/>
    <n v="500"/>
    <x v="3"/>
    <x v="0"/>
    <x v="0"/>
    <x v="2"/>
    <x v="3"/>
    <x v="4"/>
  </r>
  <r>
    <n v="409"/>
    <d v="2023-12-18T00:00:00"/>
    <x v="408"/>
    <x v="1"/>
    <x v="34"/>
    <x v="1"/>
    <x v="2"/>
    <x v="0"/>
    <n v="300"/>
    <x v="12"/>
    <x v="1"/>
    <x v="0"/>
    <x v="0"/>
    <x v="1"/>
    <x v="6"/>
  </r>
  <r>
    <n v="410"/>
    <d v="2023-11-21T00:00:00"/>
    <x v="409"/>
    <x v="1"/>
    <x v="38"/>
    <x v="1"/>
    <x v="1"/>
    <x v="1"/>
    <n v="50"/>
    <x v="4"/>
    <x v="0"/>
    <x v="0"/>
    <x v="0"/>
    <x v="4"/>
    <x v="0"/>
  </r>
  <r>
    <n v="411"/>
    <d v="2023-05-16T00:00:00"/>
    <x v="410"/>
    <x v="0"/>
    <x v="17"/>
    <x v="2"/>
    <x v="2"/>
    <x v="3"/>
    <n v="50"/>
    <x v="7"/>
    <x v="0"/>
    <x v="0"/>
    <x v="2"/>
    <x v="4"/>
    <x v="3"/>
  </r>
  <r>
    <n v="412"/>
    <d v="2023-09-16T00:00:00"/>
    <x v="411"/>
    <x v="1"/>
    <x v="14"/>
    <x v="1"/>
    <x v="2"/>
    <x v="3"/>
    <n v="500"/>
    <x v="11"/>
    <x v="2"/>
    <x v="0"/>
    <x v="3"/>
    <x v="3"/>
    <x v="9"/>
  </r>
  <r>
    <n v="413"/>
    <d v="2023-09-08T00:00:00"/>
    <x v="412"/>
    <x v="1"/>
    <x v="24"/>
    <x v="0"/>
    <x v="0"/>
    <x v="0"/>
    <n v="25"/>
    <x v="8"/>
    <x v="0"/>
    <x v="0"/>
    <x v="3"/>
    <x v="0"/>
    <x v="9"/>
  </r>
  <r>
    <n v="414"/>
    <d v="2023-05-09T00:00:00"/>
    <x v="413"/>
    <x v="0"/>
    <x v="27"/>
    <x v="0"/>
    <x v="0"/>
    <x v="3"/>
    <n v="25"/>
    <x v="4"/>
    <x v="0"/>
    <x v="0"/>
    <x v="2"/>
    <x v="4"/>
    <x v="3"/>
  </r>
  <r>
    <n v="415"/>
    <d v="2023-01-27T00:00:00"/>
    <x v="414"/>
    <x v="0"/>
    <x v="45"/>
    <x v="0"/>
    <x v="1"/>
    <x v="1"/>
    <n v="30"/>
    <x v="17"/>
    <x v="0"/>
    <x v="0"/>
    <x v="1"/>
    <x v="0"/>
    <x v="2"/>
  </r>
  <r>
    <n v="416"/>
    <d v="2023-02-17T00:00:00"/>
    <x v="415"/>
    <x v="0"/>
    <x v="45"/>
    <x v="0"/>
    <x v="2"/>
    <x v="3"/>
    <n v="500"/>
    <x v="11"/>
    <x v="2"/>
    <x v="0"/>
    <x v="1"/>
    <x v="0"/>
    <x v="1"/>
  </r>
  <r>
    <n v="417"/>
    <d v="2023-11-21T00:00:00"/>
    <x v="416"/>
    <x v="0"/>
    <x v="22"/>
    <x v="0"/>
    <x v="2"/>
    <x v="0"/>
    <n v="300"/>
    <x v="12"/>
    <x v="1"/>
    <x v="0"/>
    <x v="0"/>
    <x v="4"/>
    <x v="0"/>
  </r>
  <r>
    <n v="418"/>
    <d v="2023-08-05T00:00:00"/>
    <x v="417"/>
    <x v="1"/>
    <x v="43"/>
    <x v="0"/>
    <x v="2"/>
    <x v="1"/>
    <n v="500"/>
    <x v="1"/>
    <x v="1"/>
    <x v="0"/>
    <x v="3"/>
    <x v="3"/>
    <x v="8"/>
  </r>
  <r>
    <n v="419"/>
    <d v="2023-05-22T00:00:00"/>
    <x v="418"/>
    <x v="1"/>
    <x v="24"/>
    <x v="0"/>
    <x v="1"/>
    <x v="0"/>
    <n v="30"/>
    <x v="15"/>
    <x v="0"/>
    <x v="0"/>
    <x v="2"/>
    <x v="1"/>
    <x v="3"/>
  </r>
  <r>
    <n v="420"/>
    <d v="2023-01-23T00:00:00"/>
    <x v="419"/>
    <x v="1"/>
    <x v="11"/>
    <x v="1"/>
    <x v="1"/>
    <x v="3"/>
    <n v="500"/>
    <x v="11"/>
    <x v="2"/>
    <x v="0"/>
    <x v="1"/>
    <x v="1"/>
    <x v="2"/>
  </r>
  <r>
    <n v="421"/>
    <d v="2023-01-02T00:00:00"/>
    <x v="420"/>
    <x v="1"/>
    <x v="3"/>
    <x v="0"/>
    <x v="1"/>
    <x v="0"/>
    <n v="500"/>
    <x v="9"/>
    <x v="1"/>
    <x v="0"/>
    <x v="1"/>
    <x v="1"/>
    <x v="2"/>
  </r>
  <r>
    <n v="422"/>
    <d v="2023-06-20T00:00:00"/>
    <x v="421"/>
    <x v="1"/>
    <x v="20"/>
    <x v="1"/>
    <x v="1"/>
    <x v="0"/>
    <n v="30"/>
    <x v="15"/>
    <x v="0"/>
    <x v="0"/>
    <x v="2"/>
    <x v="4"/>
    <x v="10"/>
  </r>
  <r>
    <n v="423"/>
    <d v="2023-03-08T00:00:00"/>
    <x v="422"/>
    <x v="1"/>
    <x v="15"/>
    <x v="1"/>
    <x v="1"/>
    <x v="2"/>
    <n v="25"/>
    <x v="16"/>
    <x v="0"/>
    <x v="0"/>
    <x v="1"/>
    <x v="5"/>
    <x v="5"/>
  </r>
  <r>
    <n v="424"/>
    <d v="2023-11-23T00:00:00"/>
    <x v="423"/>
    <x v="0"/>
    <x v="35"/>
    <x v="0"/>
    <x v="0"/>
    <x v="3"/>
    <n v="300"/>
    <x v="14"/>
    <x v="1"/>
    <x v="0"/>
    <x v="0"/>
    <x v="6"/>
    <x v="0"/>
  </r>
  <r>
    <n v="425"/>
    <d v="2023-05-15T00:00:00"/>
    <x v="424"/>
    <x v="1"/>
    <x v="28"/>
    <x v="0"/>
    <x v="2"/>
    <x v="3"/>
    <n v="30"/>
    <x v="10"/>
    <x v="0"/>
    <x v="0"/>
    <x v="2"/>
    <x v="1"/>
    <x v="3"/>
  </r>
  <r>
    <n v="426"/>
    <d v="2023-03-24T00:00:00"/>
    <x v="425"/>
    <x v="0"/>
    <x v="9"/>
    <x v="1"/>
    <x v="2"/>
    <x v="0"/>
    <n v="50"/>
    <x v="0"/>
    <x v="0"/>
    <x v="0"/>
    <x v="1"/>
    <x v="0"/>
    <x v="5"/>
  </r>
  <r>
    <n v="427"/>
    <d v="2023-08-15T00:00:00"/>
    <x v="426"/>
    <x v="0"/>
    <x v="36"/>
    <x v="1"/>
    <x v="2"/>
    <x v="2"/>
    <n v="25"/>
    <x v="16"/>
    <x v="0"/>
    <x v="0"/>
    <x v="3"/>
    <x v="4"/>
    <x v="8"/>
  </r>
  <r>
    <n v="428"/>
    <d v="2023-10-10T00:00:00"/>
    <x v="427"/>
    <x v="1"/>
    <x v="30"/>
    <x v="0"/>
    <x v="2"/>
    <x v="3"/>
    <n v="50"/>
    <x v="7"/>
    <x v="0"/>
    <x v="0"/>
    <x v="0"/>
    <x v="4"/>
    <x v="7"/>
  </r>
  <r>
    <n v="429"/>
    <d v="2023-12-28T00:00:00"/>
    <x v="428"/>
    <x v="0"/>
    <x v="12"/>
    <x v="2"/>
    <x v="2"/>
    <x v="1"/>
    <n v="25"/>
    <x v="5"/>
    <x v="0"/>
    <x v="0"/>
    <x v="0"/>
    <x v="6"/>
    <x v="6"/>
  </r>
  <r>
    <n v="430"/>
    <d v="2023-08-07T00:00:00"/>
    <x v="429"/>
    <x v="1"/>
    <x v="22"/>
    <x v="0"/>
    <x v="2"/>
    <x v="0"/>
    <n v="300"/>
    <x v="12"/>
    <x v="1"/>
    <x v="0"/>
    <x v="3"/>
    <x v="1"/>
    <x v="8"/>
  </r>
  <r>
    <n v="431"/>
    <d v="2023-10-15T00:00:00"/>
    <x v="430"/>
    <x v="0"/>
    <x v="7"/>
    <x v="2"/>
    <x v="2"/>
    <x v="3"/>
    <n v="300"/>
    <x v="14"/>
    <x v="1"/>
    <x v="0"/>
    <x v="0"/>
    <x v="2"/>
    <x v="7"/>
  </r>
  <r>
    <n v="432"/>
    <d v="2023-01-05T00:00:00"/>
    <x v="431"/>
    <x v="1"/>
    <x v="43"/>
    <x v="0"/>
    <x v="2"/>
    <x v="1"/>
    <n v="500"/>
    <x v="1"/>
    <x v="1"/>
    <x v="0"/>
    <x v="1"/>
    <x v="6"/>
    <x v="2"/>
  </r>
  <r>
    <n v="433"/>
    <d v="2023-02-27T00:00:00"/>
    <x v="432"/>
    <x v="0"/>
    <x v="38"/>
    <x v="1"/>
    <x v="0"/>
    <x v="3"/>
    <n v="50"/>
    <x v="7"/>
    <x v="0"/>
    <x v="0"/>
    <x v="1"/>
    <x v="1"/>
    <x v="1"/>
  </r>
  <r>
    <n v="434"/>
    <d v="2023-02-08T00:00:00"/>
    <x v="433"/>
    <x v="1"/>
    <x v="22"/>
    <x v="0"/>
    <x v="2"/>
    <x v="1"/>
    <n v="25"/>
    <x v="5"/>
    <x v="0"/>
    <x v="0"/>
    <x v="1"/>
    <x v="5"/>
    <x v="1"/>
  </r>
  <r>
    <n v="435"/>
    <d v="2023-12-20T00:00:00"/>
    <x v="434"/>
    <x v="1"/>
    <x v="4"/>
    <x v="1"/>
    <x v="0"/>
    <x v="0"/>
    <n v="300"/>
    <x v="12"/>
    <x v="1"/>
    <x v="0"/>
    <x v="0"/>
    <x v="5"/>
    <x v="6"/>
  </r>
  <r>
    <n v="436"/>
    <d v="2023-03-18T00:00:00"/>
    <x v="435"/>
    <x v="1"/>
    <x v="35"/>
    <x v="0"/>
    <x v="1"/>
    <x v="3"/>
    <n v="30"/>
    <x v="10"/>
    <x v="0"/>
    <x v="0"/>
    <x v="1"/>
    <x v="3"/>
    <x v="5"/>
  </r>
  <r>
    <n v="437"/>
    <d v="2023-10-07T00:00:00"/>
    <x v="436"/>
    <x v="1"/>
    <x v="10"/>
    <x v="0"/>
    <x v="2"/>
    <x v="3"/>
    <n v="300"/>
    <x v="14"/>
    <x v="1"/>
    <x v="0"/>
    <x v="0"/>
    <x v="3"/>
    <x v="7"/>
  </r>
  <r>
    <n v="438"/>
    <d v="2023-01-19T00:00:00"/>
    <x v="437"/>
    <x v="1"/>
    <x v="13"/>
    <x v="0"/>
    <x v="1"/>
    <x v="2"/>
    <n v="30"/>
    <x v="2"/>
    <x v="0"/>
    <x v="0"/>
    <x v="1"/>
    <x v="6"/>
    <x v="2"/>
  </r>
  <r>
    <n v="439"/>
    <d v="2023-07-09T00:00:00"/>
    <x v="438"/>
    <x v="0"/>
    <x v="2"/>
    <x v="0"/>
    <x v="1"/>
    <x v="0"/>
    <n v="25"/>
    <x v="8"/>
    <x v="0"/>
    <x v="0"/>
    <x v="3"/>
    <x v="2"/>
    <x v="11"/>
  </r>
  <r>
    <n v="440"/>
    <d v="2023-10-26T00:00:00"/>
    <x v="439"/>
    <x v="0"/>
    <x v="12"/>
    <x v="2"/>
    <x v="1"/>
    <x v="1"/>
    <n v="300"/>
    <x v="6"/>
    <x v="1"/>
    <x v="0"/>
    <x v="0"/>
    <x v="6"/>
    <x v="7"/>
  </r>
  <r>
    <n v="441"/>
    <d v="2023-10-10T00:00:00"/>
    <x v="440"/>
    <x v="0"/>
    <x v="35"/>
    <x v="0"/>
    <x v="0"/>
    <x v="3"/>
    <n v="300"/>
    <x v="14"/>
    <x v="1"/>
    <x v="0"/>
    <x v="0"/>
    <x v="4"/>
    <x v="7"/>
  </r>
  <r>
    <n v="442"/>
    <d v="2023-03-17T00:00:00"/>
    <x v="441"/>
    <x v="1"/>
    <x v="43"/>
    <x v="0"/>
    <x v="1"/>
    <x v="3"/>
    <n v="25"/>
    <x v="4"/>
    <x v="0"/>
    <x v="0"/>
    <x v="1"/>
    <x v="0"/>
    <x v="5"/>
  </r>
  <r>
    <n v="443"/>
    <d v="2023-08-09T00:00:00"/>
    <x v="442"/>
    <x v="0"/>
    <x v="38"/>
    <x v="1"/>
    <x v="1"/>
    <x v="1"/>
    <n v="300"/>
    <x v="6"/>
    <x v="1"/>
    <x v="0"/>
    <x v="3"/>
    <x v="5"/>
    <x v="8"/>
  </r>
  <r>
    <n v="444"/>
    <d v="2023-03-07T00:00:00"/>
    <x v="443"/>
    <x v="1"/>
    <x v="39"/>
    <x v="2"/>
    <x v="1"/>
    <x v="0"/>
    <n v="30"/>
    <x v="15"/>
    <x v="0"/>
    <x v="0"/>
    <x v="1"/>
    <x v="4"/>
    <x v="5"/>
  </r>
  <r>
    <n v="445"/>
    <d v="2023-01-22T00:00:00"/>
    <x v="444"/>
    <x v="1"/>
    <x v="45"/>
    <x v="0"/>
    <x v="2"/>
    <x v="2"/>
    <n v="300"/>
    <x v="13"/>
    <x v="0"/>
    <x v="0"/>
    <x v="1"/>
    <x v="2"/>
    <x v="2"/>
  </r>
  <r>
    <n v="446"/>
    <d v="2023-06-07T00:00:00"/>
    <x v="445"/>
    <x v="0"/>
    <x v="34"/>
    <x v="1"/>
    <x v="2"/>
    <x v="2"/>
    <n v="50"/>
    <x v="5"/>
    <x v="0"/>
    <x v="0"/>
    <x v="2"/>
    <x v="5"/>
    <x v="10"/>
  </r>
  <r>
    <n v="447"/>
    <d v="2023-07-06T00:00:00"/>
    <x v="446"/>
    <x v="0"/>
    <x v="11"/>
    <x v="1"/>
    <x v="0"/>
    <x v="3"/>
    <n v="500"/>
    <x v="11"/>
    <x v="2"/>
    <x v="0"/>
    <x v="3"/>
    <x v="6"/>
    <x v="11"/>
  </r>
  <r>
    <n v="448"/>
    <d v="2023-01-21T00:00:00"/>
    <x v="447"/>
    <x v="1"/>
    <x v="31"/>
    <x v="0"/>
    <x v="0"/>
    <x v="1"/>
    <n v="30"/>
    <x v="17"/>
    <x v="0"/>
    <x v="0"/>
    <x v="1"/>
    <x v="3"/>
    <x v="2"/>
  </r>
  <r>
    <n v="449"/>
    <d v="2023-07-03T00:00:00"/>
    <x v="448"/>
    <x v="0"/>
    <x v="36"/>
    <x v="1"/>
    <x v="2"/>
    <x v="3"/>
    <n v="50"/>
    <x v="7"/>
    <x v="0"/>
    <x v="0"/>
    <x v="3"/>
    <x v="1"/>
    <x v="11"/>
  </r>
  <r>
    <n v="450"/>
    <d v="2023-04-18T00:00:00"/>
    <x v="449"/>
    <x v="1"/>
    <x v="42"/>
    <x v="0"/>
    <x v="0"/>
    <x v="1"/>
    <n v="25"/>
    <x v="5"/>
    <x v="0"/>
    <x v="0"/>
    <x v="2"/>
    <x v="4"/>
    <x v="4"/>
  </r>
  <r>
    <n v="451"/>
    <d v="2023-12-16T00:00:00"/>
    <x v="450"/>
    <x v="1"/>
    <x v="5"/>
    <x v="0"/>
    <x v="2"/>
    <x v="2"/>
    <n v="30"/>
    <x v="2"/>
    <x v="0"/>
    <x v="0"/>
    <x v="0"/>
    <x v="3"/>
    <x v="6"/>
  </r>
  <r>
    <n v="452"/>
    <d v="2023-05-08T00:00:00"/>
    <x v="451"/>
    <x v="1"/>
    <x v="27"/>
    <x v="0"/>
    <x v="1"/>
    <x v="0"/>
    <n v="500"/>
    <x v="9"/>
    <x v="1"/>
    <x v="0"/>
    <x v="2"/>
    <x v="1"/>
    <x v="3"/>
  </r>
  <r>
    <n v="453"/>
    <d v="2023-12-08T00:00:00"/>
    <x v="452"/>
    <x v="1"/>
    <x v="1"/>
    <x v="1"/>
    <x v="1"/>
    <x v="1"/>
    <n v="500"/>
    <x v="1"/>
    <x v="1"/>
    <x v="0"/>
    <x v="0"/>
    <x v="0"/>
    <x v="6"/>
  </r>
  <r>
    <n v="454"/>
    <d v="2023-02-22T00:00:00"/>
    <x v="453"/>
    <x v="1"/>
    <x v="6"/>
    <x v="0"/>
    <x v="0"/>
    <x v="2"/>
    <n v="25"/>
    <x v="16"/>
    <x v="0"/>
    <x v="0"/>
    <x v="1"/>
    <x v="5"/>
    <x v="1"/>
  </r>
  <r>
    <n v="455"/>
    <d v="2023-07-01T00:00:00"/>
    <x v="454"/>
    <x v="0"/>
    <x v="33"/>
    <x v="0"/>
    <x v="2"/>
    <x v="3"/>
    <n v="25"/>
    <x v="4"/>
    <x v="0"/>
    <x v="0"/>
    <x v="3"/>
    <x v="3"/>
    <x v="11"/>
  </r>
  <r>
    <n v="456"/>
    <d v="2023-10-14T00:00:00"/>
    <x v="455"/>
    <x v="0"/>
    <x v="35"/>
    <x v="0"/>
    <x v="2"/>
    <x v="1"/>
    <n v="30"/>
    <x v="17"/>
    <x v="0"/>
    <x v="0"/>
    <x v="0"/>
    <x v="3"/>
    <x v="7"/>
  </r>
  <r>
    <n v="457"/>
    <d v="2023-07-28T00:00:00"/>
    <x v="456"/>
    <x v="1"/>
    <x v="26"/>
    <x v="0"/>
    <x v="0"/>
    <x v="0"/>
    <n v="300"/>
    <x v="12"/>
    <x v="1"/>
    <x v="0"/>
    <x v="3"/>
    <x v="0"/>
    <x v="11"/>
  </r>
  <r>
    <n v="458"/>
    <d v="2023-11-14T00:00:00"/>
    <x v="457"/>
    <x v="1"/>
    <x v="23"/>
    <x v="0"/>
    <x v="2"/>
    <x v="3"/>
    <n v="25"/>
    <x v="4"/>
    <x v="0"/>
    <x v="0"/>
    <x v="0"/>
    <x v="4"/>
    <x v="0"/>
  </r>
  <r>
    <n v="459"/>
    <d v="2023-03-21T00:00:00"/>
    <x v="458"/>
    <x v="0"/>
    <x v="20"/>
    <x v="1"/>
    <x v="1"/>
    <x v="3"/>
    <n v="300"/>
    <x v="14"/>
    <x v="1"/>
    <x v="0"/>
    <x v="1"/>
    <x v="4"/>
    <x v="5"/>
  </r>
  <r>
    <n v="460"/>
    <d v="2023-05-02T00:00:00"/>
    <x v="459"/>
    <x v="0"/>
    <x v="30"/>
    <x v="0"/>
    <x v="0"/>
    <x v="2"/>
    <n v="50"/>
    <x v="5"/>
    <x v="0"/>
    <x v="0"/>
    <x v="2"/>
    <x v="4"/>
    <x v="3"/>
  </r>
  <r>
    <n v="461"/>
    <d v="2023-03-25T00:00:00"/>
    <x v="460"/>
    <x v="1"/>
    <x v="18"/>
    <x v="1"/>
    <x v="0"/>
    <x v="1"/>
    <n v="500"/>
    <x v="1"/>
    <x v="1"/>
    <x v="0"/>
    <x v="1"/>
    <x v="3"/>
    <x v="5"/>
  </r>
  <r>
    <n v="462"/>
    <d v="2023-04-01T00:00:00"/>
    <x v="461"/>
    <x v="0"/>
    <x v="7"/>
    <x v="2"/>
    <x v="2"/>
    <x v="3"/>
    <n v="300"/>
    <x v="14"/>
    <x v="1"/>
    <x v="0"/>
    <x v="2"/>
    <x v="3"/>
    <x v="4"/>
  </r>
  <r>
    <n v="463"/>
    <d v="2023-07-31T00:00:00"/>
    <x v="462"/>
    <x v="1"/>
    <x v="31"/>
    <x v="0"/>
    <x v="0"/>
    <x v="0"/>
    <n v="500"/>
    <x v="9"/>
    <x v="1"/>
    <x v="0"/>
    <x v="3"/>
    <x v="1"/>
    <x v="11"/>
  </r>
  <r>
    <n v="464"/>
    <d v="2023-01-13T00:00:00"/>
    <x v="463"/>
    <x v="0"/>
    <x v="21"/>
    <x v="0"/>
    <x v="2"/>
    <x v="1"/>
    <n v="300"/>
    <x v="6"/>
    <x v="1"/>
    <x v="0"/>
    <x v="1"/>
    <x v="0"/>
    <x v="2"/>
  </r>
  <r>
    <n v="465"/>
    <d v="2023-04-02T00:00:00"/>
    <x v="464"/>
    <x v="1"/>
    <x v="22"/>
    <x v="0"/>
    <x v="2"/>
    <x v="0"/>
    <n v="50"/>
    <x v="0"/>
    <x v="0"/>
    <x v="0"/>
    <x v="2"/>
    <x v="2"/>
    <x v="4"/>
  </r>
  <r>
    <n v="466"/>
    <d v="2023-06-20T00:00:00"/>
    <x v="465"/>
    <x v="0"/>
    <x v="7"/>
    <x v="2"/>
    <x v="2"/>
    <x v="3"/>
    <n v="25"/>
    <x v="4"/>
    <x v="0"/>
    <x v="0"/>
    <x v="2"/>
    <x v="4"/>
    <x v="10"/>
  </r>
  <r>
    <n v="467"/>
    <d v="2023-07-30T00:00:00"/>
    <x v="466"/>
    <x v="1"/>
    <x v="45"/>
    <x v="0"/>
    <x v="2"/>
    <x v="0"/>
    <n v="50"/>
    <x v="0"/>
    <x v="0"/>
    <x v="0"/>
    <x v="3"/>
    <x v="2"/>
    <x v="11"/>
  </r>
  <r>
    <n v="468"/>
    <d v="2023-12-09T00:00:00"/>
    <x v="467"/>
    <x v="0"/>
    <x v="30"/>
    <x v="0"/>
    <x v="2"/>
    <x v="2"/>
    <n v="25"/>
    <x v="16"/>
    <x v="0"/>
    <x v="0"/>
    <x v="0"/>
    <x v="3"/>
    <x v="6"/>
  </r>
  <r>
    <n v="469"/>
    <d v="2023-05-08T00:00:00"/>
    <x v="468"/>
    <x v="0"/>
    <x v="18"/>
    <x v="1"/>
    <x v="0"/>
    <x v="0"/>
    <n v="25"/>
    <x v="8"/>
    <x v="0"/>
    <x v="0"/>
    <x v="2"/>
    <x v="1"/>
    <x v="3"/>
  </r>
  <r>
    <n v="470"/>
    <d v="2023-05-17T00:00:00"/>
    <x v="469"/>
    <x v="1"/>
    <x v="35"/>
    <x v="0"/>
    <x v="1"/>
    <x v="1"/>
    <n v="500"/>
    <x v="1"/>
    <x v="1"/>
    <x v="0"/>
    <x v="2"/>
    <x v="5"/>
    <x v="3"/>
  </r>
  <r>
    <n v="471"/>
    <d v="2023-03-23T00:00:00"/>
    <x v="470"/>
    <x v="0"/>
    <x v="40"/>
    <x v="0"/>
    <x v="1"/>
    <x v="0"/>
    <n v="50"/>
    <x v="0"/>
    <x v="0"/>
    <x v="0"/>
    <x v="1"/>
    <x v="6"/>
    <x v="5"/>
  </r>
  <r>
    <n v="472"/>
    <d v="2023-12-26T00:00:00"/>
    <x v="471"/>
    <x v="1"/>
    <x v="21"/>
    <x v="0"/>
    <x v="0"/>
    <x v="0"/>
    <n v="300"/>
    <x v="12"/>
    <x v="1"/>
    <x v="0"/>
    <x v="0"/>
    <x v="4"/>
    <x v="6"/>
  </r>
  <r>
    <n v="473"/>
    <d v="2023-02-25T00:00:00"/>
    <x v="472"/>
    <x v="0"/>
    <x v="12"/>
    <x v="2"/>
    <x v="0"/>
    <x v="2"/>
    <n v="50"/>
    <x v="5"/>
    <x v="0"/>
    <x v="0"/>
    <x v="1"/>
    <x v="3"/>
    <x v="1"/>
  </r>
  <r>
    <n v="474"/>
    <d v="2023-07-15T00:00:00"/>
    <x v="473"/>
    <x v="1"/>
    <x v="1"/>
    <x v="1"/>
    <x v="1"/>
    <x v="0"/>
    <n v="500"/>
    <x v="9"/>
    <x v="1"/>
    <x v="0"/>
    <x v="3"/>
    <x v="3"/>
    <x v="11"/>
  </r>
  <r>
    <n v="475"/>
    <d v="2023-01-20T00:00:00"/>
    <x v="474"/>
    <x v="0"/>
    <x v="1"/>
    <x v="1"/>
    <x v="1"/>
    <x v="0"/>
    <n v="25"/>
    <x v="8"/>
    <x v="0"/>
    <x v="0"/>
    <x v="1"/>
    <x v="0"/>
    <x v="2"/>
  </r>
  <r>
    <n v="476"/>
    <d v="2023-08-29T00:00:00"/>
    <x v="475"/>
    <x v="1"/>
    <x v="15"/>
    <x v="1"/>
    <x v="1"/>
    <x v="3"/>
    <n v="500"/>
    <x v="11"/>
    <x v="2"/>
    <x v="0"/>
    <x v="3"/>
    <x v="4"/>
    <x v="8"/>
  </r>
  <r>
    <n v="477"/>
    <d v="2023-04-24T00:00:00"/>
    <x v="476"/>
    <x v="0"/>
    <x v="22"/>
    <x v="0"/>
    <x v="1"/>
    <x v="3"/>
    <n v="30"/>
    <x v="10"/>
    <x v="0"/>
    <x v="0"/>
    <x v="2"/>
    <x v="1"/>
    <x v="4"/>
  </r>
  <r>
    <n v="478"/>
    <d v="2023-04-13T00:00:00"/>
    <x v="477"/>
    <x v="1"/>
    <x v="26"/>
    <x v="0"/>
    <x v="1"/>
    <x v="1"/>
    <n v="30"/>
    <x v="17"/>
    <x v="0"/>
    <x v="0"/>
    <x v="2"/>
    <x v="6"/>
    <x v="4"/>
  </r>
  <r>
    <n v="479"/>
    <d v="2023-08-24T00:00:00"/>
    <x v="478"/>
    <x v="0"/>
    <x v="8"/>
    <x v="0"/>
    <x v="2"/>
    <x v="3"/>
    <n v="300"/>
    <x v="14"/>
    <x v="1"/>
    <x v="0"/>
    <x v="3"/>
    <x v="6"/>
    <x v="8"/>
  </r>
  <r>
    <n v="480"/>
    <d v="2023-06-29T00:00:00"/>
    <x v="479"/>
    <x v="1"/>
    <x v="13"/>
    <x v="0"/>
    <x v="0"/>
    <x v="3"/>
    <n v="500"/>
    <x v="11"/>
    <x v="2"/>
    <x v="0"/>
    <x v="2"/>
    <x v="6"/>
    <x v="10"/>
  </r>
  <r>
    <n v="481"/>
    <d v="2023-06-06T00:00:00"/>
    <x v="480"/>
    <x v="1"/>
    <x v="22"/>
    <x v="0"/>
    <x v="2"/>
    <x v="3"/>
    <n v="300"/>
    <x v="14"/>
    <x v="1"/>
    <x v="0"/>
    <x v="2"/>
    <x v="4"/>
    <x v="10"/>
  </r>
  <r>
    <n v="482"/>
    <d v="2023-04-27T00:00:00"/>
    <x v="481"/>
    <x v="1"/>
    <x v="20"/>
    <x v="1"/>
    <x v="1"/>
    <x v="3"/>
    <n v="300"/>
    <x v="14"/>
    <x v="1"/>
    <x v="0"/>
    <x v="2"/>
    <x v="6"/>
    <x v="4"/>
  </r>
  <r>
    <n v="483"/>
    <d v="2023-04-25T00:00:00"/>
    <x v="482"/>
    <x v="0"/>
    <x v="28"/>
    <x v="0"/>
    <x v="1"/>
    <x v="2"/>
    <n v="30"/>
    <x v="2"/>
    <x v="0"/>
    <x v="0"/>
    <x v="2"/>
    <x v="4"/>
    <x v="4"/>
  </r>
  <r>
    <n v="484"/>
    <d v="2023-01-13T00:00:00"/>
    <x v="483"/>
    <x v="1"/>
    <x v="14"/>
    <x v="1"/>
    <x v="1"/>
    <x v="3"/>
    <n v="300"/>
    <x v="14"/>
    <x v="1"/>
    <x v="0"/>
    <x v="1"/>
    <x v="0"/>
    <x v="2"/>
  </r>
  <r>
    <n v="485"/>
    <d v="2023-12-04T00:00:00"/>
    <x v="484"/>
    <x v="0"/>
    <x v="46"/>
    <x v="1"/>
    <x v="2"/>
    <x v="2"/>
    <n v="30"/>
    <x v="2"/>
    <x v="0"/>
    <x v="0"/>
    <x v="0"/>
    <x v="1"/>
    <x v="6"/>
  </r>
  <r>
    <n v="486"/>
    <d v="2023-04-09T00:00:00"/>
    <x v="485"/>
    <x v="1"/>
    <x v="10"/>
    <x v="0"/>
    <x v="2"/>
    <x v="2"/>
    <n v="25"/>
    <x v="16"/>
    <x v="0"/>
    <x v="0"/>
    <x v="2"/>
    <x v="2"/>
    <x v="4"/>
  </r>
  <r>
    <n v="487"/>
    <d v="2023-07-24T00:00:00"/>
    <x v="486"/>
    <x v="0"/>
    <x v="24"/>
    <x v="0"/>
    <x v="1"/>
    <x v="3"/>
    <n v="500"/>
    <x v="11"/>
    <x v="2"/>
    <x v="0"/>
    <x v="3"/>
    <x v="1"/>
    <x v="11"/>
  </r>
  <r>
    <n v="488"/>
    <d v="2023-06-18T00:00:00"/>
    <x v="487"/>
    <x v="1"/>
    <x v="25"/>
    <x v="0"/>
    <x v="2"/>
    <x v="0"/>
    <n v="300"/>
    <x v="12"/>
    <x v="1"/>
    <x v="0"/>
    <x v="2"/>
    <x v="2"/>
    <x v="10"/>
  </r>
  <r>
    <n v="489"/>
    <d v="2023-05-23T00:00:00"/>
    <x v="488"/>
    <x v="0"/>
    <x v="24"/>
    <x v="0"/>
    <x v="2"/>
    <x v="2"/>
    <n v="30"/>
    <x v="2"/>
    <x v="0"/>
    <x v="0"/>
    <x v="2"/>
    <x v="4"/>
    <x v="3"/>
  </r>
  <r>
    <n v="490"/>
    <d v="2023-02-05T00:00:00"/>
    <x v="489"/>
    <x v="0"/>
    <x v="0"/>
    <x v="0"/>
    <x v="1"/>
    <x v="0"/>
    <n v="50"/>
    <x v="0"/>
    <x v="0"/>
    <x v="0"/>
    <x v="1"/>
    <x v="2"/>
    <x v="1"/>
  </r>
  <r>
    <n v="491"/>
    <d v="2023-05-23T00:00:00"/>
    <x v="490"/>
    <x v="1"/>
    <x v="43"/>
    <x v="0"/>
    <x v="2"/>
    <x v="0"/>
    <n v="300"/>
    <x v="12"/>
    <x v="1"/>
    <x v="0"/>
    <x v="2"/>
    <x v="4"/>
    <x v="3"/>
  </r>
  <r>
    <n v="492"/>
    <d v="2023-06-29T00:00:00"/>
    <x v="491"/>
    <x v="0"/>
    <x v="39"/>
    <x v="2"/>
    <x v="0"/>
    <x v="3"/>
    <n v="25"/>
    <x v="4"/>
    <x v="0"/>
    <x v="0"/>
    <x v="2"/>
    <x v="6"/>
    <x v="10"/>
  </r>
  <r>
    <n v="493"/>
    <d v="2023-11-25T00:00:00"/>
    <x v="492"/>
    <x v="0"/>
    <x v="41"/>
    <x v="0"/>
    <x v="0"/>
    <x v="1"/>
    <n v="25"/>
    <x v="5"/>
    <x v="0"/>
    <x v="0"/>
    <x v="0"/>
    <x v="3"/>
    <x v="0"/>
  </r>
  <r>
    <n v="494"/>
    <d v="2023-09-18T00:00:00"/>
    <x v="493"/>
    <x v="1"/>
    <x v="13"/>
    <x v="0"/>
    <x v="0"/>
    <x v="3"/>
    <n v="50"/>
    <x v="7"/>
    <x v="0"/>
    <x v="0"/>
    <x v="3"/>
    <x v="1"/>
    <x v="9"/>
  </r>
  <r>
    <n v="495"/>
    <d v="2023-07-24T00:00:00"/>
    <x v="494"/>
    <x v="0"/>
    <x v="46"/>
    <x v="1"/>
    <x v="0"/>
    <x v="1"/>
    <n v="30"/>
    <x v="17"/>
    <x v="0"/>
    <x v="0"/>
    <x v="3"/>
    <x v="1"/>
    <x v="11"/>
  </r>
  <r>
    <n v="496"/>
    <d v="2023-12-14T00:00:00"/>
    <x v="495"/>
    <x v="0"/>
    <x v="9"/>
    <x v="1"/>
    <x v="1"/>
    <x v="1"/>
    <n v="300"/>
    <x v="6"/>
    <x v="1"/>
    <x v="0"/>
    <x v="0"/>
    <x v="6"/>
    <x v="6"/>
  </r>
  <r>
    <n v="497"/>
    <d v="2023-10-02T00:00:00"/>
    <x v="496"/>
    <x v="0"/>
    <x v="41"/>
    <x v="0"/>
    <x v="1"/>
    <x v="3"/>
    <n v="30"/>
    <x v="10"/>
    <x v="0"/>
    <x v="0"/>
    <x v="0"/>
    <x v="1"/>
    <x v="7"/>
  </r>
  <r>
    <n v="498"/>
    <d v="2023-06-19T00:00:00"/>
    <x v="497"/>
    <x v="1"/>
    <x v="2"/>
    <x v="0"/>
    <x v="1"/>
    <x v="3"/>
    <n v="25"/>
    <x v="4"/>
    <x v="0"/>
    <x v="0"/>
    <x v="2"/>
    <x v="1"/>
    <x v="10"/>
  </r>
  <r>
    <n v="499"/>
    <d v="2023-01-15T00:00:00"/>
    <x v="498"/>
    <x v="0"/>
    <x v="6"/>
    <x v="0"/>
    <x v="0"/>
    <x v="1"/>
    <n v="30"/>
    <x v="17"/>
    <x v="0"/>
    <x v="0"/>
    <x v="1"/>
    <x v="2"/>
    <x v="2"/>
  </r>
  <r>
    <n v="500"/>
    <d v="2023-03-01T00:00:00"/>
    <x v="499"/>
    <x v="1"/>
    <x v="43"/>
    <x v="0"/>
    <x v="0"/>
    <x v="3"/>
    <n v="25"/>
    <x v="4"/>
    <x v="0"/>
    <x v="0"/>
    <x v="1"/>
    <x v="5"/>
    <x v="5"/>
  </r>
  <r>
    <n v="501"/>
    <d v="2023-05-14T00:00:00"/>
    <x v="500"/>
    <x v="0"/>
    <x v="23"/>
    <x v="0"/>
    <x v="2"/>
    <x v="1"/>
    <n v="30"/>
    <x v="17"/>
    <x v="0"/>
    <x v="0"/>
    <x v="2"/>
    <x v="2"/>
    <x v="3"/>
  </r>
  <r>
    <n v="502"/>
    <d v="2023-04-02T00:00:00"/>
    <x v="501"/>
    <x v="0"/>
    <x v="22"/>
    <x v="0"/>
    <x v="2"/>
    <x v="0"/>
    <n v="50"/>
    <x v="0"/>
    <x v="0"/>
    <x v="0"/>
    <x v="2"/>
    <x v="2"/>
    <x v="4"/>
  </r>
  <r>
    <n v="503"/>
    <d v="2023-10-25T00:00:00"/>
    <x v="502"/>
    <x v="0"/>
    <x v="5"/>
    <x v="0"/>
    <x v="0"/>
    <x v="3"/>
    <n v="500"/>
    <x v="11"/>
    <x v="2"/>
    <x v="0"/>
    <x v="0"/>
    <x v="5"/>
    <x v="7"/>
  </r>
  <r>
    <n v="504"/>
    <d v="2023-05-16T00:00:00"/>
    <x v="503"/>
    <x v="1"/>
    <x v="21"/>
    <x v="0"/>
    <x v="0"/>
    <x v="0"/>
    <n v="50"/>
    <x v="0"/>
    <x v="0"/>
    <x v="0"/>
    <x v="2"/>
    <x v="4"/>
    <x v="3"/>
  </r>
  <r>
    <n v="505"/>
    <d v="2023-01-20T00:00:00"/>
    <x v="504"/>
    <x v="0"/>
    <x v="46"/>
    <x v="1"/>
    <x v="0"/>
    <x v="2"/>
    <n v="50"/>
    <x v="5"/>
    <x v="0"/>
    <x v="0"/>
    <x v="1"/>
    <x v="0"/>
    <x v="2"/>
  </r>
  <r>
    <n v="506"/>
    <d v="2023-02-25T00:00:00"/>
    <x v="505"/>
    <x v="0"/>
    <x v="0"/>
    <x v="0"/>
    <x v="0"/>
    <x v="0"/>
    <n v="500"/>
    <x v="9"/>
    <x v="1"/>
    <x v="0"/>
    <x v="1"/>
    <x v="3"/>
    <x v="1"/>
  </r>
  <r>
    <n v="507"/>
    <d v="2023-11-02T00:00:00"/>
    <x v="506"/>
    <x v="1"/>
    <x v="3"/>
    <x v="0"/>
    <x v="2"/>
    <x v="0"/>
    <n v="500"/>
    <x v="9"/>
    <x v="1"/>
    <x v="0"/>
    <x v="0"/>
    <x v="6"/>
    <x v="0"/>
  </r>
  <r>
    <n v="508"/>
    <d v="2023-08-11T00:00:00"/>
    <x v="507"/>
    <x v="0"/>
    <x v="26"/>
    <x v="0"/>
    <x v="0"/>
    <x v="1"/>
    <n v="300"/>
    <x v="6"/>
    <x v="1"/>
    <x v="0"/>
    <x v="3"/>
    <x v="0"/>
    <x v="8"/>
  </r>
  <r>
    <n v="509"/>
    <d v="2023-06-26T00:00:00"/>
    <x v="508"/>
    <x v="1"/>
    <x v="3"/>
    <x v="0"/>
    <x v="2"/>
    <x v="0"/>
    <n v="300"/>
    <x v="12"/>
    <x v="1"/>
    <x v="0"/>
    <x v="2"/>
    <x v="1"/>
    <x v="10"/>
  </r>
  <r>
    <n v="510"/>
    <d v="2023-06-10T00:00:00"/>
    <x v="509"/>
    <x v="1"/>
    <x v="23"/>
    <x v="0"/>
    <x v="0"/>
    <x v="3"/>
    <n v="50"/>
    <x v="7"/>
    <x v="0"/>
    <x v="0"/>
    <x v="2"/>
    <x v="3"/>
    <x v="10"/>
  </r>
  <r>
    <n v="511"/>
    <d v="2023-08-12T00:00:00"/>
    <x v="510"/>
    <x v="0"/>
    <x v="5"/>
    <x v="0"/>
    <x v="0"/>
    <x v="1"/>
    <n v="50"/>
    <x v="4"/>
    <x v="0"/>
    <x v="0"/>
    <x v="3"/>
    <x v="3"/>
    <x v="8"/>
  </r>
  <r>
    <n v="512"/>
    <d v="2023-11-07T00:00:00"/>
    <x v="511"/>
    <x v="1"/>
    <x v="35"/>
    <x v="0"/>
    <x v="0"/>
    <x v="2"/>
    <n v="25"/>
    <x v="16"/>
    <x v="0"/>
    <x v="0"/>
    <x v="0"/>
    <x v="4"/>
    <x v="0"/>
  </r>
  <r>
    <n v="513"/>
    <d v="2023-09-19T00:00:00"/>
    <x v="512"/>
    <x v="0"/>
    <x v="46"/>
    <x v="1"/>
    <x v="2"/>
    <x v="3"/>
    <n v="25"/>
    <x v="4"/>
    <x v="0"/>
    <x v="0"/>
    <x v="3"/>
    <x v="4"/>
    <x v="9"/>
  </r>
  <r>
    <n v="514"/>
    <d v="2023-03-01T00:00:00"/>
    <x v="513"/>
    <x v="1"/>
    <x v="18"/>
    <x v="1"/>
    <x v="2"/>
    <x v="2"/>
    <n v="300"/>
    <x v="13"/>
    <x v="0"/>
    <x v="0"/>
    <x v="1"/>
    <x v="5"/>
    <x v="5"/>
  </r>
  <r>
    <n v="515"/>
    <d v="2023-07-17T00:00:00"/>
    <x v="514"/>
    <x v="1"/>
    <x v="19"/>
    <x v="0"/>
    <x v="1"/>
    <x v="0"/>
    <n v="300"/>
    <x v="12"/>
    <x v="1"/>
    <x v="0"/>
    <x v="3"/>
    <x v="1"/>
    <x v="11"/>
  </r>
  <r>
    <n v="516"/>
    <d v="2023-10-23T00:00:00"/>
    <x v="515"/>
    <x v="0"/>
    <x v="4"/>
    <x v="1"/>
    <x v="0"/>
    <x v="3"/>
    <n v="25"/>
    <x v="4"/>
    <x v="0"/>
    <x v="0"/>
    <x v="0"/>
    <x v="1"/>
    <x v="7"/>
  </r>
  <r>
    <n v="517"/>
    <d v="2023-04-08T00:00:00"/>
    <x v="516"/>
    <x v="1"/>
    <x v="16"/>
    <x v="0"/>
    <x v="1"/>
    <x v="3"/>
    <n v="25"/>
    <x v="4"/>
    <x v="0"/>
    <x v="0"/>
    <x v="2"/>
    <x v="3"/>
    <x v="4"/>
  </r>
  <r>
    <n v="518"/>
    <d v="2023-05-11T00:00:00"/>
    <x v="517"/>
    <x v="1"/>
    <x v="30"/>
    <x v="0"/>
    <x v="1"/>
    <x v="2"/>
    <n v="30"/>
    <x v="2"/>
    <x v="0"/>
    <x v="0"/>
    <x v="2"/>
    <x v="6"/>
    <x v="3"/>
  </r>
  <r>
    <n v="519"/>
    <d v="2023-01-23T00:00:00"/>
    <x v="518"/>
    <x v="1"/>
    <x v="32"/>
    <x v="0"/>
    <x v="2"/>
    <x v="3"/>
    <n v="30"/>
    <x v="10"/>
    <x v="0"/>
    <x v="0"/>
    <x v="1"/>
    <x v="1"/>
    <x v="2"/>
  </r>
  <r>
    <n v="520"/>
    <d v="2023-12-29T00:00:00"/>
    <x v="519"/>
    <x v="1"/>
    <x v="19"/>
    <x v="0"/>
    <x v="2"/>
    <x v="3"/>
    <n v="25"/>
    <x v="4"/>
    <x v="0"/>
    <x v="0"/>
    <x v="0"/>
    <x v="0"/>
    <x v="6"/>
  </r>
  <r>
    <n v="521"/>
    <d v="2023-08-12T00:00:00"/>
    <x v="520"/>
    <x v="1"/>
    <x v="16"/>
    <x v="0"/>
    <x v="1"/>
    <x v="3"/>
    <n v="30"/>
    <x v="10"/>
    <x v="0"/>
    <x v="0"/>
    <x v="3"/>
    <x v="3"/>
    <x v="8"/>
  </r>
  <r>
    <n v="522"/>
    <d v="2023-01-01T00:00:00"/>
    <x v="521"/>
    <x v="0"/>
    <x v="6"/>
    <x v="0"/>
    <x v="0"/>
    <x v="0"/>
    <n v="500"/>
    <x v="9"/>
    <x v="1"/>
    <x v="0"/>
    <x v="1"/>
    <x v="2"/>
    <x v="2"/>
  </r>
  <r>
    <n v="523"/>
    <d v="2023-09-24T00:00:00"/>
    <x v="522"/>
    <x v="1"/>
    <x v="17"/>
    <x v="2"/>
    <x v="2"/>
    <x v="2"/>
    <n v="300"/>
    <x v="13"/>
    <x v="0"/>
    <x v="0"/>
    <x v="3"/>
    <x v="2"/>
    <x v="9"/>
  </r>
  <r>
    <n v="524"/>
    <d v="2023-10-03T00:00:00"/>
    <x v="523"/>
    <x v="0"/>
    <x v="6"/>
    <x v="0"/>
    <x v="0"/>
    <x v="3"/>
    <n v="300"/>
    <x v="14"/>
    <x v="1"/>
    <x v="0"/>
    <x v="0"/>
    <x v="4"/>
    <x v="7"/>
  </r>
  <r>
    <n v="525"/>
    <d v="2023-12-18T00:00:00"/>
    <x v="524"/>
    <x v="1"/>
    <x v="16"/>
    <x v="0"/>
    <x v="0"/>
    <x v="1"/>
    <n v="25"/>
    <x v="5"/>
    <x v="0"/>
    <x v="0"/>
    <x v="0"/>
    <x v="1"/>
    <x v="6"/>
  </r>
  <r>
    <n v="526"/>
    <d v="2023-12-10T00:00:00"/>
    <x v="525"/>
    <x v="0"/>
    <x v="44"/>
    <x v="0"/>
    <x v="1"/>
    <x v="1"/>
    <n v="50"/>
    <x v="4"/>
    <x v="0"/>
    <x v="0"/>
    <x v="0"/>
    <x v="2"/>
    <x v="6"/>
  </r>
  <r>
    <n v="527"/>
    <d v="2023-04-11T00:00:00"/>
    <x v="526"/>
    <x v="0"/>
    <x v="35"/>
    <x v="0"/>
    <x v="1"/>
    <x v="1"/>
    <n v="25"/>
    <x v="5"/>
    <x v="0"/>
    <x v="0"/>
    <x v="2"/>
    <x v="4"/>
    <x v="4"/>
  </r>
  <r>
    <n v="528"/>
    <d v="2023-07-06T00:00:00"/>
    <x v="527"/>
    <x v="1"/>
    <x v="32"/>
    <x v="0"/>
    <x v="1"/>
    <x v="1"/>
    <n v="30"/>
    <x v="17"/>
    <x v="0"/>
    <x v="0"/>
    <x v="3"/>
    <x v="6"/>
    <x v="11"/>
  </r>
  <r>
    <n v="529"/>
    <d v="2023-08-09T00:00:00"/>
    <x v="528"/>
    <x v="1"/>
    <x v="10"/>
    <x v="0"/>
    <x v="1"/>
    <x v="0"/>
    <n v="50"/>
    <x v="0"/>
    <x v="0"/>
    <x v="0"/>
    <x v="3"/>
    <x v="5"/>
    <x v="8"/>
  </r>
  <r>
    <n v="530"/>
    <d v="2023-02-05T00:00:00"/>
    <x v="529"/>
    <x v="1"/>
    <x v="18"/>
    <x v="1"/>
    <x v="2"/>
    <x v="3"/>
    <n v="30"/>
    <x v="10"/>
    <x v="0"/>
    <x v="0"/>
    <x v="1"/>
    <x v="2"/>
    <x v="1"/>
  </r>
  <r>
    <n v="531"/>
    <d v="2023-12-07T00:00:00"/>
    <x v="530"/>
    <x v="0"/>
    <x v="33"/>
    <x v="0"/>
    <x v="2"/>
    <x v="2"/>
    <n v="500"/>
    <x v="3"/>
    <x v="0"/>
    <x v="0"/>
    <x v="0"/>
    <x v="6"/>
    <x v="6"/>
  </r>
  <r>
    <n v="532"/>
    <d v="2023-06-19T00:00:00"/>
    <x v="531"/>
    <x v="1"/>
    <x v="12"/>
    <x v="2"/>
    <x v="1"/>
    <x v="3"/>
    <n v="30"/>
    <x v="10"/>
    <x v="0"/>
    <x v="0"/>
    <x v="2"/>
    <x v="1"/>
    <x v="10"/>
  </r>
  <r>
    <n v="533"/>
    <d v="2023-11-16T00:00:00"/>
    <x v="532"/>
    <x v="0"/>
    <x v="14"/>
    <x v="1"/>
    <x v="2"/>
    <x v="0"/>
    <n v="500"/>
    <x v="9"/>
    <x v="1"/>
    <x v="0"/>
    <x v="0"/>
    <x v="6"/>
    <x v="0"/>
  </r>
  <r>
    <n v="534"/>
    <d v="2023-06-10T00:00:00"/>
    <x v="533"/>
    <x v="0"/>
    <x v="5"/>
    <x v="0"/>
    <x v="1"/>
    <x v="1"/>
    <n v="500"/>
    <x v="1"/>
    <x v="1"/>
    <x v="0"/>
    <x v="2"/>
    <x v="3"/>
    <x v="10"/>
  </r>
  <r>
    <n v="535"/>
    <d v="2023-12-06T00:00:00"/>
    <x v="534"/>
    <x v="0"/>
    <x v="16"/>
    <x v="0"/>
    <x v="0"/>
    <x v="0"/>
    <n v="30"/>
    <x v="15"/>
    <x v="0"/>
    <x v="0"/>
    <x v="0"/>
    <x v="5"/>
    <x v="6"/>
  </r>
  <r>
    <n v="536"/>
    <d v="2023-03-05T00:00:00"/>
    <x v="535"/>
    <x v="1"/>
    <x v="28"/>
    <x v="0"/>
    <x v="0"/>
    <x v="3"/>
    <n v="30"/>
    <x v="10"/>
    <x v="0"/>
    <x v="0"/>
    <x v="1"/>
    <x v="2"/>
    <x v="5"/>
  </r>
  <r>
    <n v="537"/>
    <d v="2023-06-03T00:00:00"/>
    <x v="536"/>
    <x v="1"/>
    <x v="34"/>
    <x v="1"/>
    <x v="0"/>
    <x v="2"/>
    <n v="500"/>
    <x v="3"/>
    <x v="0"/>
    <x v="0"/>
    <x v="2"/>
    <x v="3"/>
    <x v="10"/>
  </r>
  <r>
    <n v="538"/>
    <d v="2023-09-17T00:00:00"/>
    <x v="537"/>
    <x v="0"/>
    <x v="18"/>
    <x v="1"/>
    <x v="1"/>
    <x v="0"/>
    <n v="50"/>
    <x v="0"/>
    <x v="0"/>
    <x v="0"/>
    <x v="3"/>
    <x v="2"/>
    <x v="9"/>
  </r>
  <r>
    <n v="539"/>
    <d v="2023-06-08T00:00:00"/>
    <x v="538"/>
    <x v="0"/>
    <x v="36"/>
    <x v="1"/>
    <x v="0"/>
    <x v="2"/>
    <n v="500"/>
    <x v="3"/>
    <x v="0"/>
    <x v="0"/>
    <x v="2"/>
    <x v="6"/>
    <x v="10"/>
  </r>
  <r>
    <n v="540"/>
    <d v="2023-12-08T00:00:00"/>
    <x v="539"/>
    <x v="1"/>
    <x v="6"/>
    <x v="0"/>
    <x v="2"/>
    <x v="0"/>
    <n v="300"/>
    <x v="12"/>
    <x v="1"/>
    <x v="0"/>
    <x v="0"/>
    <x v="0"/>
    <x v="6"/>
  </r>
  <r>
    <n v="541"/>
    <d v="2023-07-29T00:00:00"/>
    <x v="540"/>
    <x v="0"/>
    <x v="37"/>
    <x v="0"/>
    <x v="0"/>
    <x v="2"/>
    <n v="500"/>
    <x v="3"/>
    <x v="0"/>
    <x v="0"/>
    <x v="3"/>
    <x v="3"/>
    <x v="11"/>
  </r>
  <r>
    <n v="542"/>
    <d v="2023-06-17T00:00:00"/>
    <x v="541"/>
    <x v="1"/>
    <x v="29"/>
    <x v="1"/>
    <x v="0"/>
    <x v="2"/>
    <n v="50"/>
    <x v="5"/>
    <x v="0"/>
    <x v="0"/>
    <x v="2"/>
    <x v="3"/>
    <x v="10"/>
  </r>
  <r>
    <n v="543"/>
    <d v="2023-07-26T00:00:00"/>
    <x v="542"/>
    <x v="0"/>
    <x v="19"/>
    <x v="0"/>
    <x v="0"/>
    <x v="1"/>
    <n v="300"/>
    <x v="6"/>
    <x v="1"/>
    <x v="0"/>
    <x v="3"/>
    <x v="5"/>
    <x v="11"/>
  </r>
  <r>
    <n v="544"/>
    <d v="2023-12-23T00:00:00"/>
    <x v="543"/>
    <x v="1"/>
    <x v="15"/>
    <x v="1"/>
    <x v="2"/>
    <x v="2"/>
    <n v="25"/>
    <x v="16"/>
    <x v="0"/>
    <x v="0"/>
    <x v="0"/>
    <x v="3"/>
    <x v="6"/>
  </r>
  <r>
    <n v="545"/>
    <d v="2023-06-01T00:00:00"/>
    <x v="544"/>
    <x v="0"/>
    <x v="15"/>
    <x v="1"/>
    <x v="1"/>
    <x v="1"/>
    <n v="25"/>
    <x v="5"/>
    <x v="0"/>
    <x v="0"/>
    <x v="2"/>
    <x v="6"/>
    <x v="10"/>
  </r>
  <r>
    <n v="546"/>
    <d v="2023-10-11T00:00:00"/>
    <x v="545"/>
    <x v="1"/>
    <x v="32"/>
    <x v="0"/>
    <x v="2"/>
    <x v="3"/>
    <n v="50"/>
    <x v="7"/>
    <x v="0"/>
    <x v="0"/>
    <x v="0"/>
    <x v="5"/>
    <x v="7"/>
  </r>
  <r>
    <n v="547"/>
    <d v="2023-03-07T00:00:00"/>
    <x v="546"/>
    <x v="0"/>
    <x v="7"/>
    <x v="2"/>
    <x v="1"/>
    <x v="3"/>
    <n v="500"/>
    <x v="11"/>
    <x v="2"/>
    <x v="0"/>
    <x v="1"/>
    <x v="4"/>
    <x v="5"/>
  </r>
  <r>
    <n v="548"/>
    <d v="2023-04-09T00:00:00"/>
    <x v="547"/>
    <x v="1"/>
    <x v="25"/>
    <x v="0"/>
    <x v="1"/>
    <x v="1"/>
    <n v="30"/>
    <x v="17"/>
    <x v="0"/>
    <x v="0"/>
    <x v="2"/>
    <x v="2"/>
    <x v="4"/>
  </r>
  <r>
    <n v="549"/>
    <d v="2023-08-04T00:00:00"/>
    <x v="548"/>
    <x v="1"/>
    <x v="2"/>
    <x v="0"/>
    <x v="0"/>
    <x v="1"/>
    <n v="50"/>
    <x v="4"/>
    <x v="0"/>
    <x v="0"/>
    <x v="3"/>
    <x v="0"/>
    <x v="8"/>
  </r>
  <r>
    <n v="550"/>
    <d v="2023-12-07T00:00:00"/>
    <x v="549"/>
    <x v="0"/>
    <x v="30"/>
    <x v="0"/>
    <x v="1"/>
    <x v="0"/>
    <n v="300"/>
    <x v="12"/>
    <x v="1"/>
    <x v="0"/>
    <x v="0"/>
    <x v="6"/>
    <x v="6"/>
  </r>
  <r>
    <n v="551"/>
    <d v="2023-07-14T00:00:00"/>
    <x v="550"/>
    <x v="0"/>
    <x v="5"/>
    <x v="0"/>
    <x v="2"/>
    <x v="0"/>
    <n v="300"/>
    <x v="12"/>
    <x v="1"/>
    <x v="0"/>
    <x v="3"/>
    <x v="0"/>
    <x v="11"/>
  </r>
  <r>
    <n v="552"/>
    <d v="2023-12-13T00:00:00"/>
    <x v="551"/>
    <x v="1"/>
    <x v="19"/>
    <x v="0"/>
    <x v="2"/>
    <x v="0"/>
    <n v="25"/>
    <x v="8"/>
    <x v="0"/>
    <x v="0"/>
    <x v="0"/>
    <x v="5"/>
    <x v="6"/>
  </r>
  <r>
    <n v="553"/>
    <d v="2023-03-31T00:00:00"/>
    <x v="552"/>
    <x v="0"/>
    <x v="46"/>
    <x v="1"/>
    <x v="1"/>
    <x v="3"/>
    <n v="300"/>
    <x v="14"/>
    <x v="1"/>
    <x v="0"/>
    <x v="1"/>
    <x v="0"/>
    <x v="5"/>
  </r>
  <r>
    <n v="554"/>
    <d v="2023-11-12T00:00:00"/>
    <x v="553"/>
    <x v="1"/>
    <x v="6"/>
    <x v="0"/>
    <x v="0"/>
    <x v="0"/>
    <n v="50"/>
    <x v="0"/>
    <x v="0"/>
    <x v="0"/>
    <x v="0"/>
    <x v="2"/>
    <x v="0"/>
  </r>
  <r>
    <n v="555"/>
    <d v="2023-10-19T00:00:00"/>
    <x v="554"/>
    <x v="0"/>
    <x v="36"/>
    <x v="1"/>
    <x v="0"/>
    <x v="2"/>
    <n v="300"/>
    <x v="13"/>
    <x v="0"/>
    <x v="0"/>
    <x v="0"/>
    <x v="6"/>
    <x v="7"/>
  </r>
  <r>
    <n v="556"/>
    <d v="2023-06-04T00:00:00"/>
    <x v="555"/>
    <x v="1"/>
    <x v="18"/>
    <x v="1"/>
    <x v="2"/>
    <x v="2"/>
    <n v="50"/>
    <x v="5"/>
    <x v="0"/>
    <x v="0"/>
    <x v="2"/>
    <x v="2"/>
    <x v="10"/>
  </r>
  <r>
    <n v="557"/>
    <d v="2023-07-27T00:00:00"/>
    <x v="556"/>
    <x v="1"/>
    <x v="29"/>
    <x v="1"/>
    <x v="0"/>
    <x v="0"/>
    <n v="30"/>
    <x v="15"/>
    <x v="0"/>
    <x v="0"/>
    <x v="3"/>
    <x v="6"/>
    <x v="11"/>
  </r>
  <r>
    <n v="558"/>
    <d v="2023-10-08T00:00:00"/>
    <x v="557"/>
    <x v="1"/>
    <x v="41"/>
    <x v="0"/>
    <x v="1"/>
    <x v="2"/>
    <n v="25"/>
    <x v="16"/>
    <x v="0"/>
    <x v="0"/>
    <x v="0"/>
    <x v="2"/>
    <x v="7"/>
  </r>
  <r>
    <n v="559"/>
    <d v="2023-01-01T00:00:00"/>
    <x v="558"/>
    <x v="1"/>
    <x v="30"/>
    <x v="0"/>
    <x v="1"/>
    <x v="3"/>
    <n v="300"/>
    <x v="14"/>
    <x v="1"/>
    <x v="0"/>
    <x v="1"/>
    <x v="2"/>
    <x v="2"/>
  </r>
  <r>
    <n v="560"/>
    <d v="2023-06-05T00:00:00"/>
    <x v="559"/>
    <x v="1"/>
    <x v="36"/>
    <x v="1"/>
    <x v="2"/>
    <x v="2"/>
    <n v="50"/>
    <x v="5"/>
    <x v="0"/>
    <x v="0"/>
    <x v="2"/>
    <x v="1"/>
    <x v="10"/>
  </r>
  <r>
    <n v="561"/>
    <d v="2023-05-27T00:00:00"/>
    <x v="560"/>
    <x v="1"/>
    <x v="12"/>
    <x v="2"/>
    <x v="1"/>
    <x v="3"/>
    <n v="500"/>
    <x v="11"/>
    <x v="2"/>
    <x v="0"/>
    <x v="2"/>
    <x v="3"/>
    <x v="3"/>
  </r>
  <r>
    <n v="562"/>
    <d v="2023-04-18T00:00:00"/>
    <x v="561"/>
    <x v="0"/>
    <x v="31"/>
    <x v="0"/>
    <x v="2"/>
    <x v="1"/>
    <n v="25"/>
    <x v="5"/>
    <x v="0"/>
    <x v="0"/>
    <x v="2"/>
    <x v="4"/>
    <x v="4"/>
  </r>
  <r>
    <n v="563"/>
    <d v="2023-08-09T00:00:00"/>
    <x v="562"/>
    <x v="0"/>
    <x v="29"/>
    <x v="1"/>
    <x v="1"/>
    <x v="1"/>
    <n v="30"/>
    <x v="17"/>
    <x v="0"/>
    <x v="0"/>
    <x v="3"/>
    <x v="5"/>
    <x v="8"/>
  </r>
  <r>
    <n v="564"/>
    <d v="2023-10-24T00:00:00"/>
    <x v="563"/>
    <x v="0"/>
    <x v="2"/>
    <x v="0"/>
    <x v="2"/>
    <x v="1"/>
    <n v="50"/>
    <x v="4"/>
    <x v="0"/>
    <x v="0"/>
    <x v="0"/>
    <x v="4"/>
    <x v="7"/>
  </r>
  <r>
    <n v="565"/>
    <d v="2023-11-07T00:00:00"/>
    <x v="564"/>
    <x v="1"/>
    <x v="5"/>
    <x v="0"/>
    <x v="0"/>
    <x v="1"/>
    <n v="30"/>
    <x v="17"/>
    <x v="0"/>
    <x v="0"/>
    <x v="0"/>
    <x v="4"/>
    <x v="0"/>
  </r>
  <r>
    <n v="566"/>
    <d v="2023-12-02T00:00:00"/>
    <x v="565"/>
    <x v="1"/>
    <x v="12"/>
    <x v="2"/>
    <x v="1"/>
    <x v="2"/>
    <n v="30"/>
    <x v="2"/>
    <x v="0"/>
    <x v="0"/>
    <x v="0"/>
    <x v="3"/>
    <x v="6"/>
  </r>
  <r>
    <n v="567"/>
    <d v="2023-06-14T00:00:00"/>
    <x v="566"/>
    <x v="1"/>
    <x v="36"/>
    <x v="1"/>
    <x v="1"/>
    <x v="0"/>
    <n v="300"/>
    <x v="12"/>
    <x v="1"/>
    <x v="0"/>
    <x v="2"/>
    <x v="5"/>
    <x v="10"/>
  </r>
  <r>
    <n v="568"/>
    <d v="2023-08-27T00:00:00"/>
    <x v="567"/>
    <x v="1"/>
    <x v="25"/>
    <x v="0"/>
    <x v="2"/>
    <x v="2"/>
    <n v="300"/>
    <x v="13"/>
    <x v="0"/>
    <x v="0"/>
    <x v="3"/>
    <x v="2"/>
    <x v="8"/>
  </r>
  <r>
    <n v="569"/>
    <d v="2023-08-15T00:00:00"/>
    <x v="568"/>
    <x v="0"/>
    <x v="8"/>
    <x v="0"/>
    <x v="2"/>
    <x v="3"/>
    <n v="50"/>
    <x v="7"/>
    <x v="0"/>
    <x v="0"/>
    <x v="3"/>
    <x v="4"/>
    <x v="8"/>
  </r>
  <r>
    <n v="570"/>
    <d v="2023-08-15T00:00:00"/>
    <x v="569"/>
    <x v="0"/>
    <x v="19"/>
    <x v="0"/>
    <x v="1"/>
    <x v="2"/>
    <n v="500"/>
    <x v="3"/>
    <x v="0"/>
    <x v="0"/>
    <x v="3"/>
    <x v="4"/>
    <x v="8"/>
  </r>
  <r>
    <n v="571"/>
    <d v="2023-12-12T00:00:00"/>
    <x v="570"/>
    <x v="1"/>
    <x v="41"/>
    <x v="0"/>
    <x v="2"/>
    <x v="2"/>
    <n v="50"/>
    <x v="5"/>
    <x v="0"/>
    <x v="0"/>
    <x v="0"/>
    <x v="4"/>
    <x v="6"/>
  </r>
  <r>
    <n v="572"/>
    <d v="2023-04-20T00:00:00"/>
    <x v="571"/>
    <x v="0"/>
    <x v="33"/>
    <x v="0"/>
    <x v="1"/>
    <x v="3"/>
    <n v="500"/>
    <x v="11"/>
    <x v="2"/>
    <x v="0"/>
    <x v="2"/>
    <x v="6"/>
    <x v="4"/>
  </r>
  <r>
    <n v="573"/>
    <d v="2023-09-19T00:00:00"/>
    <x v="572"/>
    <x v="0"/>
    <x v="19"/>
    <x v="0"/>
    <x v="0"/>
    <x v="1"/>
    <n v="30"/>
    <x v="17"/>
    <x v="0"/>
    <x v="0"/>
    <x v="3"/>
    <x v="4"/>
    <x v="9"/>
  </r>
  <r>
    <n v="574"/>
    <d v="2023-08-31T00:00:00"/>
    <x v="573"/>
    <x v="1"/>
    <x v="7"/>
    <x v="2"/>
    <x v="2"/>
    <x v="1"/>
    <n v="25"/>
    <x v="5"/>
    <x v="0"/>
    <x v="0"/>
    <x v="3"/>
    <x v="6"/>
    <x v="8"/>
  </r>
  <r>
    <n v="575"/>
    <d v="2023-03-28T00:00:00"/>
    <x v="574"/>
    <x v="0"/>
    <x v="43"/>
    <x v="0"/>
    <x v="1"/>
    <x v="1"/>
    <n v="50"/>
    <x v="4"/>
    <x v="0"/>
    <x v="0"/>
    <x v="1"/>
    <x v="4"/>
    <x v="5"/>
  </r>
  <r>
    <n v="576"/>
    <d v="2023-12-04T00:00:00"/>
    <x v="575"/>
    <x v="1"/>
    <x v="44"/>
    <x v="0"/>
    <x v="0"/>
    <x v="0"/>
    <n v="50"/>
    <x v="0"/>
    <x v="0"/>
    <x v="0"/>
    <x v="0"/>
    <x v="1"/>
    <x v="6"/>
  </r>
  <r>
    <n v="577"/>
    <d v="2023-02-13T00:00:00"/>
    <x v="576"/>
    <x v="0"/>
    <x v="34"/>
    <x v="1"/>
    <x v="0"/>
    <x v="3"/>
    <n v="500"/>
    <x v="11"/>
    <x v="2"/>
    <x v="0"/>
    <x v="1"/>
    <x v="1"/>
    <x v="1"/>
  </r>
  <r>
    <n v="578"/>
    <d v="2023-05-26T00:00:00"/>
    <x v="577"/>
    <x v="1"/>
    <x v="31"/>
    <x v="0"/>
    <x v="1"/>
    <x v="3"/>
    <n v="30"/>
    <x v="10"/>
    <x v="0"/>
    <x v="0"/>
    <x v="2"/>
    <x v="0"/>
    <x v="3"/>
  </r>
  <r>
    <n v="579"/>
    <d v="2023-09-21T00:00:00"/>
    <x v="578"/>
    <x v="1"/>
    <x v="21"/>
    <x v="0"/>
    <x v="2"/>
    <x v="2"/>
    <n v="30"/>
    <x v="2"/>
    <x v="0"/>
    <x v="0"/>
    <x v="3"/>
    <x v="6"/>
    <x v="9"/>
  </r>
  <r>
    <n v="580"/>
    <d v="2023-12-06T00:00:00"/>
    <x v="579"/>
    <x v="1"/>
    <x v="33"/>
    <x v="0"/>
    <x v="1"/>
    <x v="0"/>
    <n v="500"/>
    <x v="9"/>
    <x v="1"/>
    <x v="0"/>
    <x v="0"/>
    <x v="5"/>
    <x v="6"/>
  </r>
  <r>
    <n v="581"/>
    <d v="2023-11-21T00:00:00"/>
    <x v="580"/>
    <x v="1"/>
    <x v="27"/>
    <x v="0"/>
    <x v="0"/>
    <x v="1"/>
    <n v="30"/>
    <x v="17"/>
    <x v="0"/>
    <x v="0"/>
    <x v="0"/>
    <x v="4"/>
    <x v="0"/>
  </r>
  <r>
    <n v="582"/>
    <d v="2023-11-14T00:00:00"/>
    <x v="581"/>
    <x v="0"/>
    <x v="10"/>
    <x v="0"/>
    <x v="1"/>
    <x v="0"/>
    <n v="300"/>
    <x v="12"/>
    <x v="1"/>
    <x v="0"/>
    <x v="0"/>
    <x v="4"/>
    <x v="0"/>
  </r>
  <r>
    <n v="583"/>
    <d v="2023-06-21T00:00:00"/>
    <x v="582"/>
    <x v="1"/>
    <x v="46"/>
    <x v="1"/>
    <x v="2"/>
    <x v="3"/>
    <n v="25"/>
    <x v="4"/>
    <x v="0"/>
    <x v="0"/>
    <x v="2"/>
    <x v="5"/>
    <x v="10"/>
  </r>
  <r>
    <n v="584"/>
    <d v="2023-02-17T00:00:00"/>
    <x v="583"/>
    <x v="1"/>
    <x v="15"/>
    <x v="1"/>
    <x v="0"/>
    <x v="3"/>
    <n v="50"/>
    <x v="7"/>
    <x v="0"/>
    <x v="0"/>
    <x v="1"/>
    <x v="0"/>
    <x v="1"/>
  </r>
  <r>
    <n v="585"/>
    <d v="2023-05-01T00:00:00"/>
    <x v="584"/>
    <x v="1"/>
    <x v="46"/>
    <x v="1"/>
    <x v="1"/>
    <x v="2"/>
    <n v="25"/>
    <x v="16"/>
    <x v="0"/>
    <x v="0"/>
    <x v="2"/>
    <x v="1"/>
    <x v="3"/>
  </r>
  <r>
    <n v="586"/>
    <d v="2023-12-11T00:00:00"/>
    <x v="585"/>
    <x v="0"/>
    <x v="2"/>
    <x v="0"/>
    <x v="2"/>
    <x v="2"/>
    <n v="50"/>
    <x v="5"/>
    <x v="0"/>
    <x v="0"/>
    <x v="0"/>
    <x v="1"/>
    <x v="6"/>
  </r>
  <r>
    <n v="587"/>
    <d v="2023-06-08T00:00:00"/>
    <x v="586"/>
    <x v="1"/>
    <x v="30"/>
    <x v="0"/>
    <x v="0"/>
    <x v="3"/>
    <n v="300"/>
    <x v="14"/>
    <x v="1"/>
    <x v="0"/>
    <x v="2"/>
    <x v="6"/>
    <x v="10"/>
  </r>
  <r>
    <n v="588"/>
    <d v="2023-04-26T00:00:00"/>
    <x v="587"/>
    <x v="0"/>
    <x v="21"/>
    <x v="0"/>
    <x v="2"/>
    <x v="1"/>
    <n v="30"/>
    <x v="17"/>
    <x v="0"/>
    <x v="0"/>
    <x v="2"/>
    <x v="5"/>
    <x v="4"/>
  </r>
  <r>
    <n v="589"/>
    <d v="2023-04-12T00:00:00"/>
    <x v="588"/>
    <x v="1"/>
    <x v="32"/>
    <x v="0"/>
    <x v="0"/>
    <x v="1"/>
    <n v="500"/>
    <x v="1"/>
    <x v="1"/>
    <x v="0"/>
    <x v="2"/>
    <x v="5"/>
    <x v="4"/>
  </r>
  <r>
    <n v="590"/>
    <d v="2023-03-17T00:00:00"/>
    <x v="589"/>
    <x v="0"/>
    <x v="32"/>
    <x v="0"/>
    <x v="1"/>
    <x v="0"/>
    <n v="300"/>
    <x v="12"/>
    <x v="1"/>
    <x v="0"/>
    <x v="1"/>
    <x v="0"/>
    <x v="5"/>
  </r>
  <r>
    <n v="591"/>
    <d v="2023-01-13T00:00:00"/>
    <x v="590"/>
    <x v="0"/>
    <x v="45"/>
    <x v="0"/>
    <x v="2"/>
    <x v="3"/>
    <n v="25"/>
    <x v="4"/>
    <x v="0"/>
    <x v="0"/>
    <x v="1"/>
    <x v="0"/>
    <x v="2"/>
  </r>
  <r>
    <n v="592"/>
    <d v="2023-01-24T00:00:00"/>
    <x v="591"/>
    <x v="1"/>
    <x v="6"/>
    <x v="0"/>
    <x v="0"/>
    <x v="3"/>
    <n v="500"/>
    <x v="11"/>
    <x v="2"/>
    <x v="0"/>
    <x v="1"/>
    <x v="4"/>
    <x v="2"/>
  </r>
  <r>
    <n v="593"/>
    <d v="2023-05-06T00:00:00"/>
    <x v="592"/>
    <x v="0"/>
    <x v="10"/>
    <x v="0"/>
    <x v="2"/>
    <x v="1"/>
    <n v="30"/>
    <x v="17"/>
    <x v="0"/>
    <x v="0"/>
    <x v="2"/>
    <x v="3"/>
    <x v="3"/>
  </r>
  <r>
    <n v="594"/>
    <d v="2023-09-01T00:00:00"/>
    <x v="593"/>
    <x v="1"/>
    <x v="14"/>
    <x v="1"/>
    <x v="2"/>
    <x v="1"/>
    <n v="300"/>
    <x v="6"/>
    <x v="1"/>
    <x v="0"/>
    <x v="3"/>
    <x v="0"/>
    <x v="9"/>
  </r>
  <r>
    <n v="595"/>
    <d v="2023-11-09T00:00:00"/>
    <x v="594"/>
    <x v="1"/>
    <x v="18"/>
    <x v="1"/>
    <x v="1"/>
    <x v="3"/>
    <n v="500"/>
    <x v="11"/>
    <x v="2"/>
    <x v="0"/>
    <x v="0"/>
    <x v="6"/>
    <x v="0"/>
  </r>
  <r>
    <n v="596"/>
    <d v="2023-02-07T00:00:00"/>
    <x v="595"/>
    <x v="1"/>
    <x v="12"/>
    <x v="2"/>
    <x v="2"/>
    <x v="2"/>
    <n v="300"/>
    <x v="13"/>
    <x v="0"/>
    <x v="0"/>
    <x v="1"/>
    <x v="4"/>
    <x v="1"/>
  </r>
  <r>
    <n v="597"/>
    <d v="2023-08-22T00:00:00"/>
    <x v="596"/>
    <x v="0"/>
    <x v="11"/>
    <x v="1"/>
    <x v="0"/>
    <x v="3"/>
    <n v="300"/>
    <x v="14"/>
    <x v="1"/>
    <x v="0"/>
    <x v="3"/>
    <x v="4"/>
    <x v="8"/>
  </r>
  <r>
    <n v="598"/>
    <d v="2023-08-01T00:00:00"/>
    <x v="597"/>
    <x v="0"/>
    <x v="3"/>
    <x v="0"/>
    <x v="0"/>
    <x v="3"/>
    <n v="30"/>
    <x v="10"/>
    <x v="0"/>
    <x v="0"/>
    <x v="3"/>
    <x v="4"/>
    <x v="8"/>
  </r>
  <r>
    <n v="599"/>
    <d v="2023-11-19T00:00:00"/>
    <x v="598"/>
    <x v="1"/>
    <x v="20"/>
    <x v="1"/>
    <x v="0"/>
    <x v="1"/>
    <n v="50"/>
    <x v="4"/>
    <x v="0"/>
    <x v="0"/>
    <x v="0"/>
    <x v="2"/>
    <x v="0"/>
  </r>
  <r>
    <n v="600"/>
    <d v="2023-10-22T00:00:00"/>
    <x v="599"/>
    <x v="1"/>
    <x v="42"/>
    <x v="0"/>
    <x v="0"/>
    <x v="1"/>
    <n v="500"/>
    <x v="1"/>
    <x v="1"/>
    <x v="0"/>
    <x v="0"/>
    <x v="2"/>
    <x v="7"/>
  </r>
  <r>
    <n v="601"/>
    <d v="2023-04-10T00:00:00"/>
    <x v="600"/>
    <x v="0"/>
    <x v="14"/>
    <x v="1"/>
    <x v="1"/>
    <x v="2"/>
    <n v="30"/>
    <x v="2"/>
    <x v="0"/>
    <x v="0"/>
    <x v="2"/>
    <x v="1"/>
    <x v="4"/>
  </r>
  <r>
    <n v="602"/>
    <d v="2023-12-23T00:00:00"/>
    <x v="601"/>
    <x v="1"/>
    <x v="29"/>
    <x v="1"/>
    <x v="2"/>
    <x v="2"/>
    <n v="300"/>
    <x v="13"/>
    <x v="0"/>
    <x v="0"/>
    <x v="0"/>
    <x v="3"/>
    <x v="6"/>
  </r>
  <r>
    <n v="603"/>
    <d v="2023-07-16T00:00:00"/>
    <x v="602"/>
    <x v="1"/>
    <x v="30"/>
    <x v="0"/>
    <x v="1"/>
    <x v="0"/>
    <n v="30"/>
    <x v="15"/>
    <x v="0"/>
    <x v="0"/>
    <x v="3"/>
    <x v="2"/>
    <x v="11"/>
  </r>
  <r>
    <n v="604"/>
    <d v="2023-09-11T00:00:00"/>
    <x v="603"/>
    <x v="1"/>
    <x v="38"/>
    <x v="1"/>
    <x v="2"/>
    <x v="3"/>
    <n v="50"/>
    <x v="7"/>
    <x v="0"/>
    <x v="0"/>
    <x v="3"/>
    <x v="1"/>
    <x v="9"/>
  </r>
  <r>
    <n v="605"/>
    <d v="2023-07-24T00:00:00"/>
    <x v="604"/>
    <x v="0"/>
    <x v="3"/>
    <x v="0"/>
    <x v="2"/>
    <x v="1"/>
    <n v="500"/>
    <x v="1"/>
    <x v="1"/>
    <x v="0"/>
    <x v="3"/>
    <x v="1"/>
    <x v="11"/>
  </r>
  <r>
    <n v="606"/>
    <d v="2023-05-05T00:00:00"/>
    <x v="605"/>
    <x v="0"/>
    <x v="11"/>
    <x v="1"/>
    <x v="2"/>
    <x v="2"/>
    <n v="50"/>
    <x v="5"/>
    <x v="0"/>
    <x v="0"/>
    <x v="2"/>
    <x v="0"/>
    <x v="3"/>
  </r>
  <r>
    <n v="607"/>
    <d v="2023-03-17T00:00:00"/>
    <x v="606"/>
    <x v="0"/>
    <x v="31"/>
    <x v="0"/>
    <x v="1"/>
    <x v="0"/>
    <n v="25"/>
    <x v="8"/>
    <x v="0"/>
    <x v="0"/>
    <x v="1"/>
    <x v="0"/>
    <x v="5"/>
  </r>
  <r>
    <n v="608"/>
    <d v="2023-12-02T00:00:00"/>
    <x v="607"/>
    <x v="1"/>
    <x v="28"/>
    <x v="0"/>
    <x v="2"/>
    <x v="0"/>
    <n v="500"/>
    <x v="9"/>
    <x v="1"/>
    <x v="0"/>
    <x v="0"/>
    <x v="3"/>
    <x v="6"/>
  </r>
  <r>
    <n v="609"/>
    <d v="2023-12-19T00:00:00"/>
    <x v="608"/>
    <x v="1"/>
    <x v="16"/>
    <x v="0"/>
    <x v="1"/>
    <x v="1"/>
    <n v="50"/>
    <x v="4"/>
    <x v="0"/>
    <x v="0"/>
    <x v="0"/>
    <x v="4"/>
    <x v="6"/>
  </r>
  <r>
    <n v="610"/>
    <d v="2023-01-03T00:00:00"/>
    <x v="609"/>
    <x v="1"/>
    <x v="1"/>
    <x v="1"/>
    <x v="0"/>
    <x v="1"/>
    <n v="300"/>
    <x v="6"/>
    <x v="1"/>
    <x v="0"/>
    <x v="1"/>
    <x v="4"/>
    <x v="2"/>
  </r>
  <r>
    <n v="611"/>
    <d v="2023-02-24T00:00:00"/>
    <x v="610"/>
    <x v="0"/>
    <x v="25"/>
    <x v="0"/>
    <x v="0"/>
    <x v="0"/>
    <n v="500"/>
    <x v="9"/>
    <x v="1"/>
    <x v="0"/>
    <x v="1"/>
    <x v="0"/>
    <x v="1"/>
  </r>
  <r>
    <n v="612"/>
    <d v="2023-08-06T00:00:00"/>
    <x v="611"/>
    <x v="1"/>
    <x v="39"/>
    <x v="2"/>
    <x v="2"/>
    <x v="2"/>
    <n v="500"/>
    <x v="3"/>
    <x v="0"/>
    <x v="0"/>
    <x v="3"/>
    <x v="2"/>
    <x v="8"/>
  </r>
  <r>
    <n v="613"/>
    <d v="2023-04-23T00:00:00"/>
    <x v="612"/>
    <x v="1"/>
    <x v="8"/>
    <x v="0"/>
    <x v="1"/>
    <x v="0"/>
    <n v="30"/>
    <x v="15"/>
    <x v="0"/>
    <x v="0"/>
    <x v="2"/>
    <x v="2"/>
    <x v="4"/>
  </r>
  <r>
    <n v="614"/>
    <d v="2023-04-01T00:00:00"/>
    <x v="613"/>
    <x v="1"/>
    <x v="23"/>
    <x v="0"/>
    <x v="0"/>
    <x v="3"/>
    <n v="300"/>
    <x v="14"/>
    <x v="1"/>
    <x v="0"/>
    <x v="2"/>
    <x v="3"/>
    <x v="4"/>
  </r>
  <r>
    <n v="615"/>
    <d v="2023-12-23T00:00:00"/>
    <x v="614"/>
    <x v="1"/>
    <x v="39"/>
    <x v="2"/>
    <x v="1"/>
    <x v="3"/>
    <n v="25"/>
    <x v="4"/>
    <x v="0"/>
    <x v="0"/>
    <x v="0"/>
    <x v="3"/>
    <x v="6"/>
  </r>
  <r>
    <n v="616"/>
    <d v="2023-09-23T00:00:00"/>
    <x v="615"/>
    <x v="0"/>
    <x v="41"/>
    <x v="0"/>
    <x v="1"/>
    <x v="1"/>
    <n v="50"/>
    <x v="4"/>
    <x v="0"/>
    <x v="0"/>
    <x v="3"/>
    <x v="3"/>
    <x v="9"/>
  </r>
  <r>
    <n v="617"/>
    <d v="2023-08-26T00:00:00"/>
    <x v="616"/>
    <x v="0"/>
    <x v="0"/>
    <x v="0"/>
    <x v="2"/>
    <x v="2"/>
    <n v="30"/>
    <x v="2"/>
    <x v="0"/>
    <x v="0"/>
    <x v="3"/>
    <x v="3"/>
    <x v="8"/>
  </r>
  <r>
    <n v="618"/>
    <d v="2023-01-26T00:00:00"/>
    <x v="617"/>
    <x v="1"/>
    <x v="15"/>
    <x v="1"/>
    <x v="0"/>
    <x v="2"/>
    <n v="50"/>
    <x v="5"/>
    <x v="0"/>
    <x v="0"/>
    <x v="1"/>
    <x v="6"/>
    <x v="2"/>
  </r>
  <r>
    <n v="619"/>
    <d v="2023-10-13T00:00:00"/>
    <x v="618"/>
    <x v="0"/>
    <x v="16"/>
    <x v="0"/>
    <x v="2"/>
    <x v="3"/>
    <n v="25"/>
    <x v="4"/>
    <x v="0"/>
    <x v="0"/>
    <x v="0"/>
    <x v="0"/>
    <x v="7"/>
  </r>
  <r>
    <n v="620"/>
    <d v="2023-05-08T00:00:00"/>
    <x v="619"/>
    <x v="0"/>
    <x v="7"/>
    <x v="2"/>
    <x v="2"/>
    <x v="0"/>
    <n v="25"/>
    <x v="8"/>
    <x v="0"/>
    <x v="0"/>
    <x v="2"/>
    <x v="1"/>
    <x v="3"/>
  </r>
  <r>
    <n v="621"/>
    <d v="2023-03-04T00:00:00"/>
    <x v="620"/>
    <x v="1"/>
    <x v="30"/>
    <x v="0"/>
    <x v="0"/>
    <x v="1"/>
    <n v="500"/>
    <x v="1"/>
    <x v="1"/>
    <x v="0"/>
    <x v="1"/>
    <x v="3"/>
    <x v="5"/>
  </r>
  <r>
    <n v="622"/>
    <d v="2023-08-22T00:00:00"/>
    <x v="621"/>
    <x v="1"/>
    <x v="19"/>
    <x v="0"/>
    <x v="0"/>
    <x v="0"/>
    <n v="25"/>
    <x v="8"/>
    <x v="0"/>
    <x v="0"/>
    <x v="3"/>
    <x v="4"/>
    <x v="8"/>
  </r>
  <r>
    <n v="623"/>
    <d v="2023-03-10T00:00:00"/>
    <x v="622"/>
    <x v="0"/>
    <x v="0"/>
    <x v="0"/>
    <x v="1"/>
    <x v="0"/>
    <n v="50"/>
    <x v="0"/>
    <x v="0"/>
    <x v="0"/>
    <x v="1"/>
    <x v="0"/>
    <x v="5"/>
  </r>
  <r>
    <n v="624"/>
    <d v="2023-08-26T00:00:00"/>
    <x v="623"/>
    <x v="1"/>
    <x v="0"/>
    <x v="0"/>
    <x v="0"/>
    <x v="0"/>
    <n v="300"/>
    <x v="12"/>
    <x v="1"/>
    <x v="0"/>
    <x v="3"/>
    <x v="3"/>
    <x v="8"/>
  </r>
  <r>
    <n v="625"/>
    <d v="2023-12-08T00:00:00"/>
    <x v="624"/>
    <x v="0"/>
    <x v="33"/>
    <x v="0"/>
    <x v="1"/>
    <x v="2"/>
    <n v="300"/>
    <x v="13"/>
    <x v="0"/>
    <x v="0"/>
    <x v="0"/>
    <x v="0"/>
    <x v="6"/>
  </r>
  <r>
    <n v="626"/>
    <d v="2023-09-29T00:00:00"/>
    <x v="625"/>
    <x v="1"/>
    <x v="1"/>
    <x v="1"/>
    <x v="1"/>
    <x v="3"/>
    <n v="500"/>
    <x v="11"/>
    <x v="2"/>
    <x v="0"/>
    <x v="3"/>
    <x v="0"/>
    <x v="9"/>
  </r>
  <r>
    <n v="627"/>
    <d v="2023-10-14T00:00:00"/>
    <x v="626"/>
    <x v="0"/>
    <x v="35"/>
    <x v="0"/>
    <x v="1"/>
    <x v="2"/>
    <n v="50"/>
    <x v="5"/>
    <x v="0"/>
    <x v="0"/>
    <x v="0"/>
    <x v="3"/>
    <x v="7"/>
  </r>
  <r>
    <n v="628"/>
    <d v="2023-11-01T00:00:00"/>
    <x v="627"/>
    <x v="1"/>
    <x v="14"/>
    <x v="1"/>
    <x v="0"/>
    <x v="3"/>
    <n v="50"/>
    <x v="7"/>
    <x v="0"/>
    <x v="0"/>
    <x v="0"/>
    <x v="5"/>
    <x v="0"/>
  </r>
  <r>
    <n v="629"/>
    <d v="2023-06-12T00:00:00"/>
    <x v="628"/>
    <x v="0"/>
    <x v="17"/>
    <x v="2"/>
    <x v="2"/>
    <x v="1"/>
    <n v="25"/>
    <x v="5"/>
    <x v="0"/>
    <x v="0"/>
    <x v="2"/>
    <x v="1"/>
    <x v="10"/>
  </r>
  <r>
    <n v="630"/>
    <d v="2023-08-15T00:00:00"/>
    <x v="629"/>
    <x v="0"/>
    <x v="13"/>
    <x v="0"/>
    <x v="1"/>
    <x v="1"/>
    <n v="50"/>
    <x v="4"/>
    <x v="0"/>
    <x v="0"/>
    <x v="3"/>
    <x v="4"/>
    <x v="8"/>
  </r>
  <r>
    <n v="631"/>
    <d v="2023-11-10T00:00:00"/>
    <x v="630"/>
    <x v="0"/>
    <x v="37"/>
    <x v="0"/>
    <x v="2"/>
    <x v="0"/>
    <n v="30"/>
    <x v="15"/>
    <x v="0"/>
    <x v="0"/>
    <x v="0"/>
    <x v="0"/>
    <x v="0"/>
  </r>
  <r>
    <n v="632"/>
    <d v="2023-09-16T00:00:00"/>
    <x v="631"/>
    <x v="1"/>
    <x v="1"/>
    <x v="1"/>
    <x v="2"/>
    <x v="3"/>
    <n v="25"/>
    <x v="4"/>
    <x v="0"/>
    <x v="0"/>
    <x v="3"/>
    <x v="3"/>
    <x v="9"/>
  </r>
  <r>
    <n v="633"/>
    <d v="2023-08-07T00:00:00"/>
    <x v="632"/>
    <x v="0"/>
    <x v="23"/>
    <x v="0"/>
    <x v="0"/>
    <x v="3"/>
    <n v="30"/>
    <x v="10"/>
    <x v="0"/>
    <x v="0"/>
    <x v="3"/>
    <x v="1"/>
    <x v="8"/>
  </r>
  <r>
    <n v="634"/>
    <d v="2023-10-08T00:00:00"/>
    <x v="633"/>
    <x v="0"/>
    <x v="43"/>
    <x v="0"/>
    <x v="2"/>
    <x v="3"/>
    <n v="500"/>
    <x v="11"/>
    <x v="2"/>
    <x v="0"/>
    <x v="0"/>
    <x v="2"/>
    <x v="7"/>
  </r>
  <r>
    <n v="635"/>
    <d v="2023-08-17T00:00:00"/>
    <x v="634"/>
    <x v="1"/>
    <x v="7"/>
    <x v="2"/>
    <x v="2"/>
    <x v="0"/>
    <n v="300"/>
    <x v="12"/>
    <x v="1"/>
    <x v="0"/>
    <x v="3"/>
    <x v="6"/>
    <x v="8"/>
  </r>
  <r>
    <n v="636"/>
    <d v="2023-03-23T00:00:00"/>
    <x v="635"/>
    <x v="1"/>
    <x v="34"/>
    <x v="1"/>
    <x v="0"/>
    <x v="0"/>
    <n v="500"/>
    <x v="9"/>
    <x v="1"/>
    <x v="0"/>
    <x v="1"/>
    <x v="6"/>
    <x v="5"/>
  </r>
  <r>
    <n v="637"/>
    <d v="2023-09-01T00:00:00"/>
    <x v="636"/>
    <x v="0"/>
    <x v="22"/>
    <x v="0"/>
    <x v="1"/>
    <x v="1"/>
    <n v="300"/>
    <x v="6"/>
    <x v="1"/>
    <x v="0"/>
    <x v="3"/>
    <x v="0"/>
    <x v="9"/>
  </r>
  <r>
    <n v="638"/>
    <d v="2023-08-19T00:00:00"/>
    <x v="637"/>
    <x v="0"/>
    <x v="6"/>
    <x v="0"/>
    <x v="2"/>
    <x v="2"/>
    <n v="500"/>
    <x v="3"/>
    <x v="0"/>
    <x v="0"/>
    <x v="3"/>
    <x v="3"/>
    <x v="8"/>
  </r>
  <r>
    <n v="639"/>
    <d v="2023-05-13T00:00:00"/>
    <x v="638"/>
    <x v="1"/>
    <x v="17"/>
    <x v="2"/>
    <x v="0"/>
    <x v="3"/>
    <n v="50"/>
    <x v="7"/>
    <x v="0"/>
    <x v="0"/>
    <x v="2"/>
    <x v="3"/>
    <x v="3"/>
  </r>
  <r>
    <n v="640"/>
    <d v="2023-05-07T00:00:00"/>
    <x v="639"/>
    <x v="1"/>
    <x v="25"/>
    <x v="0"/>
    <x v="2"/>
    <x v="3"/>
    <n v="30"/>
    <x v="10"/>
    <x v="0"/>
    <x v="0"/>
    <x v="2"/>
    <x v="2"/>
    <x v="3"/>
  </r>
  <r>
    <n v="641"/>
    <d v="2023-11-23T00:00:00"/>
    <x v="640"/>
    <x v="1"/>
    <x v="30"/>
    <x v="0"/>
    <x v="2"/>
    <x v="2"/>
    <n v="300"/>
    <x v="13"/>
    <x v="0"/>
    <x v="0"/>
    <x v="0"/>
    <x v="6"/>
    <x v="0"/>
  </r>
  <r>
    <n v="642"/>
    <d v="2023-05-22T00:00:00"/>
    <x v="641"/>
    <x v="1"/>
    <x v="31"/>
    <x v="0"/>
    <x v="1"/>
    <x v="3"/>
    <n v="25"/>
    <x v="4"/>
    <x v="0"/>
    <x v="0"/>
    <x v="2"/>
    <x v="1"/>
    <x v="3"/>
  </r>
  <r>
    <n v="643"/>
    <d v="2023-09-24T00:00:00"/>
    <x v="642"/>
    <x v="1"/>
    <x v="20"/>
    <x v="1"/>
    <x v="2"/>
    <x v="0"/>
    <n v="30"/>
    <x v="15"/>
    <x v="0"/>
    <x v="0"/>
    <x v="3"/>
    <x v="2"/>
    <x v="9"/>
  </r>
  <r>
    <n v="644"/>
    <d v="2023-09-06T00:00:00"/>
    <x v="643"/>
    <x v="0"/>
    <x v="9"/>
    <x v="1"/>
    <x v="0"/>
    <x v="0"/>
    <n v="25"/>
    <x v="8"/>
    <x v="0"/>
    <x v="0"/>
    <x v="3"/>
    <x v="5"/>
    <x v="9"/>
  </r>
  <r>
    <n v="645"/>
    <d v="2023-11-17T00:00:00"/>
    <x v="644"/>
    <x v="1"/>
    <x v="10"/>
    <x v="0"/>
    <x v="2"/>
    <x v="3"/>
    <n v="30"/>
    <x v="10"/>
    <x v="0"/>
    <x v="0"/>
    <x v="0"/>
    <x v="0"/>
    <x v="0"/>
  </r>
  <r>
    <n v="646"/>
    <d v="2023-05-03T00:00:00"/>
    <x v="645"/>
    <x v="0"/>
    <x v="21"/>
    <x v="0"/>
    <x v="1"/>
    <x v="0"/>
    <n v="30"/>
    <x v="15"/>
    <x v="0"/>
    <x v="0"/>
    <x v="2"/>
    <x v="5"/>
    <x v="3"/>
  </r>
  <r>
    <n v="647"/>
    <d v="2023-05-21T00:00:00"/>
    <x v="646"/>
    <x v="0"/>
    <x v="42"/>
    <x v="0"/>
    <x v="1"/>
    <x v="0"/>
    <n v="500"/>
    <x v="9"/>
    <x v="1"/>
    <x v="0"/>
    <x v="2"/>
    <x v="2"/>
    <x v="3"/>
  </r>
  <r>
    <n v="648"/>
    <d v="2023-08-14T00:00:00"/>
    <x v="647"/>
    <x v="0"/>
    <x v="45"/>
    <x v="0"/>
    <x v="0"/>
    <x v="3"/>
    <n v="300"/>
    <x v="14"/>
    <x v="1"/>
    <x v="0"/>
    <x v="3"/>
    <x v="1"/>
    <x v="8"/>
  </r>
  <r>
    <n v="649"/>
    <d v="2023-02-09T00:00:00"/>
    <x v="648"/>
    <x v="1"/>
    <x v="26"/>
    <x v="0"/>
    <x v="1"/>
    <x v="1"/>
    <n v="300"/>
    <x v="6"/>
    <x v="1"/>
    <x v="0"/>
    <x v="1"/>
    <x v="6"/>
    <x v="1"/>
  </r>
  <r>
    <n v="650"/>
    <d v="2024-01-01T00:00:00"/>
    <x v="649"/>
    <x v="0"/>
    <x v="28"/>
    <x v="0"/>
    <x v="2"/>
    <x v="2"/>
    <n v="30"/>
    <x v="2"/>
    <x v="0"/>
    <x v="1"/>
    <x v="1"/>
    <x v="1"/>
    <x v="2"/>
  </r>
  <r>
    <n v="651"/>
    <d v="2023-05-27T00:00:00"/>
    <x v="650"/>
    <x v="0"/>
    <x v="25"/>
    <x v="0"/>
    <x v="1"/>
    <x v="0"/>
    <n v="50"/>
    <x v="0"/>
    <x v="0"/>
    <x v="0"/>
    <x v="2"/>
    <x v="3"/>
    <x v="3"/>
  </r>
  <r>
    <n v="652"/>
    <d v="2023-05-01T00:00:00"/>
    <x v="651"/>
    <x v="1"/>
    <x v="0"/>
    <x v="0"/>
    <x v="0"/>
    <x v="1"/>
    <n v="50"/>
    <x v="4"/>
    <x v="0"/>
    <x v="0"/>
    <x v="2"/>
    <x v="1"/>
    <x v="3"/>
  </r>
  <r>
    <n v="653"/>
    <d v="2023-05-20T00:00:00"/>
    <x v="652"/>
    <x v="0"/>
    <x v="31"/>
    <x v="0"/>
    <x v="1"/>
    <x v="0"/>
    <n v="25"/>
    <x v="8"/>
    <x v="0"/>
    <x v="0"/>
    <x v="2"/>
    <x v="3"/>
    <x v="3"/>
  </r>
  <r>
    <n v="654"/>
    <d v="2023-06-21T00:00:00"/>
    <x v="653"/>
    <x v="0"/>
    <x v="13"/>
    <x v="0"/>
    <x v="1"/>
    <x v="0"/>
    <n v="25"/>
    <x v="8"/>
    <x v="0"/>
    <x v="0"/>
    <x v="2"/>
    <x v="5"/>
    <x v="10"/>
  </r>
  <r>
    <n v="655"/>
    <d v="2023-06-13T00:00:00"/>
    <x v="654"/>
    <x v="1"/>
    <x v="28"/>
    <x v="0"/>
    <x v="1"/>
    <x v="2"/>
    <n v="500"/>
    <x v="3"/>
    <x v="0"/>
    <x v="0"/>
    <x v="2"/>
    <x v="4"/>
    <x v="10"/>
  </r>
  <r>
    <n v="656"/>
    <d v="2023-10-04T00:00:00"/>
    <x v="655"/>
    <x v="0"/>
    <x v="38"/>
    <x v="1"/>
    <x v="0"/>
    <x v="0"/>
    <n v="30"/>
    <x v="15"/>
    <x v="0"/>
    <x v="0"/>
    <x v="0"/>
    <x v="5"/>
    <x v="7"/>
  </r>
  <r>
    <n v="657"/>
    <d v="2023-02-11T00:00:00"/>
    <x v="656"/>
    <x v="0"/>
    <x v="30"/>
    <x v="0"/>
    <x v="1"/>
    <x v="2"/>
    <n v="25"/>
    <x v="16"/>
    <x v="0"/>
    <x v="0"/>
    <x v="1"/>
    <x v="3"/>
    <x v="1"/>
  </r>
  <r>
    <n v="658"/>
    <d v="2023-03-12T00:00:00"/>
    <x v="657"/>
    <x v="0"/>
    <x v="42"/>
    <x v="0"/>
    <x v="1"/>
    <x v="2"/>
    <n v="25"/>
    <x v="16"/>
    <x v="0"/>
    <x v="0"/>
    <x v="1"/>
    <x v="2"/>
    <x v="5"/>
  </r>
  <r>
    <n v="659"/>
    <d v="2023-03-19T00:00:00"/>
    <x v="658"/>
    <x v="1"/>
    <x v="23"/>
    <x v="0"/>
    <x v="2"/>
    <x v="2"/>
    <n v="30"/>
    <x v="2"/>
    <x v="0"/>
    <x v="0"/>
    <x v="1"/>
    <x v="2"/>
    <x v="5"/>
  </r>
  <r>
    <n v="660"/>
    <d v="2023-04-29T00:00:00"/>
    <x v="659"/>
    <x v="1"/>
    <x v="21"/>
    <x v="0"/>
    <x v="0"/>
    <x v="1"/>
    <n v="500"/>
    <x v="1"/>
    <x v="1"/>
    <x v="0"/>
    <x v="2"/>
    <x v="3"/>
    <x v="4"/>
  </r>
  <r>
    <n v="661"/>
    <d v="2023-07-16T00:00:00"/>
    <x v="660"/>
    <x v="1"/>
    <x v="24"/>
    <x v="0"/>
    <x v="1"/>
    <x v="3"/>
    <n v="25"/>
    <x v="4"/>
    <x v="0"/>
    <x v="0"/>
    <x v="3"/>
    <x v="2"/>
    <x v="11"/>
  </r>
  <r>
    <n v="662"/>
    <d v="2023-12-22T00:00:00"/>
    <x v="661"/>
    <x v="0"/>
    <x v="27"/>
    <x v="0"/>
    <x v="0"/>
    <x v="1"/>
    <n v="500"/>
    <x v="1"/>
    <x v="1"/>
    <x v="0"/>
    <x v="0"/>
    <x v="0"/>
    <x v="6"/>
  </r>
  <r>
    <n v="663"/>
    <d v="2023-03-20T00:00:00"/>
    <x v="662"/>
    <x v="0"/>
    <x v="9"/>
    <x v="1"/>
    <x v="1"/>
    <x v="3"/>
    <n v="300"/>
    <x v="14"/>
    <x v="1"/>
    <x v="0"/>
    <x v="1"/>
    <x v="1"/>
    <x v="5"/>
  </r>
  <r>
    <n v="664"/>
    <d v="2023-12-28T00:00:00"/>
    <x v="663"/>
    <x v="1"/>
    <x v="24"/>
    <x v="0"/>
    <x v="1"/>
    <x v="3"/>
    <n v="500"/>
    <x v="11"/>
    <x v="2"/>
    <x v="0"/>
    <x v="0"/>
    <x v="6"/>
    <x v="6"/>
  </r>
  <r>
    <n v="665"/>
    <d v="2023-04-20T00:00:00"/>
    <x v="664"/>
    <x v="0"/>
    <x v="35"/>
    <x v="0"/>
    <x v="1"/>
    <x v="2"/>
    <n v="50"/>
    <x v="5"/>
    <x v="0"/>
    <x v="0"/>
    <x v="2"/>
    <x v="6"/>
    <x v="4"/>
  </r>
  <r>
    <n v="666"/>
    <d v="2023-02-02T00:00:00"/>
    <x v="665"/>
    <x v="0"/>
    <x v="25"/>
    <x v="0"/>
    <x v="2"/>
    <x v="0"/>
    <n v="50"/>
    <x v="0"/>
    <x v="0"/>
    <x v="0"/>
    <x v="1"/>
    <x v="6"/>
    <x v="1"/>
  </r>
  <r>
    <n v="667"/>
    <d v="2023-08-01T00:00:00"/>
    <x v="666"/>
    <x v="1"/>
    <x v="38"/>
    <x v="1"/>
    <x v="2"/>
    <x v="2"/>
    <n v="500"/>
    <x v="3"/>
    <x v="0"/>
    <x v="0"/>
    <x v="3"/>
    <x v="4"/>
    <x v="8"/>
  </r>
  <r>
    <n v="668"/>
    <d v="2023-07-28T00:00:00"/>
    <x v="667"/>
    <x v="1"/>
    <x v="17"/>
    <x v="2"/>
    <x v="2"/>
    <x v="0"/>
    <n v="50"/>
    <x v="0"/>
    <x v="0"/>
    <x v="0"/>
    <x v="3"/>
    <x v="0"/>
    <x v="11"/>
  </r>
  <r>
    <n v="669"/>
    <d v="2023-06-19T00:00:00"/>
    <x v="668"/>
    <x v="0"/>
    <x v="46"/>
    <x v="1"/>
    <x v="0"/>
    <x v="3"/>
    <n v="300"/>
    <x v="14"/>
    <x v="1"/>
    <x v="0"/>
    <x v="2"/>
    <x v="1"/>
    <x v="10"/>
  </r>
  <r>
    <n v="670"/>
    <d v="2023-10-05T00:00:00"/>
    <x v="669"/>
    <x v="0"/>
    <x v="15"/>
    <x v="1"/>
    <x v="0"/>
    <x v="2"/>
    <n v="30"/>
    <x v="2"/>
    <x v="0"/>
    <x v="0"/>
    <x v="0"/>
    <x v="6"/>
    <x v="7"/>
  </r>
  <r>
    <n v="671"/>
    <d v="2023-08-27T00:00:00"/>
    <x v="670"/>
    <x v="0"/>
    <x v="17"/>
    <x v="2"/>
    <x v="2"/>
    <x v="0"/>
    <n v="50"/>
    <x v="0"/>
    <x v="0"/>
    <x v="0"/>
    <x v="3"/>
    <x v="2"/>
    <x v="8"/>
  </r>
  <r>
    <n v="672"/>
    <d v="2023-08-01T00:00:00"/>
    <x v="671"/>
    <x v="1"/>
    <x v="0"/>
    <x v="0"/>
    <x v="0"/>
    <x v="1"/>
    <n v="50"/>
    <x v="4"/>
    <x v="0"/>
    <x v="0"/>
    <x v="3"/>
    <x v="4"/>
    <x v="8"/>
  </r>
  <r>
    <n v="673"/>
    <d v="2023-02-01T00:00:00"/>
    <x v="672"/>
    <x v="1"/>
    <x v="22"/>
    <x v="0"/>
    <x v="1"/>
    <x v="0"/>
    <n v="500"/>
    <x v="9"/>
    <x v="1"/>
    <x v="0"/>
    <x v="1"/>
    <x v="5"/>
    <x v="1"/>
  </r>
  <r>
    <n v="674"/>
    <d v="2023-04-16T00:00:00"/>
    <x v="673"/>
    <x v="1"/>
    <x v="21"/>
    <x v="0"/>
    <x v="1"/>
    <x v="2"/>
    <n v="300"/>
    <x v="13"/>
    <x v="0"/>
    <x v="0"/>
    <x v="2"/>
    <x v="2"/>
    <x v="4"/>
  </r>
  <r>
    <n v="675"/>
    <d v="2023-08-04T00:00:00"/>
    <x v="674"/>
    <x v="1"/>
    <x v="5"/>
    <x v="0"/>
    <x v="1"/>
    <x v="1"/>
    <n v="30"/>
    <x v="17"/>
    <x v="0"/>
    <x v="0"/>
    <x v="3"/>
    <x v="0"/>
    <x v="8"/>
  </r>
  <r>
    <n v="676"/>
    <d v="2023-07-19T00:00:00"/>
    <x v="675"/>
    <x v="0"/>
    <x v="7"/>
    <x v="2"/>
    <x v="2"/>
    <x v="0"/>
    <n v="500"/>
    <x v="9"/>
    <x v="1"/>
    <x v="0"/>
    <x v="3"/>
    <x v="5"/>
    <x v="11"/>
  </r>
  <r>
    <n v="677"/>
    <d v="2023-10-27T00:00:00"/>
    <x v="676"/>
    <x v="1"/>
    <x v="14"/>
    <x v="1"/>
    <x v="0"/>
    <x v="0"/>
    <n v="500"/>
    <x v="9"/>
    <x v="1"/>
    <x v="0"/>
    <x v="0"/>
    <x v="0"/>
    <x v="7"/>
  </r>
  <r>
    <n v="678"/>
    <d v="2023-12-23T00:00:00"/>
    <x v="677"/>
    <x v="1"/>
    <x v="43"/>
    <x v="0"/>
    <x v="2"/>
    <x v="0"/>
    <n v="300"/>
    <x v="12"/>
    <x v="1"/>
    <x v="0"/>
    <x v="0"/>
    <x v="3"/>
    <x v="6"/>
  </r>
  <r>
    <n v="679"/>
    <d v="2023-01-11T00:00:00"/>
    <x v="678"/>
    <x v="1"/>
    <x v="18"/>
    <x v="1"/>
    <x v="0"/>
    <x v="0"/>
    <n v="30"/>
    <x v="15"/>
    <x v="0"/>
    <x v="0"/>
    <x v="1"/>
    <x v="5"/>
    <x v="2"/>
  </r>
  <r>
    <n v="680"/>
    <d v="2023-10-22T00:00:00"/>
    <x v="679"/>
    <x v="1"/>
    <x v="45"/>
    <x v="0"/>
    <x v="1"/>
    <x v="0"/>
    <n v="300"/>
    <x v="12"/>
    <x v="1"/>
    <x v="0"/>
    <x v="0"/>
    <x v="2"/>
    <x v="7"/>
  </r>
  <r>
    <n v="681"/>
    <d v="2023-07-14T00:00:00"/>
    <x v="680"/>
    <x v="1"/>
    <x v="22"/>
    <x v="0"/>
    <x v="2"/>
    <x v="1"/>
    <n v="30"/>
    <x v="17"/>
    <x v="0"/>
    <x v="0"/>
    <x v="3"/>
    <x v="0"/>
    <x v="11"/>
  </r>
  <r>
    <n v="682"/>
    <d v="2023-09-02T00:00:00"/>
    <x v="681"/>
    <x v="0"/>
    <x v="6"/>
    <x v="0"/>
    <x v="0"/>
    <x v="3"/>
    <n v="300"/>
    <x v="14"/>
    <x v="1"/>
    <x v="0"/>
    <x v="3"/>
    <x v="3"/>
    <x v="9"/>
  </r>
  <r>
    <n v="683"/>
    <d v="2023-01-04T00:00:00"/>
    <x v="682"/>
    <x v="0"/>
    <x v="21"/>
    <x v="0"/>
    <x v="0"/>
    <x v="1"/>
    <n v="500"/>
    <x v="1"/>
    <x v="1"/>
    <x v="0"/>
    <x v="1"/>
    <x v="5"/>
    <x v="2"/>
  </r>
  <r>
    <n v="684"/>
    <d v="2023-06-30T00:00:00"/>
    <x v="683"/>
    <x v="1"/>
    <x v="20"/>
    <x v="1"/>
    <x v="1"/>
    <x v="1"/>
    <n v="500"/>
    <x v="1"/>
    <x v="1"/>
    <x v="0"/>
    <x v="2"/>
    <x v="0"/>
    <x v="10"/>
  </r>
  <r>
    <n v="685"/>
    <d v="2023-06-02T00:00:00"/>
    <x v="684"/>
    <x v="0"/>
    <x v="35"/>
    <x v="0"/>
    <x v="2"/>
    <x v="1"/>
    <n v="25"/>
    <x v="5"/>
    <x v="0"/>
    <x v="0"/>
    <x v="2"/>
    <x v="0"/>
    <x v="10"/>
  </r>
  <r>
    <n v="686"/>
    <d v="2023-07-19T00:00:00"/>
    <x v="685"/>
    <x v="1"/>
    <x v="20"/>
    <x v="1"/>
    <x v="2"/>
    <x v="3"/>
    <n v="50"/>
    <x v="7"/>
    <x v="0"/>
    <x v="0"/>
    <x v="3"/>
    <x v="5"/>
    <x v="11"/>
  </r>
  <r>
    <n v="687"/>
    <d v="2023-08-03T00:00:00"/>
    <x v="686"/>
    <x v="1"/>
    <x v="45"/>
    <x v="0"/>
    <x v="2"/>
    <x v="2"/>
    <n v="300"/>
    <x v="13"/>
    <x v="0"/>
    <x v="0"/>
    <x v="3"/>
    <x v="6"/>
    <x v="8"/>
  </r>
  <r>
    <n v="688"/>
    <d v="2023-10-03T00:00:00"/>
    <x v="687"/>
    <x v="0"/>
    <x v="37"/>
    <x v="0"/>
    <x v="1"/>
    <x v="3"/>
    <n v="25"/>
    <x v="4"/>
    <x v="0"/>
    <x v="0"/>
    <x v="0"/>
    <x v="4"/>
    <x v="7"/>
  </r>
  <r>
    <n v="689"/>
    <d v="2023-10-07T00:00:00"/>
    <x v="688"/>
    <x v="0"/>
    <x v="35"/>
    <x v="0"/>
    <x v="2"/>
    <x v="1"/>
    <n v="50"/>
    <x v="4"/>
    <x v="0"/>
    <x v="0"/>
    <x v="0"/>
    <x v="3"/>
    <x v="7"/>
  </r>
  <r>
    <n v="690"/>
    <d v="2023-11-05T00:00:00"/>
    <x v="689"/>
    <x v="1"/>
    <x v="8"/>
    <x v="0"/>
    <x v="1"/>
    <x v="0"/>
    <n v="300"/>
    <x v="12"/>
    <x v="1"/>
    <x v="0"/>
    <x v="0"/>
    <x v="2"/>
    <x v="0"/>
  </r>
  <r>
    <n v="691"/>
    <d v="2023-04-23T00:00:00"/>
    <x v="690"/>
    <x v="1"/>
    <x v="25"/>
    <x v="0"/>
    <x v="1"/>
    <x v="0"/>
    <n v="30"/>
    <x v="15"/>
    <x v="0"/>
    <x v="0"/>
    <x v="2"/>
    <x v="2"/>
    <x v="4"/>
  </r>
  <r>
    <n v="692"/>
    <d v="2023-09-07T00:00:00"/>
    <x v="691"/>
    <x v="1"/>
    <x v="12"/>
    <x v="2"/>
    <x v="1"/>
    <x v="1"/>
    <n v="50"/>
    <x v="4"/>
    <x v="0"/>
    <x v="0"/>
    <x v="3"/>
    <x v="6"/>
    <x v="9"/>
  </r>
  <r>
    <n v="693"/>
    <d v="2023-04-23T00:00:00"/>
    <x v="692"/>
    <x v="0"/>
    <x v="41"/>
    <x v="0"/>
    <x v="0"/>
    <x v="0"/>
    <n v="500"/>
    <x v="9"/>
    <x v="1"/>
    <x v="0"/>
    <x v="2"/>
    <x v="2"/>
    <x v="4"/>
  </r>
  <r>
    <n v="694"/>
    <d v="2023-05-20T00:00:00"/>
    <x v="693"/>
    <x v="1"/>
    <x v="23"/>
    <x v="0"/>
    <x v="2"/>
    <x v="1"/>
    <n v="25"/>
    <x v="5"/>
    <x v="0"/>
    <x v="0"/>
    <x v="2"/>
    <x v="3"/>
    <x v="3"/>
  </r>
  <r>
    <n v="695"/>
    <d v="2023-08-12T00:00:00"/>
    <x v="694"/>
    <x v="1"/>
    <x v="11"/>
    <x v="1"/>
    <x v="2"/>
    <x v="0"/>
    <n v="50"/>
    <x v="0"/>
    <x v="0"/>
    <x v="0"/>
    <x v="3"/>
    <x v="3"/>
    <x v="8"/>
  </r>
  <r>
    <n v="696"/>
    <d v="2023-09-06T00:00:00"/>
    <x v="695"/>
    <x v="1"/>
    <x v="2"/>
    <x v="0"/>
    <x v="1"/>
    <x v="3"/>
    <n v="50"/>
    <x v="7"/>
    <x v="0"/>
    <x v="0"/>
    <x v="3"/>
    <x v="5"/>
    <x v="9"/>
  </r>
  <r>
    <n v="697"/>
    <d v="2023-01-15T00:00:00"/>
    <x v="696"/>
    <x v="0"/>
    <x v="45"/>
    <x v="0"/>
    <x v="1"/>
    <x v="2"/>
    <n v="500"/>
    <x v="3"/>
    <x v="0"/>
    <x v="0"/>
    <x v="1"/>
    <x v="2"/>
    <x v="2"/>
  </r>
  <r>
    <n v="698"/>
    <d v="2023-07-19T00:00:00"/>
    <x v="697"/>
    <x v="1"/>
    <x v="12"/>
    <x v="2"/>
    <x v="2"/>
    <x v="2"/>
    <n v="300"/>
    <x v="13"/>
    <x v="0"/>
    <x v="0"/>
    <x v="3"/>
    <x v="5"/>
    <x v="11"/>
  </r>
  <r>
    <n v="699"/>
    <d v="2023-06-22T00:00:00"/>
    <x v="698"/>
    <x v="1"/>
    <x v="3"/>
    <x v="0"/>
    <x v="1"/>
    <x v="3"/>
    <n v="30"/>
    <x v="10"/>
    <x v="0"/>
    <x v="0"/>
    <x v="2"/>
    <x v="6"/>
    <x v="10"/>
  </r>
  <r>
    <n v="700"/>
    <d v="2023-12-09T00:00:00"/>
    <x v="699"/>
    <x v="0"/>
    <x v="32"/>
    <x v="0"/>
    <x v="2"/>
    <x v="3"/>
    <n v="500"/>
    <x v="11"/>
    <x v="2"/>
    <x v="0"/>
    <x v="0"/>
    <x v="3"/>
    <x v="6"/>
  </r>
  <r>
    <n v="701"/>
    <d v="2023-12-14T00:00:00"/>
    <x v="700"/>
    <x v="1"/>
    <x v="8"/>
    <x v="0"/>
    <x v="0"/>
    <x v="1"/>
    <n v="30"/>
    <x v="17"/>
    <x v="0"/>
    <x v="0"/>
    <x v="0"/>
    <x v="6"/>
    <x v="6"/>
  </r>
  <r>
    <n v="702"/>
    <d v="2023-07-27T00:00:00"/>
    <x v="701"/>
    <x v="1"/>
    <x v="43"/>
    <x v="0"/>
    <x v="1"/>
    <x v="1"/>
    <n v="300"/>
    <x v="6"/>
    <x v="1"/>
    <x v="0"/>
    <x v="3"/>
    <x v="6"/>
    <x v="11"/>
  </r>
  <r>
    <n v="703"/>
    <d v="2023-03-26T00:00:00"/>
    <x v="702"/>
    <x v="0"/>
    <x v="0"/>
    <x v="0"/>
    <x v="2"/>
    <x v="1"/>
    <n v="50"/>
    <x v="4"/>
    <x v="0"/>
    <x v="0"/>
    <x v="1"/>
    <x v="2"/>
    <x v="5"/>
  </r>
  <r>
    <n v="704"/>
    <d v="2023-08-28T00:00:00"/>
    <x v="703"/>
    <x v="1"/>
    <x v="17"/>
    <x v="2"/>
    <x v="1"/>
    <x v="0"/>
    <n v="30"/>
    <x v="15"/>
    <x v="0"/>
    <x v="0"/>
    <x v="3"/>
    <x v="1"/>
    <x v="8"/>
  </r>
  <r>
    <n v="705"/>
    <d v="2023-03-07T00:00:00"/>
    <x v="704"/>
    <x v="0"/>
    <x v="43"/>
    <x v="0"/>
    <x v="2"/>
    <x v="1"/>
    <n v="25"/>
    <x v="5"/>
    <x v="0"/>
    <x v="0"/>
    <x v="1"/>
    <x v="4"/>
    <x v="5"/>
  </r>
  <r>
    <n v="706"/>
    <d v="2023-11-15T00:00:00"/>
    <x v="705"/>
    <x v="0"/>
    <x v="25"/>
    <x v="0"/>
    <x v="2"/>
    <x v="3"/>
    <n v="25"/>
    <x v="4"/>
    <x v="0"/>
    <x v="0"/>
    <x v="0"/>
    <x v="5"/>
    <x v="0"/>
  </r>
  <r>
    <n v="707"/>
    <d v="2023-10-01T00:00:00"/>
    <x v="706"/>
    <x v="1"/>
    <x v="1"/>
    <x v="1"/>
    <x v="1"/>
    <x v="2"/>
    <n v="500"/>
    <x v="3"/>
    <x v="0"/>
    <x v="0"/>
    <x v="0"/>
    <x v="2"/>
    <x v="7"/>
  </r>
  <r>
    <n v="708"/>
    <d v="2023-01-14T00:00:00"/>
    <x v="707"/>
    <x v="1"/>
    <x v="22"/>
    <x v="0"/>
    <x v="0"/>
    <x v="0"/>
    <n v="300"/>
    <x v="12"/>
    <x v="1"/>
    <x v="0"/>
    <x v="1"/>
    <x v="3"/>
    <x v="2"/>
  </r>
  <r>
    <n v="709"/>
    <d v="2023-07-21T00:00:00"/>
    <x v="708"/>
    <x v="1"/>
    <x v="14"/>
    <x v="1"/>
    <x v="2"/>
    <x v="1"/>
    <n v="500"/>
    <x v="1"/>
    <x v="1"/>
    <x v="0"/>
    <x v="3"/>
    <x v="0"/>
    <x v="11"/>
  </r>
  <r>
    <n v="710"/>
    <d v="2023-10-31T00:00:00"/>
    <x v="709"/>
    <x v="1"/>
    <x v="1"/>
    <x v="1"/>
    <x v="2"/>
    <x v="0"/>
    <n v="500"/>
    <x v="9"/>
    <x v="1"/>
    <x v="0"/>
    <x v="0"/>
    <x v="4"/>
    <x v="7"/>
  </r>
  <r>
    <n v="711"/>
    <d v="2023-10-16T00:00:00"/>
    <x v="710"/>
    <x v="0"/>
    <x v="1"/>
    <x v="1"/>
    <x v="2"/>
    <x v="0"/>
    <n v="500"/>
    <x v="9"/>
    <x v="1"/>
    <x v="0"/>
    <x v="0"/>
    <x v="1"/>
    <x v="7"/>
  </r>
  <r>
    <n v="712"/>
    <d v="2023-12-06T00:00:00"/>
    <x v="711"/>
    <x v="1"/>
    <x v="35"/>
    <x v="0"/>
    <x v="0"/>
    <x v="1"/>
    <n v="25"/>
    <x v="5"/>
    <x v="0"/>
    <x v="0"/>
    <x v="0"/>
    <x v="5"/>
    <x v="6"/>
  </r>
  <r>
    <n v="713"/>
    <d v="2023-01-14T00:00:00"/>
    <x v="712"/>
    <x v="0"/>
    <x v="0"/>
    <x v="0"/>
    <x v="0"/>
    <x v="0"/>
    <n v="25"/>
    <x v="8"/>
    <x v="0"/>
    <x v="0"/>
    <x v="1"/>
    <x v="3"/>
    <x v="2"/>
  </r>
  <r>
    <n v="714"/>
    <d v="2023-02-12T00:00:00"/>
    <x v="713"/>
    <x v="1"/>
    <x v="18"/>
    <x v="1"/>
    <x v="1"/>
    <x v="2"/>
    <n v="500"/>
    <x v="3"/>
    <x v="0"/>
    <x v="0"/>
    <x v="1"/>
    <x v="2"/>
    <x v="1"/>
  </r>
  <r>
    <n v="715"/>
    <d v="2023-11-26T00:00:00"/>
    <x v="714"/>
    <x v="1"/>
    <x v="13"/>
    <x v="0"/>
    <x v="0"/>
    <x v="3"/>
    <n v="25"/>
    <x v="4"/>
    <x v="0"/>
    <x v="0"/>
    <x v="0"/>
    <x v="2"/>
    <x v="0"/>
  </r>
  <r>
    <n v="716"/>
    <d v="2023-08-08T00:00:00"/>
    <x v="715"/>
    <x v="1"/>
    <x v="43"/>
    <x v="0"/>
    <x v="1"/>
    <x v="3"/>
    <n v="300"/>
    <x v="14"/>
    <x v="1"/>
    <x v="0"/>
    <x v="3"/>
    <x v="4"/>
    <x v="8"/>
  </r>
  <r>
    <n v="717"/>
    <d v="2023-03-11T00:00:00"/>
    <x v="716"/>
    <x v="0"/>
    <x v="35"/>
    <x v="0"/>
    <x v="1"/>
    <x v="2"/>
    <n v="500"/>
    <x v="3"/>
    <x v="0"/>
    <x v="0"/>
    <x v="1"/>
    <x v="3"/>
    <x v="5"/>
  </r>
  <r>
    <n v="718"/>
    <d v="2023-08-25T00:00:00"/>
    <x v="717"/>
    <x v="1"/>
    <x v="42"/>
    <x v="0"/>
    <x v="0"/>
    <x v="0"/>
    <n v="25"/>
    <x v="8"/>
    <x v="0"/>
    <x v="0"/>
    <x v="3"/>
    <x v="0"/>
    <x v="8"/>
  </r>
  <r>
    <n v="719"/>
    <d v="2023-04-04T00:00:00"/>
    <x v="718"/>
    <x v="1"/>
    <x v="13"/>
    <x v="0"/>
    <x v="1"/>
    <x v="1"/>
    <n v="30"/>
    <x v="17"/>
    <x v="0"/>
    <x v="0"/>
    <x v="2"/>
    <x v="4"/>
    <x v="4"/>
  </r>
  <r>
    <n v="720"/>
    <d v="2023-01-26T00:00:00"/>
    <x v="719"/>
    <x v="1"/>
    <x v="37"/>
    <x v="0"/>
    <x v="0"/>
    <x v="0"/>
    <n v="500"/>
    <x v="9"/>
    <x v="1"/>
    <x v="0"/>
    <x v="1"/>
    <x v="6"/>
    <x v="2"/>
  </r>
  <r>
    <n v="721"/>
    <d v="2023-05-14T00:00:00"/>
    <x v="720"/>
    <x v="1"/>
    <x v="8"/>
    <x v="0"/>
    <x v="1"/>
    <x v="2"/>
    <n v="500"/>
    <x v="3"/>
    <x v="0"/>
    <x v="0"/>
    <x v="2"/>
    <x v="2"/>
    <x v="3"/>
  </r>
  <r>
    <n v="722"/>
    <d v="2023-07-14T00:00:00"/>
    <x v="721"/>
    <x v="0"/>
    <x v="29"/>
    <x v="1"/>
    <x v="0"/>
    <x v="0"/>
    <n v="300"/>
    <x v="12"/>
    <x v="1"/>
    <x v="0"/>
    <x v="3"/>
    <x v="0"/>
    <x v="11"/>
  </r>
  <r>
    <n v="723"/>
    <d v="2023-06-17T00:00:00"/>
    <x v="722"/>
    <x v="1"/>
    <x v="31"/>
    <x v="0"/>
    <x v="0"/>
    <x v="3"/>
    <n v="50"/>
    <x v="7"/>
    <x v="0"/>
    <x v="0"/>
    <x v="2"/>
    <x v="3"/>
    <x v="10"/>
  </r>
  <r>
    <n v="724"/>
    <d v="2023-04-19T00:00:00"/>
    <x v="723"/>
    <x v="0"/>
    <x v="39"/>
    <x v="2"/>
    <x v="1"/>
    <x v="0"/>
    <n v="50"/>
    <x v="0"/>
    <x v="0"/>
    <x v="0"/>
    <x v="2"/>
    <x v="5"/>
    <x v="4"/>
  </r>
  <r>
    <n v="725"/>
    <d v="2023-08-21T00:00:00"/>
    <x v="724"/>
    <x v="0"/>
    <x v="39"/>
    <x v="2"/>
    <x v="2"/>
    <x v="2"/>
    <n v="300"/>
    <x v="13"/>
    <x v="0"/>
    <x v="0"/>
    <x v="3"/>
    <x v="1"/>
    <x v="8"/>
  </r>
  <r>
    <n v="726"/>
    <d v="2023-06-17T00:00:00"/>
    <x v="725"/>
    <x v="0"/>
    <x v="16"/>
    <x v="0"/>
    <x v="1"/>
    <x v="3"/>
    <n v="300"/>
    <x v="14"/>
    <x v="1"/>
    <x v="0"/>
    <x v="2"/>
    <x v="3"/>
    <x v="10"/>
  </r>
  <r>
    <n v="727"/>
    <d v="2023-06-22T00:00:00"/>
    <x v="726"/>
    <x v="0"/>
    <x v="28"/>
    <x v="0"/>
    <x v="0"/>
    <x v="0"/>
    <n v="300"/>
    <x v="12"/>
    <x v="1"/>
    <x v="0"/>
    <x v="2"/>
    <x v="6"/>
    <x v="10"/>
  </r>
  <r>
    <n v="728"/>
    <d v="2023-07-14T00:00:00"/>
    <x v="727"/>
    <x v="0"/>
    <x v="25"/>
    <x v="0"/>
    <x v="2"/>
    <x v="0"/>
    <n v="50"/>
    <x v="0"/>
    <x v="0"/>
    <x v="0"/>
    <x v="3"/>
    <x v="0"/>
    <x v="11"/>
  </r>
  <r>
    <n v="729"/>
    <d v="2023-05-23T00:00:00"/>
    <x v="728"/>
    <x v="0"/>
    <x v="38"/>
    <x v="1"/>
    <x v="1"/>
    <x v="3"/>
    <n v="300"/>
    <x v="14"/>
    <x v="1"/>
    <x v="0"/>
    <x v="2"/>
    <x v="4"/>
    <x v="3"/>
  </r>
  <r>
    <n v="730"/>
    <d v="2023-08-04T00:00:00"/>
    <x v="729"/>
    <x v="1"/>
    <x v="32"/>
    <x v="0"/>
    <x v="1"/>
    <x v="1"/>
    <n v="25"/>
    <x v="5"/>
    <x v="0"/>
    <x v="0"/>
    <x v="3"/>
    <x v="0"/>
    <x v="8"/>
  </r>
  <r>
    <n v="731"/>
    <d v="2023-05-10T00:00:00"/>
    <x v="730"/>
    <x v="0"/>
    <x v="31"/>
    <x v="0"/>
    <x v="1"/>
    <x v="3"/>
    <n v="500"/>
    <x v="11"/>
    <x v="2"/>
    <x v="0"/>
    <x v="2"/>
    <x v="5"/>
    <x v="3"/>
  </r>
  <r>
    <n v="732"/>
    <d v="2023-02-11T00:00:00"/>
    <x v="731"/>
    <x v="0"/>
    <x v="39"/>
    <x v="2"/>
    <x v="2"/>
    <x v="1"/>
    <n v="500"/>
    <x v="1"/>
    <x v="1"/>
    <x v="0"/>
    <x v="1"/>
    <x v="3"/>
    <x v="1"/>
  </r>
  <r>
    <n v="733"/>
    <d v="2023-08-29T00:00:00"/>
    <x v="732"/>
    <x v="0"/>
    <x v="0"/>
    <x v="0"/>
    <x v="0"/>
    <x v="2"/>
    <n v="30"/>
    <x v="2"/>
    <x v="0"/>
    <x v="0"/>
    <x v="3"/>
    <x v="4"/>
    <x v="8"/>
  </r>
  <r>
    <n v="734"/>
    <d v="2023-01-10T00:00:00"/>
    <x v="733"/>
    <x v="1"/>
    <x v="15"/>
    <x v="1"/>
    <x v="1"/>
    <x v="2"/>
    <n v="30"/>
    <x v="2"/>
    <x v="0"/>
    <x v="0"/>
    <x v="1"/>
    <x v="4"/>
    <x v="2"/>
  </r>
  <r>
    <n v="735"/>
    <d v="2023-10-04T00:00:00"/>
    <x v="734"/>
    <x v="1"/>
    <x v="12"/>
    <x v="2"/>
    <x v="1"/>
    <x v="3"/>
    <n v="500"/>
    <x v="11"/>
    <x v="2"/>
    <x v="0"/>
    <x v="0"/>
    <x v="5"/>
    <x v="7"/>
  </r>
  <r>
    <n v="736"/>
    <d v="2023-01-27T00:00:00"/>
    <x v="735"/>
    <x v="0"/>
    <x v="38"/>
    <x v="1"/>
    <x v="1"/>
    <x v="3"/>
    <n v="25"/>
    <x v="4"/>
    <x v="0"/>
    <x v="0"/>
    <x v="1"/>
    <x v="0"/>
    <x v="2"/>
  </r>
  <r>
    <n v="737"/>
    <d v="2023-06-29T00:00:00"/>
    <x v="736"/>
    <x v="1"/>
    <x v="44"/>
    <x v="0"/>
    <x v="1"/>
    <x v="2"/>
    <n v="50"/>
    <x v="5"/>
    <x v="0"/>
    <x v="0"/>
    <x v="2"/>
    <x v="6"/>
    <x v="10"/>
  </r>
  <r>
    <n v="738"/>
    <d v="2023-04-25T00:00:00"/>
    <x v="737"/>
    <x v="0"/>
    <x v="41"/>
    <x v="0"/>
    <x v="1"/>
    <x v="1"/>
    <n v="50"/>
    <x v="4"/>
    <x v="0"/>
    <x v="0"/>
    <x v="2"/>
    <x v="4"/>
    <x v="4"/>
  </r>
  <r>
    <n v="739"/>
    <d v="2023-11-29T00:00:00"/>
    <x v="738"/>
    <x v="0"/>
    <x v="32"/>
    <x v="0"/>
    <x v="0"/>
    <x v="2"/>
    <n v="25"/>
    <x v="16"/>
    <x v="0"/>
    <x v="0"/>
    <x v="0"/>
    <x v="5"/>
    <x v="0"/>
  </r>
  <r>
    <n v="740"/>
    <d v="2023-02-05T00:00:00"/>
    <x v="739"/>
    <x v="1"/>
    <x v="36"/>
    <x v="1"/>
    <x v="0"/>
    <x v="3"/>
    <n v="50"/>
    <x v="7"/>
    <x v="0"/>
    <x v="0"/>
    <x v="1"/>
    <x v="2"/>
    <x v="1"/>
  </r>
  <r>
    <n v="741"/>
    <d v="2023-11-30T00:00:00"/>
    <x v="740"/>
    <x v="0"/>
    <x v="27"/>
    <x v="0"/>
    <x v="1"/>
    <x v="2"/>
    <n v="300"/>
    <x v="13"/>
    <x v="0"/>
    <x v="0"/>
    <x v="0"/>
    <x v="6"/>
    <x v="0"/>
  </r>
  <r>
    <n v="742"/>
    <d v="2023-01-21T00:00:00"/>
    <x v="741"/>
    <x v="1"/>
    <x v="21"/>
    <x v="0"/>
    <x v="2"/>
    <x v="3"/>
    <n v="500"/>
    <x v="11"/>
    <x v="2"/>
    <x v="0"/>
    <x v="1"/>
    <x v="3"/>
    <x v="2"/>
  </r>
  <r>
    <n v="743"/>
    <d v="2023-01-16T00:00:00"/>
    <x v="742"/>
    <x v="1"/>
    <x v="0"/>
    <x v="0"/>
    <x v="0"/>
    <x v="3"/>
    <n v="500"/>
    <x v="11"/>
    <x v="2"/>
    <x v="0"/>
    <x v="1"/>
    <x v="1"/>
    <x v="2"/>
  </r>
  <r>
    <n v="744"/>
    <d v="2023-05-07T00:00:00"/>
    <x v="743"/>
    <x v="0"/>
    <x v="30"/>
    <x v="0"/>
    <x v="2"/>
    <x v="2"/>
    <n v="25"/>
    <x v="16"/>
    <x v="0"/>
    <x v="0"/>
    <x v="2"/>
    <x v="2"/>
    <x v="3"/>
  </r>
  <r>
    <n v="745"/>
    <d v="2023-04-13T00:00:00"/>
    <x v="744"/>
    <x v="0"/>
    <x v="31"/>
    <x v="0"/>
    <x v="0"/>
    <x v="1"/>
    <n v="50"/>
    <x v="4"/>
    <x v="0"/>
    <x v="0"/>
    <x v="2"/>
    <x v="6"/>
    <x v="4"/>
  </r>
  <r>
    <n v="746"/>
    <d v="2023-01-11T00:00:00"/>
    <x v="745"/>
    <x v="1"/>
    <x v="44"/>
    <x v="0"/>
    <x v="1"/>
    <x v="0"/>
    <n v="30"/>
    <x v="15"/>
    <x v="0"/>
    <x v="0"/>
    <x v="1"/>
    <x v="5"/>
    <x v="2"/>
  </r>
  <r>
    <n v="747"/>
    <d v="2023-11-15T00:00:00"/>
    <x v="746"/>
    <x v="0"/>
    <x v="9"/>
    <x v="1"/>
    <x v="0"/>
    <x v="2"/>
    <n v="30"/>
    <x v="2"/>
    <x v="0"/>
    <x v="0"/>
    <x v="0"/>
    <x v="5"/>
    <x v="0"/>
  </r>
  <r>
    <n v="748"/>
    <d v="2023-03-20T00:00:00"/>
    <x v="747"/>
    <x v="0"/>
    <x v="36"/>
    <x v="1"/>
    <x v="1"/>
    <x v="0"/>
    <n v="50"/>
    <x v="0"/>
    <x v="0"/>
    <x v="0"/>
    <x v="1"/>
    <x v="1"/>
    <x v="5"/>
  </r>
  <r>
    <n v="749"/>
    <d v="2023-05-03T00:00:00"/>
    <x v="748"/>
    <x v="0"/>
    <x v="13"/>
    <x v="0"/>
    <x v="0"/>
    <x v="2"/>
    <n v="30"/>
    <x v="2"/>
    <x v="0"/>
    <x v="0"/>
    <x v="2"/>
    <x v="5"/>
    <x v="3"/>
  </r>
  <r>
    <n v="750"/>
    <d v="2023-03-06T00:00:00"/>
    <x v="749"/>
    <x v="1"/>
    <x v="10"/>
    <x v="0"/>
    <x v="1"/>
    <x v="0"/>
    <n v="25"/>
    <x v="8"/>
    <x v="0"/>
    <x v="0"/>
    <x v="1"/>
    <x v="1"/>
    <x v="5"/>
  </r>
  <r>
    <n v="751"/>
    <d v="2023-08-31T00:00:00"/>
    <x v="750"/>
    <x v="1"/>
    <x v="13"/>
    <x v="0"/>
    <x v="1"/>
    <x v="1"/>
    <n v="25"/>
    <x v="5"/>
    <x v="0"/>
    <x v="0"/>
    <x v="3"/>
    <x v="6"/>
    <x v="8"/>
  </r>
  <r>
    <n v="752"/>
    <d v="2023-12-09T00:00:00"/>
    <x v="751"/>
    <x v="0"/>
    <x v="38"/>
    <x v="1"/>
    <x v="1"/>
    <x v="1"/>
    <n v="50"/>
    <x v="4"/>
    <x v="0"/>
    <x v="0"/>
    <x v="0"/>
    <x v="3"/>
    <x v="6"/>
  </r>
  <r>
    <n v="753"/>
    <d v="2023-02-28T00:00:00"/>
    <x v="752"/>
    <x v="1"/>
    <x v="40"/>
    <x v="0"/>
    <x v="1"/>
    <x v="2"/>
    <n v="30"/>
    <x v="2"/>
    <x v="0"/>
    <x v="0"/>
    <x v="1"/>
    <x v="4"/>
    <x v="1"/>
  </r>
  <r>
    <n v="754"/>
    <d v="2023-10-16T00:00:00"/>
    <x v="753"/>
    <x v="1"/>
    <x v="22"/>
    <x v="0"/>
    <x v="2"/>
    <x v="3"/>
    <n v="25"/>
    <x v="4"/>
    <x v="0"/>
    <x v="0"/>
    <x v="0"/>
    <x v="1"/>
    <x v="7"/>
  </r>
  <r>
    <n v="755"/>
    <d v="2023-04-22T00:00:00"/>
    <x v="754"/>
    <x v="1"/>
    <x v="26"/>
    <x v="0"/>
    <x v="1"/>
    <x v="0"/>
    <n v="25"/>
    <x v="8"/>
    <x v="0"/>
    <x v="0"/>
    <x v="2"/>
    <x v="3"/>
    <x v="4"/>
  </r>
  <r>
    <n v="756"/>
    <d v="2023-08-27T00:00:00"/>
    <x v="755"/>
    <x v="1"/>
    <x v="17"/>
    <x v="2"/>
    <x v="2"/>
    <x v="3"/>
    <n v="300"/>
    <x v="14"/>
    <x v="1"/>
    <x v="0"/>
    <x v="3"/>
    <x v="2"/>
    <x v="8"/>
  </r>
  <r>
    <n v="757"/>
    <d v="2023-12-25T00:00:00"/>
    <x v="756"/>
    <x v="1"/>
    <x v="22"/>
    <x v="0"/>
    <x v="2"/>
    <x v="3"/>
    <n v="300"/>
    <x v="14"/>
    <x v="1"/>
    <x v="0"/>
    <x v="0"/>
    <x v="1"/>
    <x v="6"/>
  </r>
  <r>
    <n v="758"/>
    <d v="2023-05-12T00:00:00"/>
    <x v="757"/>
    <x v="0"/>
    <x v="12"/>
    <x v="2"/>
    <x v="1"/>
    <x v="3"/>
    <n v="25"/>
    <x v="4"/>
    <x v="0"/>
    <x v="0"/>
    <x v="2"/>
    <x v="0"/>
    <x v="3"/>
  </r>
  <r>
    <n v="759"/>
    <d v="2023-07-08T00:00:00"/>
    <x v="758"/>
    <x v="0"/>
    <x v="19"/>
    <x v="0"/>
    <x v="2"/>
    <x v="1"/>
    <n v="50"/>
    <x v="4"/>
    <x v="0"/>
    <x v="0"/>
    <x v="3"/>
    <x v="3"/>
    <x v="11"/>
  </r>
  <r>
    <n v="760"/>
    <d v="2023-03-27T00:00:00"/>
    <x v="759"/>
    <x v="0"/>
    <x v="15"/>
    <x v="1"/>
    <x v="0"/>
    <x v="2"/>
    <n v="500"/>
    <x v="3"/>
    <x v="0"/>
    <x v="0"/>
    <x v="1"/>
    <x v="1"/>
    <x v="5"/>
  </r>
  <r>
    <n v="761"/>
    <d v="2023-11-07T00:00:00"/>
    <x v="760"/>
    <x v="1"/>
    <x v="44"/>
    <x v="0"/>
    <x v="1"/>
    <x v="2"/>
    <n v="500"/>
    <x v="3"/>
    <x v="0"/>
    <x v="0"/>
    <x v="0"/>
    <x v="4"/>
    <x v="0"/>
  </r>
  <r>
    <n v="762"/>
    <d v="2023-11-07T00:00:00"/>
    <x v="761"/>
    <x v="1"/>
    <x v="46"/>
    <x v="1"/>
    <x v="2"/>
    <x v="1"/>
    <n v="25"/>
    <x v="5"/>
    <x v="0"/>
    <x v="0"/>
    <x v="0"/>
    <x v="4"/>
    <x v="0"/>
  </r>
  <r>
    <n v="763"/>
    <d v="2023-02-28T00:00:00"/>
    <x v="762"/>
    <x v="0"/>
    <x v="0"/>
    <x v="0"/>
    <x v="1"/>
    <x v="1"/>
    <n v="25"/>
    <x v="5"/>
    <x v="0"/>
    <x v="0"/>
    <x v="1"/>
    <x v="4"/>
    <x v="1"/>
  </r>
  <r>
    <n v="764"/>
    <d v="2023-03-25T00:00:00"/>
    <x v="763"/>
    <x v="1"/>
    <x v="30"/>
    <x v="0"/>
    <x v="1"/>
    <x v="2"/>
    <n v="25"/>
    <x v="16"/>
    <x v="0"/>
    <x v="0"/>
    <x v="1"/>
    <x v="3"/>
    <x v="5"/>
  </r>
  <r>
    <n v="765"/>
    <d v="2023-06-09T00:00:00"/>
    <x v="764"/>
    <x v="0"/>
    <x v="22"/>
    <x v="0"/>
    <x v="1"/>
    <x v="3"/>
    <n v="50"/>
    <x v="7"/>
    <x v="0"/>
    <x v="0"/>
    <x v="2"/>
    <x v="0"/>
    <x v="10"/>
  </r>
  <r>
    <n v="766"/>
    <d v="2023-02-25T00:00:00"/>
    <x v="765"/>
    <x v="0"/>
    <x v="21"/>
    <x v="0"/>
    <x v="2"/>
    <x v="0"/>
    <n v="300"/>
    <x v="12"/>
    <x v="1"/>
    <x v="0"/>
    <x v="1"/>
    <x v="3"/>
    <x v="1"/>
  </r>
  <r>
    <n v="767"/>
    <d v="2023-10-24T00:00:00"/>
    <x v="766"/>
    <x v="0"/>
    <x v="23"/>
    <x v="0"/>
    <x v="0"/>
    <x v="0"/>
    <n v="25"/>
    <x v="8"/>
    <x v="0"/>
    <x v="0"/>
    <x v="0"/>
    <x v="4"/>
    <x v="7"/>
  </r>
  <r>
    <n v="768"/>
    <d v="2023-01-14T00:00:00"/>
    <x v="767"/>
    <x v="1"/>
    <x v="46"/>
    <x v="1"/>
    <x v="0"/>
    <x v="0"/>
    <n v="25"/>
    <x v="8"/>
    <x v="0"/>
    <x v="0"/>
    <x v="1"/>
    <x v="3"/>
    <x v="2"/>
  </r>
  <r>
    <n v="769"/>
    <d v="2023-06-09T00:00:00"/>
    <x v="768"/>
    <x v="1"/>
    <x v="33"/>
    <x v="0"/>
    <x v="2"/>
    <x v="3"/>
    <n v="30"/>
    <x v="10"/>
    <x v="0"/>
    <x v="0"/>
    <x v="2"/>
    <x v="0"/>
    <x v="10"/>
  </r>
  <r>
    <n v="770"/>
    <d v="2023-10-22T00:00:00"/>
    <x v="769"/>
    <x v="0"/>
    <x v="40"/>
    <x v="0"/>
    <x v="1"/>
    <x v="2"/>
    <n v="50"/>
    <x v="5"/>
    <x v="0"/>
    <x v="0"/>
    <x v="0"/>
    <x v="2"/>
    <x v="7"/>
  </r>
  <r>
    <n v="771"/>
    <d v="2023-12-13T00:00:00"/>
    <x v="770"/>
    <x v="0"/>
    <x v="46"/>
    <x v="1"/>
    <x v="2"/>
    <x v="1"/>
    <n v="25"/>
    <x v="5"/>
    <x v="0"/>
    <x v="0"/>
    <x v="0"/>
    <x v="5"/>
    <x v="6"/>
  </r>
  <r>
    <n v="772"/>
    <d v="2023-07-12T00:00:00"/>
    <x v="771"/>
    <x v="0"/>
    <x v="1"/>
    <x v="1"/>
    <x v="2"/>
    <x v="2"/>
    <n v="30"/>
    <x v="2"/>
    <x v="0"/>
    <x v="0"/>
    <x v="3"/>
    <x v="5"/>
    <x v="11"/>
  </r>
  <r>
    <n v="773"/>
    <d v="2023-07-23T00:00:00"/>
    <x v="772"/>
    <x v="0"/>
    <x v="36"/>
    <x v="1"/>
    <x v="2"/>
    <x v="3"/>
    <n v="500"/>
    <x v="11"/>
    <x v="2"/>
    <x v="0"/>
    <x v="3"/>
    <x v="2"/>
    <x v="11"/>
  </r>
  <r>
    <n v="774"/>
    <d v="2023-04-12T00:00:00"/>
    <x v="773"/>
    <x v="1"/>
    <x v="30"/>
    <x v="0"/>
    <x v="1"/>
    <x v="1"/>
    <n v="25"/>
    <x v="5"/>
    <x v="0"/>
    <x v="0"/>
    <x v="2"/>
    <x v="5"/>
    <x v="4"/>
  </r>
  <r>
    <n v="775"/>
    <d v="2023-02-08T00:00:00"/>
    <x v="774"/>
    <x v="1"/>
    <x v="6"/>
    <x v="0"/>
    <x v="2"/>
    <x v="3"/>
    <n v="25"/>
    <x v="4"/>
    <x v="0"/>
    <x v="0"/>
    <x v="1"/>
    <x v="5"/>
    <x v="1"/>
  </r>
  <r>
    <n v="776"/>
    <d v="2023-10-31T00:00:00"/>
    <x v="775"/>
    <x v="0"/>
    <x v="10"/>
    <x v="0"/>
    <x v="1"/>
    <x v="0"/>
    <n v="30"/>
    <x v="15"/>
    <x v="0"/>
    <x v="0"/>
    <x v="0"/>
    <x v="4"/>
    <x v="7"/>
  </r>
  <r>
    <n v="777"/>
    <d v="2023-12-20T00:00:00"/>
    <x v="776"/>
    <x v="0"/>
    <x v="27"/>
    <x v="0"/>
    <x v="2"/>
    <x v="0"/>
    <n v="50"/>
    <x v="0"/>
    <x v="0"/>
    <x v="0"/>
    <x v="0"/>
    <x v="5"/>
    <x v="6"/>
  </r>
  <r>
    <n v="778"/>
    <d v="2023-11-18T00:00:00"/>
    <x v="777"/>
    <x v="1"/>
    <x v="16"/>
    <x v="0"/>
    <x v="0"/>
    <x v="3"/>
    <n v="25"/>
    <x v="4"/>
    <x v="0"/>
    <x v="0"/>
    <x v="0"/>
    <x v="3"/>
    <x v="0"/>
  </r>
  <r>
    <n v="779"/>
    <d v="2023-05-05T00:00:00"/>
    <x v="778"/>
    <x v="1"/>
    <x v="37"/>
    <x v="0"/>
    <x v="2"/>
    <x v="1"/>
    <n v="500"/>
    <x v="1"/>
    <x v="1"/>
    <x v="0"/>
    <x v="2"/>
    <x v="0"/>
    <x v="3"/>
  </r>
  <r>
    <n v="780"/>
    <d v="2023-02-22T00:00:00"/>
    <x v="779"/>
    <x v="0"/>
    <x v="8"/>
    <x v="0"/>
    <x v="2"/>
    <x v="1"/>
    <n v="25"/>
    <x v="5"/>
    <x v="0"/>
    <x v="0"/>
    <x v="1"/>
    <x v="5"/>
    <x v="1"/>
  </r>
  <r>
    <n v="781"/>
    <d v="2023-12-23T00:00:00"/>
    <x v="780"/>
    <x v="0"/>
    <x v="10"/>
    <x v="0"/>
    <x v="0"/>
    <x v="2"/>
    <n v="500"/>
    <x v="3"/>
    <x v="0"/>
    <x v="0"/>
    <x v="0"/>
    <x v="3"/>
    <x v="6"/>
  </r>
  <r>
    <n v="782"/>
    <d v="2023-06-04T00:00:00"/>
    <x v="781"/>
    <x v="0"/>
    <x v="42"/>
    <x v="0"/>
    <x v="1"/>
    <x v="0"/>
    <n v="300"/>
    <x v="12"/>
    <x v="1"/>
    <x v="0"/>
    <x v="2"/>
    <x v="2"/>
    <x v="10"/>
  </r>
  <r>
    <n v="783"/>
    <d v="2023-12-17T00:00:00"/>
    <x v="782"/>
    <x v="1"/>
    <x v="37"/>
    <x v="0"/>
    <x v="1"/>
    <x v="2"/>
    <n v="300"/>
    <x v="13"/>
    <x v="0"/>
    <x v="0"/>
    <x v="0"/>
    <x v="2"/>
    <x v="6"/>
  </r>
  <r>
    <n v="784"/>
    <d v="2023-11-04T00:00:00"/>
    <x v="783"/>
    <x v="1"/>
    <x v="0"/>
    <x v="0"/>
    <x v="2"/>
    <x v="2"/>
    <n v="500"/>
    <x v="3"/>
    <x v="0"/>
    <x v="0"/>
    <x v="0"/>
    <x v="3"/>
    <x v="0"/>
  </r>
  <r>
    <n v="785"/>
    <d v="2023-03-03T00:00:00"/>
    <x v="784"/>
    <x v="1"/>
    <x v="33"/>
    <x v="0"/>
    <x v="0"/>
    <x v="3"/>
    <n v="50"/>
    <x v="7"/>
    <x v="0"/>
    <x v="0"/>
    <x v="1"/>
    <x v="0"/>
    <x v="5"/>
  </r>
  <r>
    <n v="786"/>
    <d v="2023-10-17T00:00:00"/>
    <x v="785"/>
    <x v="0"/>
    <x v="27"/>
    <x v="0"/>
    <x v="1"/>
    <x v="3"/>
    <n v="25"/>
    <x v="4"/>
    <x v="0"/>
    <x v="0"/>
    <x v="0"/>
    <x v="4"/>
    <x v="7"/>
  </r>
  <r>
    <n v="787"/>
    <d v="2023-01-22T00:00:00"/>
    <x v="786"/>
    <x v="0"/>
    <x v="41"/>
    <x v="0"/>
    <x v="2"/>
    <x v="2"/>
    <n v="25"/>
    <x v="16"/>
    <x v="0"/>
    <x v="0"/>
    <x v="1"/>
    <x v="2"/>
    <x v="2"/>
  </r>
  <r>
    <n v="788"/>
    <d v="2023-06-27T00:00:00"/>
    <x v="787"/>
    <x v="1"/>
    <x v="8"/>
    <x v="0"/>
    <x v="0"/>
    <x v="0"/>
    <n v="300"/>
    <x v="12"/>
    <x v="1"/>
    <x v="0"/>
    <x v="2"/>
    <x v="4"/>
    <x v="10"/>
  </r>
  <r>
    <n v="789"/>
    <d v="2023-09-30T00:00:00"/>
    <x v="788"/>
    <x v="1"/>
    <x v="39"/>
    <x v="2"/>
    <x v="1"/>
    <x v="3"/>
    <n v="500"/>
    <x v="11"/>
    <x v="2"/>
    <x v="0"/>
    <x v="3"/>
    <x v="3"/>
    <x v="9"/>
  </r>
  <r>
    <n v="790"/>
    <d v="2023-08-08T00:00:00"/>
    <x v="789"/>
    <x v="0"/>
    <x v="17"/>
    <x v="2"/>
    <x v="1"/>
    <x v="2"/>
    <n v="25"/>
    <x v="16"/>
    <x v="0"/>
    <x v="0"/>
    <x v="3"/>
    <x v="4"/>
    <x v="8"/>
  </r>
  <r>
    <n v="791"/>
    <d v="2023-12-05T00:00:00"/>
    <x v="790"/>
    <x v="1"/>
    <x v="25"/>
    <x v="0"/>
    <x v="0"/>
    <x v="2"/>
    <n v="25"/>
    <x v="16"/>
    <x v="0"/>
    <x v="0"/>
    <x v="0"/>
    <x v="4"/>
    <x v="6"/>
  </r>
  <r>
    <n v="792"/>
    <d v="2023-07-09T00:00:00"/>
    <x v="791"/>
    <x v="1"/>
    <x v="29"/>
    <x v="1"/>
    <x v="0"/>
    <x v="2"/>
    <n v="50"/>
    <x v="5"/>
    <x v="0"/>
    <x v="0"/>
    <x v="3"/>
    <x v="2"/>
    <x v="11"/>
  </r>
  <r>
    <n v="793"/>
    <d v="2023-02-05T00:00:00"/>
    <x v="792"/>
    <x v="0"/>
    <x v="31"/>
    <x v="0"/>
    <x v="0"/>
    <x v="2"/>
    <n v="30"/>
    <x v="2"/>
    <x v="0"/>
    <x v="0"/>
    <x v="1"/>
    <x v="2"/>
    <x v="1"/>
  </r>
  <r>
    <n v="794"/>
    <d v="2023-09-17T00:00:00"/>
    <x v="793"/>
    <x v="1"/>
    <x v="43"/>
    <x v="0"/>
    <x v="0"/>
    <x v="2"/>
    <n v="300"/>
    <x v="13"/>
    <x v="0"/>
    <x v="0"/>
    <x v="3"/>
    <x v="2"/>
    <x v="9"/>
  </r>
  <r>
    <n v="795"/>
    <d v="2023-11-28T00:00:00"/>
    <x v="794"/>
    <x v="0"/>
    <x v="35"/>
    <x v="0"/>
    <x v="2"/>
    <x v="2"/>
    <n v="300"/>
    <x v="13"/>
    <x v="0"/>
    <x v="0"/>
    <x v="0"/>
    <x v="4"/>
    <x v="0"/>
  </r>
  <r>
    <n v="796"/>
    <d v="2023-06-24T00:00:00"/>
    <x v="795"/>
    <x v="0"/>
    <x v="22"/>
    <x v="0"/>
    <x v="0"/>
    <x v="3"/>
    <n v="30"/>
    <x v="10"/>
    <x v="0"/>
    <x v="0"/>
    <x v="2"/>
    <x v="3"/>
    <x v="10"/>
  </r>
  <r>
    <n v="797"/>
    <d v="2023-01-07T00:00:00"/>
    <x v="796"/>
    <x v="0"/>
    <x v="30"/>
    <x v="0"/>
    <x v="1"/>
    <x v="0"/>
    <n v="25"/>
    <x v="8"/>
    <x v="0"/>
    <x v="0"/>
    <x v="1"/>
    <x v="3"/>
    <x v="2"/>
  </r>
  <r>
    <n v="798"/>
    <d v="2023-08-04T00:00:00"/>
    <x v="797"/>
    <x v="0"/>
    <x v="39"/>
    <x v="2"/>
    <x v="1"/>
    <x v="2"/>
    <n v="50"/>
    <x v="5"/>
    <x v="0"/>
    <x v="0"/>
    <x v="3"/>
    <x v="0"/>
    <x v="8"/>
  </r>
  <r>
    <n v="799"/>
    <d v="2023-09-08T00:00:00"/>
    <x v="798"/>
    <x v="0"/>
    <x v="37"/>
    <x v="0"/>
    <x v="2"/>
    <x v="1"/>
    <n v="50"/>
    <x v="4"/>
    <x v="0"/>
    <x v="0"/>
    <x v="3"/>
    <x v="0"/>
    <x v="9"/>
  </r>
  <r>
    <n v="800"/>
    <d v="2023-02-24T00:00:00"/>
    <x v="799"/>
    <x v="0"/>
    <x v="40"/>
    <x v="0"/>
    <x v="1"/>
    <x v="3"/>
    <n v="300"/>
    <x v="14"/>
    <x v="1"/>
    <x v="0"/>
    <x v="1"/>
    <x v="0"/>
    <x v="1"/>
  </r>
  <r>
    <n v="801"/>
    <d v="2023-08-10T00:00:00"/>
    <x v="800"/>
    <x v="0"/>
    <x v="34"/>
    <x v="1"/>
    <x v="1"/>
    <x v="3"/>
    <n v="50"/>
    <x v="7"/>
    <x v="0"/>
    <x v="0"/>
    <x v="3"/>
    <x v="6"/>
    <x v="8"/>
  </r>
  <r>
    <n v="802"/>
    <d v="2023-07-05T00:00:00"/>
    <x v="801"/>
    <x v="1"/>
    <x v="6"/>
    <x v="0"/>
    <x v="0"/>
    <x v="2"/>
    <n v="30"/>
    <x v="2"/>
    <x v="0"/>
    <x v="0"/>
    <x v="3"/>
    <x v="5"/>
    <x v="11"/>
  </r>
  <r>
    <n v="803"/>
    <d v="2023-11-22T00:00:00"/>
    <x v="802"/>
    <x v="0"/>
    <x v="23"/>
    <x v="0"/>
    <x v="1"/>
    <x v="3"/>
    <n v="25"/>
    <x v="4"/>
    <x v="0"/>
    <x v="0"/>
    <x v="0"/>
    <x v="5"/>
    <x v="0"/>
  </r>
  <r>
    <n v="804"/>
    <d v="2023-08-24T00:00:00"/>
    <x v="803"/>
    <x v="0"/>
    <x v="13"/>
    <x v="0"/>
    <x v="2"/>
    <x v="2"/>
    <n v="30"/>
    <x v="2"/>
    <x v="0"/>
    <x v="0"/>
    <x v="3"/>
    <x v="6"/>
    <x v="8"/>
  </r>
  <r>
    <n v="805"/>
    <d v="2023-12-29T00:00:00"/>
    <x v="804"/>
    <x v="1"/>
    <x v="4"/>
    <x v="1"/>
    <x v="0"/>
    <x v="0"/>
    <n v="500"/>
    <x v="9"/>
    <x v="1"/>
    <x v="0"/>
    <x v="0"/>
    <x v="0"/>
    <x v="6"/>
  </r>
  <r>
    <n v="806"/>
    <d v="2023-03-20T00:00:00"/>
    <x v="805"/>
    <x v="1"/>
    <x v="10"/>
    <x v="0"/>
    <x v="0"/>
    <x v="0"/>
    <n v="300"/>
    <x v="12"/>
    <x v="1"/>
    <x v="0"/>
    <x v="1"/>
    <x v="1"/>
    <x v="5"/>
  </r>
  <r>
    <n v="807"/>
    <d v="2023-08-11T00:00:00"/>
    <x v="806"/>
    <x v="1"/>
    <x v="2"/>
    <x v="0"/>
    <x v="2"/>
    <x v="3"/>
    <n v="50"/>
    <x v="7"/>
    <x v="0"/>
    <x v="0"/>
    <x v="3"/>
    <x v="0"/>
    <x v="8"/>
  </r>
  <r>
    <n v="808"/>
    <d v="2023-04-01T00:00:00"/>
    <x v="807"/>
    <x v="0"/>
    <x v="44"/>
    <x v="0"/>
    <x v="0"/>
    <x v="3"/>
    <n v="500"/>
    <x v="11"/>
    <x v="2"/>
    <x v="0"/>
    <x v="2"/>
    <x v="3"/>
    <x v="4"/>
  </r>
  <r>
    <n v="809"/>
    <d v="2023-09-25T00:00:00"/>
    <x v="808"/>
    <x v="1"/>
    <x v="17"/>
    <x v="2"/>
    <x v="0"/>
    <x v="1"/>
    <n v="50"/>
    <x v="4"/>
    <x v="0"/>
    <x v="0"/>
    <x v="3"/>
    <x v="1"/>
    <x v="9"/>
  </r>
  <r>
    <n v="810"/>
    <d v="2023-11-30T00:00:00"/>
    <x v="809"/>
    <x v="0"/>
    <x v="42"/>
    <x v="0"/>
    <x v="2"/>
    <x v="3"/>
    <n v="25"/>
    <x v="4"/>
    <x v="0"/>
    <x v="0"/>
    <x v="0"/>
    <x v="6"/>
    <x v="0"/>
  </r>
  <r>
    <n v="811"/>
    <d v="2023-05-19T00:00:00"/>
    <x v="810"/>
    <x v="0"/>
    <x v="39"/>
    <x v="2"/>
    <x v="0"/>
    <x v="1"/>
    <n v="25"/>
    <x v="5"/>
    <x v="0"/>
    <x v="0"/>
    <x v="2"/>
    <x v="0"/>
    <x v="3"/>
  </r>
  <r>
    <n v="812"/>
    <d v="2023-11-12T00:00:00"/>
    <x v="811"/>
    <x v="0"/>
    <x v="14"/>
    <x v="1"/>
    <x v="2"/>
    <x v="0"/>
    <n v="25"/>
    <x v="8"/>
    <x v="0"/>
    <x v="0"/>
    <x v="0"/>
    <x v="2"/>
    <x v="0"/>
  </r>
  <r>
    <n v="813"/>
    <d v="2023-10-03T00:00:00"/>
    <x v="812"/>
    <x v="0"/>
    <x v="8"/>
    <x v="0"/>
    <x v="2"/>
    <x v="0"/>
    <n v="50"/>
    <x v="0"/>
    <x v="0"/>
    <x v="0"/>
    <x v="0"/>
    <x v="4"/>
    <x v="7"/>
  </r>
  <r>
    <n v="814"/>
    <d v="2023-09-05T00:00:00"/>
    <x v="813"/>
    <x v="1"/>
    <x v="42"/>
    <x v="0"/>
    <x v="1"/>
    <x v="2"/>
    <n v="500"/>
    <x v="3"/>
    <x v="0"/>
    <x v="0"/>
    <x v="3"/>
    <x v="4"/>
    <x v="9"/>
  </r>
  <r>
    <n v="815"/>
    <d v="2023-08-27T00:00:00"/>
    <x v="814"/>
    <x v="1"/>
    <x v="25"/>
    <x v="0"/>
    <x v="1"/>
    <x v="0"/>
    <n v="25"/>
    <x v="8"/>
    <x v="0"/>
    <x v="0"/>
    <x v="3"/>
    <x v="2"/>
    <x v="8"/>
  </r>
  <r>
    <n v="816"/>
    <d v="2023-08-12T00:00:00"/>
    <x v="815"/>
    <x v="0"/>
    <x v="16"/>
    <x v="0"/>
    <x v="0"/>
    <x v="1"/>
    <n v="500"/>
    <x v="1"/>
    <x v="1"/>
    <x v="0"/>
    <x v="3"/>
    <x v="3"/>
    <x v="8"/>
  </r>
  <r>
    <n v="817"/>
    <d v="2023-10-31T00:00:00"/>
    <x v="816"/>
    <x v="0"/>
    <x v="4"/>
    <x v="1"/>
    <x v="0"/>
    <x v="3"/>
    <n v="50"/>
    <x v="7"/>
    <x v="0"/>
    <x v="0"/>
    <x v="0"/>
    <x v="4"/>
    <x v="7"/>
  </r>
  <r>
    <n v="818"/>
    <d v="2023-05-18T00:00:00"/>
    <x v="817"/>
    <x v="0"/>
    <x v="4"/>
    <x v="1"/>
    <x v="2"/>
    <x v="2"/>
    <n v="500"/>
    <x v="3"/>
    <x v="0"/>
    <x v="0"/>
    <x v="2"/>
    <x v="6"/>
    <x v="3"/>
  </r>
  <r>
    <n v="819"/>
    <d v="2023-06-15T00:00:00"/>
    <x v="818"/>
    <x v="1"/>
    <x v="10"/>
    <x v="0"/>
    <x v="0"/>
    <x v="1"/>
    <n v="50"/>
    <x v="4"/>
    <x v="0"/>
    <x v="0"/>
    <x v="2"/>
    <x v="6"/>
    <x v="10"/>
  </r>
  <r>
    <n v="820"/>
    <d v="2023-05-06T00:00:00"/>
    <x v="819"/>
    <x v="0"/>
    <x v="19"/>
    <x v="0"/>
    <x v="2"/>
    <x v="3"/>
    <n v="50"/>
    <x v="7"/>
    <x v="0"/>
    <x v="0"/>
    <x v="2"/>
    <x v="3"/>
    <x v="3"/>
  </r>
  <r>
    <n v="821"/>
    <d v="2023-02-14T00:00:00"/>
    <x v="820"/>
    <x v="0"/>
    <x v="19"/>
    <x v="0"/>
    <x v="2"/>
    <x v="2"/>
    <n v="300"/>
    <x v="13"/>
    <x v="0"/>
    <x v="0"/>
    <x v="1"/>
    <x v="4"/>
    <x v="1"/>
  </r>
  <r>
    <n v="822"/>
    <d v="2023-05-23T00:00:00"/>
    <x v="821"/>
    <x v="1"/>
    <x v="8"/>
    <x v="0"/>
    <x v="0"/>
    <x v="0"/>
    <n v="50"/>
    <x v="0"/>
    <x v="0"/>
    <x v="0"/>
    <x v="2"/>
    <x v="4"/>
    <x v="3"/>
  </r>
  <r>
    <n v="823"/>
    <d v="2023-08-19T00:00:00"/>
    <x v="822"/>
    <x v="1"/>
    <x v="37"/>
    <x v="0"/>
    <x v="2"/>
    <x v="1"/>
    <n v="50"/>
    <x v="4"/>
    <x v="0"/>
    <x v="0"/>
    <x v="3"/>
    <x v="3"/>
    <x v="8"/>
  </r>
  <r>
    <n v="824"/>
    <d v="2023-05-05T00:00:00"/>
    <x v="823"/>
    <x v="0"/>
    <x v="7"/>
    <x v="2"/>
    <x v="1"/>
    <x v="3"/>
    <n v="30"/>
    <x v="10"/>
    <x v="0"/>
    <x v="0"/>
    <x v="2"/>
    <x v="0"/>
    <x v="3"/>
  </r>
  <r>
    <n v="825"/>
    <d v="2023-08-26T00:00:00"/>
    <x v="824"/>
    <x v="1"/>
    <x v="6"/>
    <x v="0"/>
    <x v="0"/>
    <x v="2"/>
    <n v="25"/>
    <x v="16"/>
    <x v="0"/>
    <x v="0"/>
    <x v="3"/>
    <x v="3"/>
    <x v="8"/>
  </r>
  <r>
    <n v="826"/>
    <d v="2023-10-19T00:00:00"/>
    <x v="825"/>
    <x v="1"/>
    <x v="6"/>
    <x v="0"/>
    <x v="1"/>
    <x v="2"/>
    <n v="300"/>
    <x v="13"/>
    <x v="0"/>
    <x v="0"/>
    <x v="0"/>
    <x v="6"/>
    <x v="7"/>
  </r>
  <r>
    <n v="827"/>
    <d v="2023-11-09T00:00:00"/>
    <x v="826"/>
    <x v="0"/>
    <x v="39"/>
    <x v="2"/>
    <x v="0"/>
    <x v="0"/>
    <n v="300"/>
    <x v="12"/>
    <x v="1"/>
    <x v="0"/>
    <x v="0"/>
    <x v="6"/>
    <x v="0"/>
  </r>
  <r>
    <n v="828"/>
    <d v="2023-12-09T00:00:00"/>
    <x v="827"/>
    <x v="1"/>
    <x v="44"/>
    <x v="0"/>
    <x v="2"/>
    <x v="3"/>
    <n v="300"/>
    <x v="14"/>
    <x v="1"/>
    <x v="0"/>
    <x v="0"/>
    <x v="3"/>
    <x v="6"/>
  </r>
  <r>
    <n v="829"/>
    <d v="2023-07-14T00:00:00"/>
    <x v="828"/>
    <x v="0"/>
    <x v="39"/>
    <x v="2"/>
    <x v="0"/>
    <x v="0"/>
    <n v="30"/>
    <x v="15"/>
    <x v="0"/>
    <x v="0"/>
    <x v="3"/>
    <x v="0"/>
    <x v="11"/>
  </r>
  <r>
    <n v="830"/>
    <d v="2023-06-22T00:00:00"/>
    <x v="829"/>
    <x v="1"/>
    <x v="12"/>
    <x v="2"/>
    <x v="1"/>
    <x v="0"/>
    <n v="50"/>
    <x v="0"/>
    <x v="0"/>
    <x v="0"/>
    <x v="2"/>
    <x v="6"/>
    <x v="10"/>
  </r>
  <r>
    <n v="831"/>
    <d v="2023-01-15T00:00:00"/>
    <x v="830"/>
    <x v="0"/>
    <x v="15"/>
    <x v="1"/>
    <x v="2"/>
    <x v="3"/>
    <n v="25"/>
    <x v="4"/>
    <x v="0"/>
    <x v="0"/>
    <x v="1"/>
    <x v="2"/>
    <x v="2"/>
  </r>
  <r>
    <n v="832"/>
    <d v="2023-09-11T00:00:00"/>
    <x v="831"/>
    <x v="0"/>
    <x v="16"/>
    <x v="0"/>
    <x v="0"/>
    <x v="3"/>
    <n v="500"/>
    <x v="11"/>
    <x v="2"/>
    <x v="0"/>
    <x v="3"/>
    <x v="1"/>
    <x v="9"/>
  </r>
  <r>
    <n v="833"/>
    <d v="2023-06-16T00:00:00"/>
    <x v="832"/>
    <x v="0"/>
    <x v="13"/>
    <x v="0"/>
    <x v="0"/>
    <x v="3"/>
    <n v="50"/>
    <x v="7"/>
    <x v="0"/>
    <x v="0"/>
    <x v="2"/>
    <x v="0"/>
    <x v="10"/>
  </r>
  <r>
    <n v="834"/>
    <d v="2023-04-04T00:00:00"/>
    <x v="833"/>
    <x v="1"/>
    <x v="37"/>
    <x v="0"/>
    <x v="0"/>
    <x v="1"/>
    <n v="30"/>
    <x v="17"/>
    <x v="0"/>
    <x v="0"/>
    <x v="2"/>
    <x v="4"/>
    <x v="4"/>
  </r>
  <r>
    <n v="835"/>
    <d v="2023-09-07T00:00:00"/>
    <x v="834"/>
    <x v="0"/>
    <x v="3"/>
    <x v="0"/>
    <x v="1"/>
    <x v="3"/>
    <n v="50"/>
    <x v="7"/>
    <x v="0"/>
    <x v="0"/>
    <x v="3"/>
    <x v="6"/>
    <x v="9"/>
  </r>
  <r>
    <n v="836"/>
    <d v="2023-04-19T00:00:00"/>
    <x v="835"/>
    <x v="1"/>
    <x v="11"/>
    <x v="1"/>
    <x v="1"/>
    <x v="2"/>
    <n v="50"/>
    <x v="5"/>
    <x v="0"/>
    <x v="0"/>
    <x v="2"/>
    <x v="5"/>
    <x v="4"/>
  </r>
  <r>
    <n v="837"/>
    <d v="2023-07-01T00:00:00"/>
    <x v="836"/>
    <x v="0"/>
    <x v="18"/>
    <x v="1"/>
    <x v="0"/>
    <x v="0"/>
    <n v="30"/>
    <x v="15"/>
    <x v="0"/>
    <x v="0"/>
    <x v="3"/>
    <x v="3"/>
    <x v="11"/>
  </r>
  <r>
    <n v="838"/>
    <d v="2023-05-13T00:00:00"/>
    <x v="837"/>
    <x v="0"/>
    <x v="16"/>
    <x v="0"/>
    <x v="2"/>
    <x v="1"/>
    <n v="300"/>
    <x v="6"/>
    <x v="1"/>
    <x v="0"/>
    <x v="2"/>
    <x v="3"/>
    <x v="3"/>
  </r>
  <r>
    <n v="839"/>
    <d v="2023-06-24T00:00:00"/>
    <x v="838"/>
    <x v="1"/>
    <x v="29"/>
    <x v="1"/>
    <x v="2"/>
    <x v="3"/>
    <n v="300"/>
    <x v="14"/>
    <x v="1"/>
    <x v="0"/>
    <x v="2"/>
    <x v="3"/>
    <x v="10"/>
  </r>
  <r>
    <n v="840"/>
    <d v="2023-05-24T00:00:00"/>
    <x v="839"/>
    <x v="0"/>
    <x v="17"/>
    <x v="2"/>
    <x v="1"/>
    <x v="1"/>
    <n v="25"/>
    <x v="5"/>
    <x v="0"/>
    <x v="0"/>
    <x v="2"/>
    <x v="5"/>
    <x v="3"/>
  </r>
  <r>
    <n v="841"/>
    <d v="2023-11-02T00:00:00"/>
    <x v="840"/>
    <x v="0"/>
    <x v="33"/>
    <x v="0"/>
    <x v="2"/>
    <x v="3"/>
    <n v="25"/>
    <x v="4"/>
    <x v="0"/>
    <x v="0"/>
    <x v="0"/>
    <x v="6"/>
    <x v="0"/>
  </r>
  <r>
    <n v="842"/>
    <d v="2023-12-26T00:00:00"/>
    <x v="841"/>
    <x v="1"/>
    <x v="16"/>
    <x v="0"/>
    <x v="1"/>
    <x v="1"/>
    <n v="300"/>
    <x v="6"/>
    <x v="1"/>
    <x v="0"/>
    <x v="0"/>
    <x v="4"/>
    <x v="6"/>
  </r>
  <r>
    <n v="843"/>
    <d v="2023-05-22T00:00:00"/>
    <x v="842"/>
    <x v="0"/>
    <x v="34"/>
    <x v="1"/>
    <x v="0"/>
    <x v="0"/>
    <n v="500"/>
    <x v="9"/>
    <x v="1"/>
    <x v="0"/>
    <x v="2"/>
    <x v="1"/>
    <x v="3"/>
  </r>
  <r>
    <n v="844"/>
    <d v="2023-10-12T00:00:00"/>
    <x v="843"/>
    <x v="0"/>
    <x v="10"/>
    <x v="0"/>
    <x v="1"/>
    <x v="0"/>
    <n v="50"/>
    <x v="0"/>
    <x v="0"/>
    <x v="0"/>
    <x v="0"/>
    <x v="6"/>
    <x v="7"/>
  </r>
  <r>
    <n v="845"/>
    <d v="2023-01-06T00:00:00"/>
    <x v="844"/>
    <x v="0"/>
    <x v="31"/>
    <x v="0"/>
    <x v="1"/>
    <x v="2"/>
    <n v="500"/>
    <x v="3"/>
    <x v="0"/>
    <x v="0"/>
    <x v="1"/>
    <x v="0"/>
    <x v="2"/>
  </r>
  <r>
    <n v="846"/>
    <d v="2023-09-22T00:00:00"/>
    <x v="845"/>
    <x v="0"/>
    <x v="13"/>
    <x v="0"/>
    <x v="0"/>
    <x v="2"/>
    <n v="50"/>
    <x v="5"/>
    <x v="0"/>
    <x v="0"/>
    <x v="3"/>
    <x v="0"/>
    <x v="9"/>
  </r>
  <r>
    <n v="847"/>
    <d v="2023-04-08T00:00:00"/>
    <x v="846"/>
    <x v="1"/>
    <x v="18"/>
    <x v="1"/>
    <x v="2"/>
    <x v="3"/>
    <n v="300"/>
    <x v="14"/>
    <x v="1"/>
    <x v="0"/>
    <x v="2"/>
    <x v="3"/>
    <x v="4"/>
  </r>
  <r>
    <n v="848"/>
    <d v="2023-02-13T00:00:00"/>
    <x v="847"/>
    <x v="1"/>
    <x v="7"/>
    <x v="2"/>
    <x v="1"/>
    <x v="0"/>
    <n v="25"/>
    <x v="8"/>
    <x v="0"/>
    <x v="0"/>
    <x v="1"/>
    <x v="1"/>
    <x v="1"/>
  </r>
  <r>
    <n v="849"/>
    <d v="2023-05-04T00:00:00"/>
    <x v="848"/>
    <x v="0"/>
    <x v="40"/>
    <x v="0"/>
    <x v="1"/>
    <x v="1"/>
    <n v="25"/>
    <x v="5"/>
    <x v="0"/>
    <x v="0"/>
    <x v="2"/>
    <x v="6"/>
    <x v="3"/>
  </r>
  <r>
    <n v="850"/>
    <d v="2023-07-28T00:00:00"/>
    <x v="849"/>
    <x v="1"/>
    <x v="1"/>
    <x v="1"/>
    <x v="0"/>
    <x v="1"/>
    <n v="500"/>
    <x v="1"/>
    <x v="1"/>
    <x v="0"/>
    <x v="3"/>
    <x v="0"/>
    <x v="11"/>
  </r>
  <r>
    <n v="851"/>
    <d v="2023-09-08T00:00:00"/>
    <x v="850"/>
    <x v="0"/>
    <x v="40"/>
    <x v="0"/>
    <x v="2"/>
    <x v="1"/>
    <n v="25"/>
    <x v="5"/>
    <x v="0"/>
    <x v="0"/>
    <x v="3"/>
    <x v="0"/>
    <x v="9"/>
  </r>
  <r>
    <n v="852"/>
    <d v="2023-10-12T00:00:00"/>
    <x v="851"/>
    <x v="1"/>
    <x v="41"/>
    <x v="0"/>
    <x v="1"/>
    <x v="2"/>
    <n v="300"/>
    <x v="13"/>
    <x v="0"/>
    <x v="0"/>
    <x v="0"/>
    <x v="6"/>
    <x v="7"/>
  </r>
  <r>
    <n v="853"/>
    <d v="2023-05-04T00:00:00"/>
    <x v="852"/>
    <x v="0"/>
    <x v="34"/>
    <x v="1"/>
    <x v="0"/>
    <x v="1"/>
    <n v="500"/>
    <x v="1"/>
    <x v="1"/>
    <x v="0"/>
    <x v="2"/>
    <x v="6"/>
    <x v="3"/>
  </r>
  <r>
    <n v="854"/>
    <d v="2023-12-20T00:00:00"/>
    <x v="853"/>
    <x v="0"/>
    <x v="38"/>
    <x v="1"/>
    <x v="1"/>
    <x v="2"/>
    <n v="50"/>
    <x v="5"/>
    <x v="0"/>
    <x v="0"/>
    <x v="0"/>
    <x v="5"/>
    <x v="6"/>
  </r>
  <r>
    <n v="855"/>
    <d v="2023-09-01T00:00:00"/>
    <x v="854"/>
    <x v="0"/>
    <x v="31"/>
    <x v="0"/>
    <x v="0"/>
    <x v="2"/>
    <n v="25"/>
    <x v="16"/>
    <x v="0"/>
    <x v="0"/>
    <x v="3"/>
    <x v="0"/>
    <x v="9"/>
  </r>
  <r>
    <n v="856"/>
    <d v="2023-11-27T00:00:00"/>
    <x v="855"/>
    <x v="0"/>
    <x v="31"/>
    <x v="0"/>
    <x v="2"/>
    <x v="3"/>
    <n v="30"/>
    <x v="10"/>
    <x v="0"/>
    <x v="0"/>
    <x v="0"/>
    <x v="1"/>
    <x v="0"/>
  </r>
  <r>
    <n v="857"/>
    <d v="2023-12-31T00:00:00"/>
    <x v="856"/>
    <x v="0"/>
    <x v="43"/>
    <x v="0"/>
    <x v="2"/>
    <x v="1"/>
    <n v="25"/>
    <x v="5"/>
    <x v="0"/>
    <x v="0"/>
    <x v="0"/>
    <x v="2"/>
    <x v="6"/>
  </r>
  <r>
    <n v="858"/>
    <d v="2023-09-09T00:00:00"/>
    <x v="857"/>
    <x v="0"/>
    <x v="9"/>
    <x v="1"/>
    <x v="2"/>
    <x v="1"/>
    <n v="50"/>
    <x v="4"/>
    <x v="0"/>
    <x v="0"/>
    <x v="3"/>
    <x v="3"/>
    <x v="9"/>
  </r>
  <r>
    <n v="859"/>
    <d v="2023-08-18T00:00:00"/>
    <x v="858"/>
    <x v="1"/>
    <x v="37"/>
    <x v="0"/>
    <x v="2"/>
    <x v="0"/>
    <n v="500"/>
    <x v="9"/>
    <x v="1"/>
    <x v="0"/>
    <x v="3"/>
    <x v="0"/>
    <x v="8"/>
  </r>
  <r>
    <n v="860"/>
    <d v="2023-01-09T00:00:00"/>
    <x v="859"/>
    <x v="0"/>
    <x v="7"/>
    <x v="2"/>
    <x v="1"/>
    <x v="3"/>
    <n v="50"/>
    <x v="7"/>
    <x v="0"/>
    <x v="0"/>
    <x v="1"/>
    <x v="1"/>
    <x v="2"/>
  </r>
  <r>
    <n v="861"/>
    <d v="2023-02-17T00:00:00"/>
    <x v="860"/>
    <x v="1"/>
    <x v="41"/>
    <x v="0"/>
    <x v="1"/>
    <x v="0"/>
    <n v="30"/>
    <x v="15"/>
    <x v="0"/>
    <x v="0"/>
    <x v="1"/>
    <x v="0"/>
    <x v="1"/>
  </r>
  <r>
    <n v="862"/>
    <d v="2023-05-31T00:00:00"/>
    <x v="861"/>
    <x v="0"/>
    <x v="20"/>
    <x v="1"/>
    <x v="2"/>
    <x v="3"/>
    <n v="300"/>
    <x v="14"/>
    <x v="1"/>
    <x v="0"/>
    <x v="2"/>
    <x v="5"/>
    <x v="3"/>
  </r>
  <r>
    <n v="863"/>
    <d v="2023-04-24T00:00:00"/>
    <x v="862"/>
    <x v="1"/>
    <x v="4"/>
    <x v="1"/>
    <x v="2"/>
    <x v="1"/>
    <n v="25"/>
    <x v="5"/>
    <x v="0"/>
    <x v="0"/>
    <x v="2"/>
    <x v="1"/>
    <x v="4"/>
  </r>
  <r>
    <n v="864"/>
    <d v="2023-07-27T00:00:00"/>
    <x v="863"/>
    <x v="1"/>
    <x v="25"/>
    <x v="0"/>
    <x v="2"/>
    <x v="2"/>
    <n v="500"/>
    <x v="3"/>
    <x v="0"/>
    <x v="0"/>
    <x v="3"/>
    <x v="6"/>
    <x v="11"/>
  </r>
  <r>
    <n v="865"/>
    <d v="2023-12-21T00:00:00"/>
    <x v="864"/>
    <x v="1"/>
    <x v="13"/>
    <x v="0"/>
    <x v="1"/>
    <x v="2"/>
    <n v="300"/>
    <x v="13"/>
    <x v="0"/>
    <x v="0"/>
    <x v="0"/>
    <x v="6"/>
    <x v="6"/>
  </r>
  <r>
    <n v="866"/>
    <d v="2023-05-05T00:00:00"/>
    <x v="865"/>
    <x v="0"/>
    <x v="46"/>
    <x v="1"/>
    <x v="2"/>
    <x v="2"/>
    <n v="50"/>
    <x v="5"/>
    <x v="0"/>
    <x v="0"/>
    <x v="2"/>
    <x v="0"/>
    <x v="3"/>
  </r>
  <r>
    <n v="867"/>
    <d v="2023-06-06T00:00:00"/>
    <x v="866"/>
    <x v="0"/>
    <x v="34"/>
    <x v="1"/>
    <x v="2"/>
    <x v="2"/>
    <n v="500"/>
    <x v="3"/>
    <x v="0"/>
    <x v="0"/>
    <x v="2"/>
    <x v="4"/>
    <x v="10"/>
  </r>
  <r>
    <n v="868"/>
    <d v="2023-12-06T00:00:00"/>
    <x v="867"/>
    <x v="1"/>
    <x v="36"/>
    <x v="1"/>
    <x v="2"/>
    <x v="2"/>
    <n v="300"/>
    <x v="13"/>
    <x v="0"/>
    <x v="0"/>
    <x v="0"/>
    <x v="5"/>
    <x v="6"/>
  </r>
  <r>
    <n v="869"/>
    <d v="2023-10-25T00:00:00"/>
    <x v="868"/>
    <x v="0"/>
    <x v="3"/>
    <x v="0"/>
    <x v="0"/>
    <x v="0"/>
    <n v="500"/>
    <x v="9"/>
    <x v="1"/>
    <x v="0"/>
    <x v="0"/>
    <x v="5"/>
    <x v="7"/>
  </r>
  <r>
    <n v="870"/>
    <d v="2023-07-08T00:00:00"/>
    <x v="869"/>
    <x v="1"/>
    <x v="6"/>
    <x v="0"/>
    <x v="2"/>
    <x v="3"/>
    <n v="30"/>
    <x v="10"/>
    <x v="0"/>
    <x v="0"/>
    <x v="3"/>
    <x v="3"/>
    <x v="11"/>
  </r>
  <r>
    <n v="871"/>
    <d v="2023-08-31T00:00:00"/>
    <x v="870"/>
    <x v="0"/>
    <x v="17"/>
    <x v="2"/>
    <x v="0"/>
    <x v="1"/>
    <n v="30"/>
    <x v="17"/>
    <x v="0"/>
    <x v="0"/>
    <x v="3"/>
    <x v="6"/>
    <x v="8"/>
  </r>
  <r>
    <n v="872"/>
    <d v="2023-10-11T00:00:00"/>
    <x v="871"/>
    <x v="1"/>
    <x v="7"/>
    <x v="2"/>
    <x v="0"/>
    <x v="0"/>
    <n v="25"/>
    <x v="8"/>
    <x v="0"/>
    <x v="0"/>
    <x v="0"/>
    <x v="5"/>
    <x v="7"/>
  </r>
  <r>
    <n v="873"/>
    <d v="2023-09-29T00:00:00"/>
    <x v="872"/>
    <x v="1"/>
    <x v="15"/>
    <x v="1"/>
    <x v="2"/>
    <x v="3"/>
    <n v="25"/>
    <x v="4"/>
    <x v="0"/>
    <x v="0"/>
    <x v="3"/>
    <x v="0"/>
    <x v="9"/>
  </r>
  <r>
    <n v="874"/>
    <d v="2023-06-26T00:00:00"/>
    <x v="873"/>
    <x v="0"/>
    <x v="43"/>
    <x v="0"/>
    <x v="0"/>
    <x v="2"/>
    <n v="30"/>
    <x v="2"/>
    <x v="0"/>
    <x v="0"/>
    <x v="2"/>
    <x v="1"/>
    <x v="10"/>
  </r>
  <r>
    <n v="875"/>
    <d v="2023-08-06T00:00:00"/>
    <x v="874"/>
    <x v="1"/>
    <x v="25"/>
    <x v="0"/>
    <x v="2"/>
    <x v="3"/>
    <n v="500"/>
    <x v="11"/>
    <x v="2"/>
    <x v="0"/>
    <x v="3"/>
    <x v="2"/>
    <x v="8"/>
  </r>
  <r>
    <n v="876"/>
    <d v="2023-10-09T00:00:00"/>
    <x v="875"/>
    <x v="0"/>
    <x v="22"/>
    <x v="0"/>
    <x v="1"/>
    <x v="3"/>
    <n v="30"/>
    <x v="10"/>
    <x v="0"/>
    <x v="0"/>
    <x v="0"/>
    <x v="1"/>
    <x v="7"/>
  </r>
  <r>
    <n v="877"/>
    <d v="2023-06-19T00:00:00"/>
    <x v="876"/>
    <x v="1"/>
    <x v="26"/>
    <x v="0"/>
    <x v="1"/>
    <x v="2"/>
    <n v="25"/>
    <x v="16"/>
    <x v="0"/>
    <x v="0"/>
    <x v="2"/>
    <x v="1"/>
    <x v="10"/>
  </r>
  <r>
    <n v="878"/>
    <d v="2023-06-30T00:00:00"/>
    <x v="877"/>
    <x v="1"/>
    <x v="29"/>
    <x v="1"/>
    <x v="1"/>
    <x v="2"/>
    <n v="30"/>
    <x v="2"/>
    <x v="0"/>
    <x v="0"/>
    <x v="2"/>
    <x v="0"/>
    <x v="10"/>
  </r>
  <r>
    <n v="879"/>
    <d v="2023-12-26T00:00:00"/>
    <x v="878"/>
    <x v="0"/>
    <x v="9"/>
    <x v="1"/>
    <x v="1"/>
    <x v="2"/>
    <n v="30"/>
    <x v="2"/>
    <x v="0"/>
    <x v="0"/>
    <x v="0"/>
    <x v="4"/>
    <x v="6"/>
  </r>
  <r>
    <n v="880"/>
    <d v="2023-08-21T00:00:00"/>
    <x v="879"/>
    <x v="0"/>
    <x v="11"/>
    <x v="1"/>
    <x v="0"/>
    <x v="1"/>
    <n v="500"/>
    <x v="1"/>
    <x v="1"/>
    <x v="0"/>
    <x v="3"/>
    <x v="1"/>
    <x v="8"/>
  </r>
  <r>
    <n v="881"/>
    <d v="2023-05-19T00:00:00"/>
    <x v="880"/>
    <x v="0"/>
    <x v="11"/>
    <x v="1"/>
    <x v="2"/>
    <x v="2"/>
    <n v="300"/>
    <x v="13"/>
    <x v="0"/>
    <x v="0"/>
    <x v="2"/>
    <x v="0"/>
    <x v="3"/>
  </r>
  <r>
    <n v="882"/>
    <d v="2023-06-06T00:00:00"/>
    <x v="881"/>
    <x v="1"/>
    <x v="12"/>
    <x v="2"/>
    <x v="2"/>
    <x v="1"/>
    <n v="25"/>
    <x v="5"/>
    <x v="0"/>
    <x v="0"/>
    <x v="2"/>
    <x v="4"/>
    <x v="10"/>
  </r>
  <r>
    <n v="883"/>
    <d v="2023-05-09T00:00:00"/>
    <x v="882"/>
    <x v="0"/>
    <x v="30"/>
    <x v="0"/>
    <x v="2"/>
    <x v="2"/>
    <n v="500"/>
    <x v="3"/>
    <x v="0"/>
    <x v="0"/>
    <x v="2"/>
    <x v="4"/>
    <x v="3"/>
  </r>
  <r>
    <n v="884"/>
    <d v="2023-04-29T00:00:00"/>
    <x v="883"/>
    <x v="1"/>
    <x v="1"/>
    <x v="1"/>
    <x v="1"/>
    <x v="1"/>
    <n v="30"/>
    <x v="17"/>
    <x v="0"/>
    <x v="0"/>
    <x v="2"/>
    <x v="3"/>
    <x v="4"/>
  </r>
  <r>
    <n v="885"/>
    <d v="2023-03-03T00:00:00"/>
    <x v="884"/>
    <x v="1"/>
    <x v="8"/>
    <x v="0"/>
    <x v="1"/>
    <x v="3"/>
    <n v="30"/>
    <x v="10"/>
    <x v="0"/>
    <x v="0"/>
    <x v="1"/>
    <x v="0"/>
    <x v="5"/>
  </r>
  <r>
    <n v="886"/>
    <d v="2023-04-09T00:00:00"/>
    <x v="885"/>
    <x v="0"/>
    <x v="3"/>
    <x v="0"/>
    <x v="2"/>
    <x v="0"/>
    <n v="300"/>
    <x v="12"/>
    <x v="1"/>
    <x v="0"/>
    <x v="2"/>
    <x v="2"/>
    <x v="4"/>
  </r>
  <r>
    <n v="887"/>
    <d v="2023-06-11T00:00:00"/>
    <x v="886"/>
    <x v="0"/>
    <x v="42"/>
    <x v="0"/>
    <x v="1"/>
    <x v="3"/>
    <n v="25"/>
    <x v="4"/>
    <x v="0"/>
    <x v="0"/>
    <x v="2"/>
    <x v="2"/>
    <x v="10"/>
  </r>
  <r>
    <n v="888"/>
    <d v="2023-03-03T00:00:00"/>
    <x v="887"/>
    <x v="1"/>
    <x v="8"/>
    <x v="0"/>
    <x v="2"/>
    <x v="3"/>
    <n v="25"/>
    <x v="4"/>
    <x v="0"/>
    <x v="0"/>
    <x v="1"/>
    <x v="0"/>
    <x v="5"/>
  </r>
  <r>
    <n v="889"/>
    <d v="2023-10-02T00:00:00"/>
    <x v="888"/>
    <x v="1"/>
    <x v="10"/>
    <x v="0"/>
    <x v="2"/>
    <x v="2"/>
    <n v="50"/>
    <x v="5"/>
    <x v="0"/>
    <x v="0"/>
    <x v="0"/>
    <x v="1"/>
    <x v="7"/>
  </r>
  <r>
    <n v="890"/>
    <d v="2023-12-20T00:00:00"/>
    <x v="889"/>
    <x v="0"/>
    <x v="0"/>
    <x v="0"/>
    <x v="2"/>
    <x v="1"/>
    <n v="25"/>
    <x v="5"/>
    <x v="0"/>
    <x v="0"/>
    <x v="0"/>
    <x v="5"/>
    <x v="6"/>
  </r>
  <r>
    <n v="891"/>
    <d v="2023-04-05T00:00:00"/>
    <x v="890"/>
    <x v="0"/>
    <x v="41"/>
    <x v="0"/>
    <x v="2"/>
    <x v="0"/>
    <n v="300"/>
    <x v="12"/>
    <x v="1"/>
    <x v="0"/>
    <x v="2"/>
    <x v="5"/>
    <x v="4"/>
  </r>
  <r>
    <n v="892"/>
    <d v="2023-04-09T00:00:00"/>
    <x v="891"/>
    <x v="0"/>
    <x v="29"/>
    <x v="1"/>
    <x v="2"/>
    <x v="2"/>
    <n v="50"/>
    <x v="5"/>
    <x v="0"/>
    <x v="0"/>
    <x v="2"/>
    <x v="2"/>
    <x v="4"/>
  </r>
  <r>
    <n v="893"/>
    <d v="2023-04-21T00:00:00"/>
    <x v="892"/>
    <x v="0"/>
    <x v="19"/>
    <x v="0"/>
    <x v="2"/>
    <x v="2"/>
    <n v="50"/>
    <x v="5"/>
    <x v="0"/>
    <x v="0"/>
    <x v="2"/>
    <x v="0"/>
    <x v="4"/>
  </r>
  <r>
    <n v="894"/>
    <d v="2023-09-05T00:00:00"/>
    <x v="893"/>
    <x v="0"/>
    <x v="8"/>
    <x v="0"/>
    <x v="2"/>
    <x v="2"/>
    <n v="30"/>
    <x v="2"/>
    <x v="0"/>
    <x v="0"/>
    <x v="3"/>
    <x v="4"/>
    <x v="9"/>
  </r>
  <r>
    <n v="895"/>
    <d v="2023-05-22T00:00:00"/>
    <x v="894"/>
    <x v="1"/>
    <x v="28"/>
    <x v="0"/>
    <x v="1"/>
    <x v="3"/>
    <n v="30"/>
    <x v="10"/>
    <x v="0"/>
    <x v="0"/>
    <x v="2"/>
    <x v="1"/>
    <x v="3"/>
  </r>
  <r>
    <n v="896"/>
    <d v="2023-10-29T00:00:00"/>
    <x v="895"/>
    <x v="1"/>
    <x v="4"/>
    <x v="1"/>
    <x v="2"/>
    <x v="1"/>
    <n v="25"/>
    <x v="5"/>
    <x v="0"/>
    <x v="0"/>
    <x v="0"/>
    <x v="2"/>
    <x v="7"/>
  </r>
  <r>
    <n v="897"/>
    <d v="2023-09-26T00:00:00"/>
    <x v="896"/>
    <x v="1"/>
    <x v="12"/>
    <x v="2"/>
    <x v="2"/>
    <x v="1"/>
    <n v="50"/>
    <x v="4"/>
    <x v="0"/>
    <x v="0"/>
    <x v="3"/>
    <x v="4"/>
    <x v="9"/>
  </r>
  <r>
    <n v="898"/>
    <d v="2023-11-02T00:00:00"/>
    <x v="897"/>
    <x v="1"/>
    <x v="13"/>
    <x v="0"/>
    <x v="1"/>
    <x v="0"/>
    <n v="30"/>
    <x v="15"/>
    <x v="0"/>
    <x v="0"/>
    <x v="0"/>
    <x v="6"/>
    <x v="0"/>
  </r>
  <r>
    <n v="899"/>
    <d v="2023-05-25T00:00:00"/>
    <x v="898"/>
    <x v="0"/>
    <x v="1"/>
    <x v="1"/>
    <x v="1"/>
    <x v="1"/>
    <n v="300"/>
    <x v="6"/>
    <x v="1"/>
    <x v="0"/>
    <x v="2"/>
    <x v="6"/>
    <x v="3"/>
  </r>
  <r>
    <n v="900"/>
    <d v="2023-02-21T00:00:00"/>
    <x v="899"/>
    <x v="0"/>
    <x v="34"/>
    <x v="1"/>
    <x v="1"/>
    <x v="1"/>
    <n v="30"/>
    <x v="17"/>
    <x v="0"/>
    <x v="0"/>
    <x v="1"/>
    <x v="4"/>
    <x v="1"/>
  </r>
  <r>
    <n v="901"/>
    <d v="2023-04-10T00:00:00"/>
    <x v="900"/>
    <x v="0"/>
    <x v="33"/>
    <x v="0"/>
    <x v="2"/>
    <x v="2"/>
    <n v="30"/>
    <x v="2"/>
    <x v="0"/>
    <x v="0"/>
    <x v="2"/>
    <x v="1"/>
    <x v="4"/>
  </r>
  <r>
    <n v="902"/>
    <d v="2023-06-01T00:00:00"/>
    <x v="901"/>
    <x v="1"/>
    <x v="31"/>
    <x v="0"/>
    <x v="0"/>
    <x v="2"/>
    <n v="50"/>
    <x v="5"/>
    <x v="0"/>
    <x v="0"/>
    <x v="2"/>
    <x v="6"/>
    <x v="10"/>
  </r>
  <r>
    <n v="903"/>
    <d v="2023-04-27T00:00:00"/>
    <x v="902"/>
    <x v="1"/>
    <x v="25"/>
    <x v="0"/>
    <x v="0"/>
    <x v="3"/>
    <n v="50"/>
    <x v="7"/>
    <x v="0"/>
    <x v="0"/>
    <x v="2"/>
    <x v="6"/>
    <x v="4"/>
  </r>
  <r>
    <n v="904"/>
    <d v="2023-07-04T00:00:00"/>
    <x v="903"/>
    <x v="0"/>
    <x v="20"/>
    <x v="1"/>
    <x v="1"/>
    <x v="2"/>
    <n v="500"/>
    <x v="3"/>
    <x v="0"/>
    <x v="0"/>
    <x v="3"/>
    <x v="4"/>
    <x v="11"/>
  </r>
  <r>
    <n v="905"/>
    <d v="2023-04-02T00:00:00"/>
    <x v="904"/>
    <x v="0"/>
    <x v="26"/>
    <x v="0"/>
    <x v="0"/>
    <x v="2"/>
    <n v="300"/>
    <x v="13"/>
    <x v="0"/>
    <x v="0"/>
    <x v="2"/>
    <x v="2"/>
    <x v="4"/>
  </r>
  <r>
    <n v="906"/>
    <d v="2023-06-04T00:00:00"/>
    <x v="905"/>
    <x v="1"/>
    <x v="29"/>
    <x v="1"/>
    <x v="1"/>
    <x v="2"/>
    <n v="50"/>
    <x v="5"/>
    <x v="0"/>
    <x v="0"/>
    <x v="2"/>
    <x v="2"/>
    <x v="10"/>
  </r>
  <r>
    <n v="907"/>
    <d v="2023-01-08T00:00:00"/>
    <x v="906"/>
    <x v="1"/>
    <x v="5"/>
    <x v="0"/>
    <x v="2"/>
    <x v="2"/>
    <n v="25"/>
    <x v="16"/>
    <x v="0"/>
    <x v="0"/>
    <x v="1"/>
    <x v="2"/>
    <x v="2"/>
  </r>
  <r>
    <n v="908"/>
    <d v="2023-12-29T00:00:00"/>
    <x v="907"/>
    <x v="0"/>
    <x v="6"/>
    <x v="0"/>
    <x v="0"/>
    <x v="3"/>
    <n v="300"/>
    <x v="14"/>
    <x v="1"/>
    <x v="0"/>
    <x v="0"/>
    <x v="0"/>
    <x v="6"/>
  </r>
  <r>
    <n v="909"/>
    <d v="2023-10-01T00:00:00"/>
    <x v="908"/>
    <x v="0"/>
    <x v="1"/>
    <x v="1"/>
    <x v="2"/>
    <x v="2"/>
    <n v="300"/>
    <x v="13"/>
    <x v="0"/>
    <x v="0"/>
    <x v="0"/>
    <x v="2"/>
    <x v="7"/>
  </r>
  <r>
    <n v="910"/>
    <d v="2023-03-06T00:00:00"/>
    <x v="909"/>
    <x v="1"/>
    <x v="29"/>
    <x v="1"/>
    <x v="0"/>
    <x v="0"/>
    <n v="50"/>
    <x v="0"/>
    <x v="0"/>
    <x v="0"/>
    <x v="1"/>
    <x v="1"/>
    <x v="5"/>
  </r>
  <r>
    <n v="911"/>
    <d v="2023-05-21T00:00:00"/>
    <x v="910"/>
    <x v="0"/>
    <x v="13"/>
    <x v="0"/>
    <x v="2"/>
    <x v="0"/>
    <n v="300"/>
    <x v="12"/>
    <x v="1"/>
    <x v="0"/>
    <x v="2"/>
    <x v="2"/>
    <x v="3"/>
  </r>
  <r>
    <n v="912"/>
    <d v="2023-01-24T00:00:00"/>
    <x v="911"/>
    <x v="0"/>
    <x v="25"/>
    <x v="0"/>
    <x v="0"/>
    <x v="0"/>
    <n v="50"/>
    <x v="0"/>
    <x v="0"/>
    <x v="0"/>
    <x v="1"/>
    <x v="4"/>
    <x v="2"/>
  </r>
  <r>
    <n v="913"/>
    <d v="2023-01-28T00:00:00"/>
    <x v="912"/>
    <x v="0"/>
    <x v="38"/>
    <x v="1"/>
    <x v="2"/>
    <x v="0"/>
    <n v="30"/>
    <x v="15"/>
    <x v="0"/>
    <x v="0"/>
    <x v="1"/>
    <x v="3"/>
    <x v="2"/>
  </r>
  <r>
    <n v="914"/>
    <d v="2023-10-11T00:00:00"/>
    <x v="913"/>
    <x v="1"/>
    <x v="42"/>
    <x v="0"/>
    <x v="2"/>
    <x v="2"/>
    <n v="500"/>
    <x v="3"/>
    <x v="0"/>
    <x v="0"/>
    <x v="0"/>
    <x v="5"/>
    <x v="7"/>
  </r>
  <r>
    <n v="915"/>
    <d v="2023-05-30T00:00:00"/>
    <x v="914"/>
    <x v="1"/>
    <x v="1"/>
    <x v="1"/>
    <x v="0"/>
    <x v="0"/>
    <n v="30"/>
    <x v="15"/>
    <x v="0"/>
    <x v="0"/>
    <x v="2"/>
    <x v="4"/>
    <x v="3"/>
  </r>
  <r>
    <n v="916"/>
    <d v="2023-12-24T00:00:00"/>
    <x v="915"/>
    <x v="1"/>
    <x v="40"/>
    <x v="0"/>
    <x v="2"/>
    <x v="2"/>
    <n v="50"/>
    <x v="5"/>
    <x v="0"/>
    <x v="0"/>
    <x v="0"/>
    <x v="2"/>
    <x v="6"/>
  </r>
  <r>
    <n v="917"/>
    <d v="2023-03-06T00:00:00"/>
    <x v="916"/>
    <x v="1"/>
    <x v="35"/>
    <x v="0"/>
    <x v="2"/>
    <x v="3"/>
    <n v="50"/>
    <x v="7"/>
    <x v="0"/>
    <x v="0"/>
    <x v="1"/>
    <x v="1"/>
    <x v="5"/>
  </r>
  <r>
    <n v="918"/>
    <d v="2023-11-23T00:00:00"/>
    <x v="917"/>
    <x v="1"/>
    <x v="13"/>
    <x v="0"/>
    <x v="2"/>
    <x v="0"/>
    <n v="30"/>
    <x v="15"/>
    <x v="0"/>
    <x v="0"/>
    <x v="0"/>
    <x v="6"/>
    <x v="0"/>
  </r>
  <r>
    <n v="919"/>
    <d v="2023-09-09T00:00:00"/>
    <x v="918"/>
    <x v="1"/>
    <x v="11"/>
    <x v="1"/>
    <x v="0"/>
    <x v="1"/>
    <n v="25"/>
    <x v="5"/>
    <x v="0"/>
    <x v="0"/>
    <x v="3"/>
    <x v="3"/>
    <x v="9"/>
  </r>
  <r>
    <n v="920"/>
    <d v="2023-02-22T00:00:00"/>
    <x v="919"/>
    <x v="1"/>
    <x v="20"/>
    <x v="1"/>
    <x v="0"/>
    <x v="0"/>
    <n v="25"/>
    <x v="8"/>
    <x v="0"/>
    <x v="0"/>
    <x v="1"/>
    <x v="5"/>
    <x v="1"/>
  </r>
  <r>
    <n v="921"/>
    <d v="2023-01-07T00:00:00"/>
    <x v="920"/>
    <x v="0"/>
    <x v="25"/>
    <x v="0"/>
    <x v="2"/>
    <x v="0"/>
    <n v="25"/>
    <x v="8"/>
    <x v="0"/>
    <x v="0"/>
    <x v="1"/>
    <x v="3"/>
    <x v="2"/>
  </r>
  <r>
    <n v="922"/>
    <d v="2023-10-21T00:00:00"/>
    <x v="921"/>
    <x v="0"/>
    <x v="41"/>
    <x v="0"/>
    <x v="2"/>
    <x v="2"/>
    <n v="50"/>
    <x v="5"/>
    <x v="0"/>
    <x v="0"/>
    <x v="0"/>
    <x v="3"/>
    <x v="7"/>
  </r>
  <r>
    <n v="923"/>
    <d v="2023-05-26T00:00:00"/>
    <x v="922"/>
    <x v="0"/>
    <x v="40"/>
    <x v="0"/>
    <x v="0"/>
    <x v="0"/>
    <n v="300"/>
    <x v="12"/>
    <x v="1"/>
    <x v="0"/>
    <x v="2"/>
    <x v="0"/>
    <x v="3"/>
  </r>
  <r>
    <n v="924"/>
    <d v="2023-08-29T00:00:00"/>
    <x v="923"/>
    <x v="0"/>
    <x v="28"/>
    <x v="0"/>
    <x v="0"/>
    <x v="1"/>
    <n v="50"/>
    <x v="4"/>
    <x v="0"/>
    <x v="0"/>
    <x v="3"/>
    <x v="4"/>
    <x v="8"/>
  </r>
  <r>
    <n v="925"/>
    <d v="2023-09-03T00:00:00"/>
    <x v="924"/>
    <x v="0"/>
    <x v="36"/>
    <x v="1"/>
    <x v="2"/>
    <x v="2"/>
    <n v="300"/>
    <x v="13"/>
    <x v="0"/>
    <x v="0"/>
    <x v="3"/>
    <x v="2"/>
    <x v="9"/>
  </r>
  <r>
    <n v="926"/>
    <d v="2023-08-14T00:00:00"/>
    <x v="925"/>
    <x v="0"/>
    <x v="11"/>
    <x v="1"/>
    <x v="2"/>
    <x v="2"/>
    <n v="30"/>
    <x v="2"/>
    <x v="0"/>
    <x v="0"/>
    <x v="3"/>
    <x v="1"/>
    <x v="8"/>
  </r>
  <r>
    <n v="927"/>
    <d v="2023-06-24T00:00:00"/>
    <x v="926"/>
    <x v="0"/>
    <x v="22"/>
    <x v="0"/>
    <x v="2"/>
    <x v="3"/>
    <n v="500"/>
    <x v="11"/>
    <x v="2"/>
    <x v="0"/>
    <x v="2"/>
    <x v="3"/>
    <x v="10"/>
  </r>
  <r>
    <n v="928"/>
    <d v="2023-04-05T00:00:00"/>
    <x v="927"/>
    <x v="1"/>
    <x v="10"/>
    <x v="0"/>
    <x v="1"/>
    <x v="3"/>
    <n v="300"/>
    <x v="14"/>
    <x v="1"/>
    <x v="0"/>
    <x v="2"/>
    <x v="5"/>
    <x v="4"/>
  </r>
  <r>
    <n v="929"/>
    <d v="2023-01-27T00:00:00"/>
    <x v="928"/>
    <x v="1"/>
    <x v="9"/>
    <x v="1"/>
    <x v="0"/>
    <x v="0"/>
    <n v="25"/>
    <x v="8"/>
    <x v="0"/>
    <x v="0"/>
    <x v="1"/>
    <x v="0"/>
    <x v="2"/>
  </r>
  <r>
    <n v="930"/>
    <d v="2023-05-10T00:00:00"/>
    <x v="929"/>
    <x v="0"/>
    <x v="31"/>
    <x v="0"/>
    <x v="1"/>
    <x v="3"/>
    <n v="50"/>
    <x v="7"/>
    <x v="0"/>
    <x v="0"/>
    <x v="2"/>
    <x v="5"/>
    <x v="3"/>
  </r>
  <r>
    <n v="931"/>
    <d v="2023-09-02T00:00:00"/>
    <x v="930"/>
    <x v="0"/>
    <x v="4"/>
    <x v="1"/>
    <x v="0"/>
    <x v="3"/>
    <n v="30"/>
    <x v="10"/>
    <x v="0"/>
    <x v="0"/>
    <x v="3"/>
    <x v="3"/>
    <x v="9"/>
  </r>
  <r>
    <n v="932"/>
    <d v="2023-02-28T00:00:00"/>
    <x v="931"/>
    <x v="1"/>
    <x v="5"/>
    <x v="0"/>
    <x v="0"/>
    <x v="3"/>
    <n v="25"/>
    <x v="4"/>
    <x v="0"/>
    <x v="0"/>
    <x v="1"/>
    <x v="4"/>
    <x v="1"/>
  </r>
  <r>
    <n v="933"/>
    <d v="2023-02-03T00:00:00"/>
    <x v="932"/>
    <x v="0"/>
    <x v="11"/>
    <x v="1"/>
    <x v="0"/>
    <x v="2"/>
    <n v="30"/>
    <x v="2"/>
    <x v="0"/>
    <x v="0"/>
    <x v="1"/>
    <x v="0"/>
    <x v="1"/>
  </r>
  <r>
    <n v="934"/>
    <d v="2023-07-25T00:00:00"/>
    <x v="933"/>
    <x v="0"/>
    <x v="4"/>
    <x v="1"/>
    <x v="0"/>
    <x v="2"/>
    <n v="500"/>
    <x v="3"/>
    <x v="0"/>
    <x v="0"/>
    <x v="3"/>
    <x v="4"/>
    <x v="11"/>
  </r>
  <r>
    <n v="935"/>
    <d v="2023-09-09T00:00:00"/>
    <x v="934"/>
    <x v="1"/>
    <x v="0"/>
    <x v="0"/>
    <x v="0"/>
    <x v="2"/>
    <n v="50"/>
    <x v="5"/>
    <x v="0"/>
    <x v="0"/>
    <x v="3"/>
    <x v="3"/>
    <x v="9"/>
  </r>
  <r>
    <n v="936"/>
    <d v="2023-02-07T00:00:00"/>
    <x v="935"/>
    <x v="0"/>
    <x v="35"/>
    <x v="0"/>
    <x v="0"/>
    <x v="3"/>
    <n v="50"/>
    <x v="7"/>
    <x v="0"/>
    <x v="0"/>
    <x v="1"/>
    <x v="4"/>
    <x v="1"/>
  </r>
  <r>
    <n v="937"/>
    <d v="2023-10-23T00:00:00"/>
    <x v="936"/>
    <x v="1"/>
    <x v="17"/>
    <x v="2"/>
    <x v="0"/>
    <x v="2"/>
    <n v="500"/>
    <x v="3"/>
    <x v="0"/>
    <x v="0"/>
    <x v="0"/>
    <x v="1"/>
    <x v="7"/>
  </r>
  <r>
    <n v="938"/>
    <d v="2023-11-19T00:00:00"/>
    <x v="937"/>
    <x v="0"/>
    <x v="19"/>
    <x v="0"/>
    <x v="1"/>
    <x v="3"/>
    <n v="50"/>
    <x v="7"/>
    <x v="0"/>
    <x v="0"/>
    <x v="0"/>
    <x v="2"/>
    <x v="0"/>
  </r>
  <r>
    <n v="939"/>
    <d v="2023-12-18T00:00:00"/>
    <x v="938"/>
    <x v="1"/>
    <x v="6"/>
    <x v="0"/>
    <x v="2"/>
    <x v="2"/>
    <n v="300"/>
    <x v="13"/>
    <x v="0"/>
    <x v="0"/>
    <x v="0"/>
    <x v="1"/>
    <x v="6"/>
  </r>
  <r>
    <n v="940"/>
    <d v="2023-01-28T00:00:00"/>
    <x v="939"/>
    <x v="1"/>
    <x v="29"/>
    <x v="1"/>
    <x v="2"/>
    <x v="2"/>
    <n v="30"/>
    <x v="2"/>
    <x v="0"/>
    <x v="0"/>
    <x v="1"/>
    <x v="3"/>
    <x v="2"/>
  </r>
  <r>
    <n v="941"/>
    <d v="2023-03-19T00:00:00"/>
    <x v="940"/>
    <x v="1"/>
    <x v="35"/>
    <x v="0"/>
    <x v="1"/>
    <x v="1"/>
    <n v="25"/>
    <x v="5"/>
    <x v="0"/>
    <x v="0"/>
    <x v="1"/>
    <x v="2"/>
    <x v="5"/>
  </r>
  <r>
    <n v="942"/>
    <d v="2023-03-18T00:00:00"/>
    <x v="941"/>
    <x v="0"/>
    <x v="25"/>
    <x v="0"/>
    <x v="1"/>
    <x v="0"/>
    <n v="500"/>
    <x v="9"/>
    <x v="1"/>
    <x v="0"/>
    <x v="1"/>
    <x v="3"/>
    <x v="5"/>
  </r>
  <r>
    <n v="943"/>
    <d v="2023-10-16T00:00:00"/>
    <x v="942"/>
    <x v="1"/>
    <x v="35"/>
    <x v="0"/>
    <x v="1"/>
    <x v="3"/>
    <n v="300"/>
    <x v="14"/>
    <x v="1"/>
    <x v="0"/>
    <x v="0"/>
    <x v="1"/>
    <x v="7"/>
  </r>
  <r>
    <n v="944"/>
    <d v="2023-06-05T00:00:00"/>
    <x v="943"/>
    <x v="0"/>
    <x v="24"/>
    <x v="0"/>
    <x v="1"/>
    <x v="1"/>
    <n v="25"/>
    <x v="5"/>
    <x v="0"/>
    <x v="0"/>
    <x v="2"/>
    <x v="1"/>
    <x v="10"/>
  </r>
  <r>
    <n v="945"/>
    <d v="2023-02-13T00:00:00"/>
    <x v="944"/>
    <x v="0"/>
    <x v="4"/>
    <x v="1"/>
    <x v="0"/>
    <x v="2"/>
    <n v="25"/>
    <x v="16"/>
    <x v="0"/>
    <x v="0"/>
    <x v="1"/>
    <x v="1"/>
    <x v="1"/>
  </r>
  <r>
    <n v="946"/>
    <d v="2023-05-08T00:00:00"/>
    <x v="945"/>
    <x v="0"/>
    <x v="17"/>
    <x v="2"/>
    <x v="2"/>
    <x v="3"/>
    <n v="500"/>
    <x v="11"/>
    <x v="2"/>
    <x v="0"/>
    <x v="2"/>
    <x v="1"/>
    <x v="3"/>
  </r>
  <r>
    <n v="947"/>
    <d v="2023-03-02T00:00:00"/>
    <x v="946"/>
    <x v="0"/>
    <x v="2"/>
    <x v="0"/>
    <x v="0"/>
    <x v="2"/>
    <n v="300"/>
    <x v="13"/>
    <x v="0"/>
    <x v="0"/>
    <x v="1"/>
    <x v="6"/>
    <x v="5"/>
  </r>
  <r>
    <n v="948"/>
    <d v="2023-10-13T00:00:00"/>
    <x v="947"/>
    <x v="1"/>
    <x v="9"/>
    <x v="1"/>
    <x v="2"/>
    <x v="0"/>
    <n v="25"/>
    <x v="8"/>
    <x v="0"/>
    <x v="0"/>
    <x v="0"/>
    <x v="0"/>
    <x v="7"/>
  </r>
  <r>
    <n v="949"/>
    <d v="2023-08-02T00:00:00"/>
    <x v="948"/>
    <x v="1"/>
    <x v="41"/>
    <x v="0"/>
    <x v="2"/>
    <x v="1"/>
    <n v="25"/>
    <x v="5"/>
    <x v="0"/>
    <x v="0"/>
    <x v="3"/>
    <x v="5"/>
    <x v="8"/>
  </r>
  <r>
    <n v="950"/>
    <d v="2023-11-07T00:00:00"/>
    <x v="949"/>
    <x v="0"/>
    <x v="32"/>
    <x v="0"/>
    <x v="1"/>
    <x v="0"/>
    <n v="300"/>
    <x v="12"/>
    <x v="1"/>
    <x v="0"/>
    <x v="0"/>
    <x v="4"/>
    <x v="0"/>
  </r>
  <r>
    <n v="951"/>
    <d v="2023-11-02T00:00:00"/>
    <x v="950"/>
    <x v="0"/>
    <x v="44"/>
    <x v="0"/>
    <x v="0"/>
    <x v="1"/>
    <n v="50"/>
    <x v="4"/>
    <x v="0"/>
    <x v="0"/>
    <x v="0"/>
    <x v="6"/>
    <x v="0"/>
  </r>
  <r>
    <n v="952"/>
    <d v="2023-11-13T00:00:00"/>
    <x v="951"/>
    <x v="1"/>
    <x v="35"/>
    <x v="0"/>
    <x v="1"/>
    <x v="2"/>
    <n v="25"/>
    <x v="16"/>
    <x v="0"/>
    <x v="0"/>
    <x v="0"/>
    <x v="1"/>
    <x v="0"/>
  </r>
  <r>
    <n v="953"/>
    <d v="2023-04-26T00:00:00"/>
    <x v="952"/>
    <x v="0"/>
    <x v="5"/>
    <x v="0"/>
    <x v="0"/>
    <x v="0"/>
    <n v="30"/>
    <x v="15"/>
    <x v="0"/>
    <x v="0"/>
    <x v="2"/>
    <x v="5"/>
    <x v="4"/>
  </r>
  <r>
    <n v="954"/>
    <d v="2023-09-25T00:00:00"/>
    <x v="953"/>
    <x v="1"/>
    <x v="2"/>
    <x v="0"/>
    <x v="2"/>
    <x v="0"/>
    <n v="300"/>
    <x v="12"/>
    <x v="1"/>
    <x v="0"/>
    <x v="3"/>
    <x v="1"/>
    <x v="9"/>
  </r>
  <r>
    <n v="955"/>
    <d v="2023-07-14T00:00:00"/>
    <x v="954"/>
    <x v="0"/>
    <x v="26"/>
    <x v="0"/>
    <x v="1"/>
    <x v="2"/>
    <n v="25"/>
    <x v="16"/>
    <x v="0"/>
    <x v="0"/>
    <x v="3"/>
    <x v="0"/>
    <x v="11"/>
  </r>
  <r>
    <n v="956"/>
    <d v="2023-08-19T00:00:00"/>
    <x v="955"/>
    <x v="0"/>
    <x v="4"/>
    <x v="1"/>
    <x v="1"/>
    <x v="0"/>
    <n v="500"/>
    <x v="9"/>
    <x v="1"/>
    <x v="0"/>
    <x v="3"/>
    <x v="3"/>
    <x v="8"/>
  </r>
  <r>
    <n v="957"/>
    <d v="2023-08-15T00:00:00"/>
    <x v="956"/>
    <x v="1"/>
    <x v="43"/>
    <x v="0"/>
    <x v="2"/>
    <x v="3"/>
    <n v="30"/>
    <x v="10"/>
    <x v="0"/>
    <x v="0"/>
    <x v="3"/>
    <x v="4"/>
    <x v="8"/>
  </r>
  <r>
    <n v="958"/>
    <d v="2023-06-02T00:00:00"/>
    <x v="957"/>
    <x v="0"/>
    <x v="17"/>
    <x v="2"/>
    <x v="2"/>
    <x v="1"/>
    <n v="25"/>
    <x v="5"/>
    <x v="0"/>
    <x v="0"/>
    <x v="2"/>
    <x v="0"/>
    <x v="10"/>
  </r>
  <r>
    <n v="959"/>
    <d v="2023-10-29T00:00:00"/>
    <x v="958"/>
    <x v="1"/>
    <x v="13"/>
    <x v="0"/>
    <x v="2"/>
    <x v="1"/>
    <n v="30"/>
    <x v="17"/>
    <x v="0"/>
    <x v="0"/>
    <x v="0"/>
    <x v="2"/>
    <x v="7"/>
  </r>
  <r>
    <n v="960"/>
    <d v="2023-08-08T00:00:00"/>
    <x v="959"/>
    <x v="0"/>
    <x v="42"/>
    <x v="0"/>
    <x v="1"/>
    <x v="1"/>
    <n v="30"/>
    <x v="17"/>
    <x v="0"/>
    <x v="0"/>
    <x v="3"/>
    <x v="4"/>
    <x v="8"/>
  </r>
  <r>
    <n v="961"/>
    <d v="2023-06-06T00:00:00"/>
    <x v="960"/>
    <x v="0"/>
    <x v="45"/>
    <x v="0"/>
    <x v="0"/>
    <x v="3"/>
    <n v="50"/>
    <x v="7"/>
    <x v="0"/>
    <x v="0"/>
    <x v="2"/>
    <x v="4"/>
    <x v="10"/>
  </r>
  <r>
    <n v="962"/>
    <d v="2023-10-19T00:00:00"/>
    <x v="961"/>
    <x v="0"/>
    <x v="24"/>
    <x v="0"/>
    <x v="1"/>
    <x v="1"/>
    <n v="30"/>
    <x v="17"/>
    <x v="0"/>
    <x v="0"/>
    <x v="0"/>
    <x v="6"/>
    <x v="7"/>
  </r>
  <r>
    <n v="963"/>
    <d v="2023-11-14T00:00:00"/>
    <x v="962"/>
    <x v="1"/>
    <x v="28"/>
    <x v="0"/>
    <x v="0"/>
    <x v="2"/>
    <n v="50"/>
    <x v="5"/>
    <x v="0"/>
    <x v="0"/>
    <x v="0"/>
    <x v="4"/>
    <x v="0"/>
  </r>
  <r>
    <n v="964"/>
    <d v="2023-01-31T00:00:00"/>
    <x v="963"/>
    <x v="0"/>
    <x v="46"/>
    <x v="1"/>
    <x v="1"/>
    <x v="0"/>
    <n v="300"/>
    <x v="12"/>
    <x v="1"/>
    <x v="0"/>
    <x v="1"/>
    <x v="4"/>
    <x v="2"/>
  </r>
  <r>
    <n v="965"/>
    <d v="2023-11-09T00:00:00"/>
    <x v="964"/>
    <x v="0"/>
    <x v="11"/>
    <x v="1"/>
    <x v="1"/>
    <x v="3"/>
    <n v="50"/>
    <x v="7"/>
    <x v="0"/>
    <x v="0"/>
    <x v="0"/>
    <x v="6"/>
    <x v="0"/>
  </r>
  <r>
    <n v="966"/>
    <d v="2023-02-20T00:00:00"/>
    <x v="965"/>
    <x v="0"/>
    <x v="43"/>
    <x v="0"/>
    <x v="2"/>
    <x v="1"/>
    <n v="500"/>
    <x v="1"/>
    <x v="1"/>
    <x v="0"/>
    <x v="1"/>
    <x v="1"/>
    <x v="1"/>
  </r>
  <r>
    <n v="967"/>
    <d v="2023-04-17T00:00:00"/>
    <x v="966"/>
    <x v="0"/>
    <x v="17"/>
    <x v="2"/>
    <x v="0"/>
    <x v="2"/>
    <n v="25"/>
    <x v="16"/>
    <x v="0"/>
    <x v="0"/>
    <x v="2"/>
    <x v="1"/>
    <x v="4"/>
  </r>
  <r>
    <n v="968"/>
    <d v="2023-11-17T00:00:00"/>
    <x v="967"/>
    <x v="1"/>
    <x v="27"/>
    <x v="0"/>
    <x v="1"/>
    <x v="0"/>
    <n v="300"/>
    <x v="12"/>
    <x v="1"/>
    <x v="0"/>
    <x v="0"/>
    <x v="0"/>
    <x v="0"/>
  </r>
  <r>
    <n v="969"/>
    <d v="2023-04-19T00:00:00"/>
    <x v="968"/>
    <x v="1"/>
    <x v="30"/>
    <x v="0"/>
    <x v="1"/>
    <x v="0"/>
    <n v="300"/>
    <x v="12"/>
    <x v="1"/>
    <x v="0"/>
    <x v="2"/>
    <x v="5"/>
    <x v="4"/>
  </r>
  <r>
    <n v="970"/>
    <d v="2023-05-16T00:00:00"/>
    <x v="969"/>
    <x v="0"/>
    <x v="42"/>
    <x v="0"/>
    <x v="2"/>
    <x v="3"/>
    <n v="500"/>
    <x v="11"/>
    <x v="2"/>
    <x v="0"/>
    <x v="2"/>
    <x v="4"/>
    <x v="3"/>
  </r>
  <r>
    <n v="971"/>
    <d v="2023-12-05T00:00:00"/>
    <x v="970"/>
    <x v="1"/>
    <x v="15"/>
    <x v="1"/>
    <x v="2"/>
    <x v="3"/>
    <n v="50"/>
    <x v="7"/>
    <x v="0"/>
    <x v="0"/>
    <x v="0"/>
    <x v="4"/>
    <x v="6"/>
  </r>
  <r>
    <n v="972"/>
    <d v="2023-02-11T00:00:00"/>
    <x v="971"/>
    <x v="0"/>
    <x v="19"/>
    <x v="0"/>
    <x v="0"/>
    <x v="3"/>
    <n v="25"/>
    <x v="4"/>
    <x v="0"/>
    <x v="0"/>
    <x v="1"/>
    <x v="3"/>
    <x v="1"/>
  </r>
  <r>
    <n v="973"/>
    <d v="2023-03-22T00:00:00"/>
    <x v="972"/>
    <x v="0"/>
    <x v="43"/>
    <x v="0"/>
    <x v="1"/>
    <x v="2"/>
    <n v="50"/>
    <x v="5"/>
    <x v="0"/>
    <x v="0"/>
    <x v="1"/>
    <x v="5"/>
    <x v="5"/>
  </r>
  <r>
    <n v="974"/>
    <d v="2023-05-03T00:00:00"/>
    <x v="973"/>
    <x v="0"/>
    <x v="16"/>
    <x v="0"/>
    <x v="0"/>
    <x v="2"/>
    <n v="30"/>
    <x v="2"/>
    <x v="0"/>
    <x v="0"/>
    <x v="2"/>
    <x v="5"/>
    <x v="3"/>
  </r>
  <r>
    <n v="975"/>
    <d v="2023-03-30T00:00:00"/>
    <x v="974"/>
    <x v="1"/>
    <x v="37"/>
    <x v="0"/>
    <x v="1"/>
    <x v="3"/>
    <n v="50"/>
    <x v="7"/>
    <x v="0"/>
    <x v="0"/>
    <x v="1"/>
    <x v="6"/>
    <x v="5"/>
  </r>
  <r>
    <n v="976"/>
    <d v="2023-10-10T00:00:00"/>
    <x v="975"/>
    <x v="1"/>
    <x v="27"/>
    <x v="0"/>
    <x v="0"/>
    <x v="1"/>
    <n v="300"/>
    <x v="6"/>
    <x v="1"/>
    <x v="0"/>
    <x v="0"/>
    <x v="4"/>
    <x v="7"/>
  </r>
  <r>
    <n v="977"/>
    <d v="2023-02-08T00:00:00"/>
    <x v="976"/>
    <x v="1"/>
    <x v="10"/>
    <x v="0"/>
    <x v="2"/>
    <x v="0"/>
    <n v="25"/>
    <x v="8"/>
    <x v="0"/>
    <x v="0"/>
    <x v="1"/>
    <x v="5"/>
    <x v="1"/>
  </r>
  <r>
    <n v="978"/>
    <d v="2023-03-22T00:00:00"/>
    <x v="977"/>
    <x v="1"/>
    <x v="45"/>
    <x v="0"/>
    <x v="1"/>
    <x v="0"/>
    <n v="50"/>
    <x v="0"/>
    <x v="0"/>
    <x v="0"/>
    <x v="1"/>
    <x v="5"/>
    <x v="5"/>
  </r>
  <r>
    <n v="979"/>
    <d v="2023-01-02T00:00:00"/>
    <x v="978"/>
    <x v="1"/>
    <x v="14"/>
    <x v="1"/>
    <x v="0"/>
    <x v="2"/>
    <n v="25"/>
    <x v="16"/>
    <x v="0"/>
    <x v="0"/>
    <x v="1"/>
    <x v="1"/>
    <x v="2"/>
  </r>
  <r>
    <n v="980"/>
    <d v="2023-07-29T00:00:00"/>
    <x v="979"/>
    <x v="1"/>
    <x v="33"/>
    <x v="0"/>
    <x v="2"/>
    <x v="0"/>
    <n v="25"/>
    <x v="8"/>
    <x v="0"/>
    <x v="0"/>
    <x v="3"/>
    <x v="3"/>
    <x v="11"/>
  </r>
  <r>
    <n v="981"/>
    <d v="2023-08-19T00:00:00"/>
    <x v="980"/>
    <x v="1"/>
    <x v="4"/>
    <x v="1"/>
    <x v="2"/>
    <x v="1"/>
    <n v="30"/>
    <x v="17"/>
    <x v="0"/>
    <x v="0"/>
    <x v="3"/>
    <x v="3"/>
    <x v="8"/>
  </r>
  <r>
    <n v="982"/>
    <d v="2023-12-19T00:00:00"/>
    <x v="981"/>
    <x v="1"/>
    <x v="6"/>
    <x v="0"/>
    <x v="0"/>
    <x v="0"/>
    <n v="30"/>
    <x v="15"/>
    <x v="0"/>
    <x v="0"/>
    <x v="0"/>
    <x v="4"/>
    <x v="6"/>
  </r>
  <r>
    <n v="983"/>
    <d v="2023-11-01T00:00:00"/>
    <x v="982"/>
    <x v="1"/>
    <x v="38"/>
    <x v="1"/>
    <x v="1"/>
    <x v="2"/>
    <n v="300"/>
    <x v="13"/>
    <x v="0"/>
    <x v="0"/>
    <x v="0"/>
    <x v="5"/>
    <x v="0"/>
  </r>
  <r>
    <n v="984"/>
    <d v="2023-08-29T00:00:00"/>
    <x v="983"/>
    <x v="0"/>
    <x v="37"/>
    <x v="0"/>
    <x v="1"/>
    <x v="2"/>
    <n v="500"/>
    <x v="3"/>
    <x v="0"/>
    <x v="0"/>
    <x v="3"/>
    <x v="4"/>
    <x v="8"/>
  </r>
  <r>
    <n v="985"/>
    <d v="2023-05-30T00:00:00"/>
    <x v="984"/>
    <x v="1"/>
    <x v="14"/>
    <x v="1"/>
    <x v="2"/>
    <x v="1"/>
    <n v="25"/>
    <x v="5"/>
    <x v="0"/>
    <x v="0"/>
    <x v="2"/>
    <x v="4"/>
    <x v="3"/>
  </r>
  <r>
    <n v="986"/>
    <d v="2023-01-17T00:00:00"/>
    <x v="985"/>
    <x v="1"/>
    <x v="19"/>
    <x v="0"/>
    <x v="1"/>
    <x v="1"/>
    <n v="500"/>
    <x v="1"/>
    <x v="1"/>
    <x v="0"/>
    <x v="1"/>
    <x v="4"/>
    <x v="2"/>
  </r>
  <r>
    <n v="987"/>
    <d v="2023-04-29T00:00:00"/>
    <x v="986"/>
    <x v="1"/>
    <x v="4"/>
    <x v="1"/>
    <x v="1"/>
    <x v="0"/>
    <n v="300"/>
    <x v="12"/>
    <x v="1"/>
    <x v="0"/>
    <x v="2"/>
    <x v="3"/>
    <x v="4"/>
  </r>
  <r>
    <n v="988"/>
    <d v="2023-05-28T00:00:00"/>
    <x v="987"/>
    <x v="1"/>
    <x v="7"/>
    <x v="2"/>
    <x v="1"/>
    <x v="0"/>
    <n v="25"/>
    <x v="8"/>
    <x v="0"/>
    <x v="0"/>
    <x v="2"/>
    <x v="2"/>
    <x v="3"/>
  </r>
  <r>
    <n v="989"/>
    <d v="2023-12-28T00:00:00"/>
    <x v="988"/>
    <x v="1"/>
    <x v="24"/>
    <x v="0"/>
    <x v="2"/>
    <x v="2"/>
    <n v="25"/>
    <x v="16"/>
    <x v="0"/>
    <x v="0"/>
    <x v="0"/>
    <x v="6"/>
    <x v="6"/>
  </r>
  <r>
    <n v="990"/>
    <d v="2023-05-25T00:00:00"/>
    <x v="989"/>
    <x v="1"/>
    <x v="26"/>
    <x v="0"/>
    <x v="0"/>
    <x v="1"/>
    <n v="500"/>
    <x v="1"/>
    <x v="1"/>
    <x v="0"/>
    <x v="2"/>
    <x v="6"/>
    <x v="3"/>
  </r>
  <r>
    <n v="991"/>
    <d v="2023-12-26T00:00:00"/>
    <x v="990"/>
    <x v="1"/>
    <x v="0"/>
    <x v="0"/>
    <x v="1"/>
    <x v="1"/>
    <n v="50"/>
    <x v="4"/>
    <x v="0"/>
    <x v="0"/>
    <x v="0"/>
    <x v="4"/>
    <x v="6"/>
  </r>
  <r>
    <n v="992"/>
    <d v="2023-08-21T00:00:00"/>
    <x v="991"/>
    <x v="1"/>
    <x v="35"/>
    <x v="0"/>
    <x v="2"/>
    <x v="1"/>
    <n v="30"/>
    <x v="17"/>
    <x v="0"/>
    <x v="0"/>
    <x v="3"/>
    <x v="1"/>
    <x v="8"/>
  </r>
  <r>
    <n v="993"/>
    <d v="2023-02-06T00:00:00"/>
    <x v="992"/>
    <x v="1"/>
    <x v="27"/>
    <x v="0"/>
    <x v="2"/>
    <x v="0"/>
    <n v="50"/>
    <x v="0"/>
    <x v="0"/>
    <x v="0"/>
    <x v="1"/>
    <x v="1"/>
    <x v="1"/>
  </r>
  <r>
    <n v="994"/>
    <d v="2023-12-18T00:00:00"/>
    <x v="993"/>
    <x v="1"/>
    <x v="25"/>
    <x v="0"/>
    <x v="0"/>
    <x v="1"/>
    <n v="500"/>
    <x v="1"/>
    <x v="1"/>
    <x v="0"/>
    <x v="0"/>
    <x v="1"/>
    <x v="6"/>
  </r>
  <r>
    <n v="995"/>
    <d v="2023-04-30T00:00:00"/>
    <x v="994"/>
    <x v="1"/>
    <x v="41"/>
    <x v="0"/>
    <x v="1"/>
    <x v="2"/>
    <n v="30"/>
    <x v="2"/>
    <x v="0"/>
    <x v="0"/>
    <x v="2"/>
    <x v="2"/>
    <x v="4"/>
  </r>
  <r>
    <n v="996"/>
    <d v="2023-05-16T00:00:00"/>
    <x v="995"/>
    <x v="0"/>
    <x v="17"/>
    <x v="2"/>
    <x v="1"/>
    <x v="2"/>
    <n v="50"/>
    <x v="5"/>
    <x v="0"/>
    <x v="0"/>
    <x v="2"/>
    <x v="4"/>
    <x v="3"/>
  </r>
  <r>
    <n v="997"/>
    <d v="2023-11-17T00:00:00"/>
    <x v="996"/>
    <x v="0"/>
    <x v="8"/>
    <x v="0"/>
    <x v="0"/>
    <x v="0"/>
    <n v="30"/>
    <x v="15"/>
    <x v="0"/>
    <x v="0"/>
    <x v="0"/>
    <x v="0"/>
    <x v="0"/>
  </r>
  <r>
    <n v="998"/>
    <d v="2023-10-29T00:00:00"/>
    <x v="997"/>
    <x v="1"/>
    <x v="9"/>
    <x v="1"/>
    <x v="0"/>
    <x v="3"/>
    <n v="25"/>
    <x v="4"/>
    <x v="0"/>
    <x v="0"/>
    <x v="0"/>
    <x v="2"/>
    <x v="7"/>
  </r>
  <r>
    <n v="999"/>
    <d v="2023-12-05T00:00:00"/>
    <x v="998"/>
    <x v="1"/>
    <x v="32"/>
    <x v="0"/>
    <x v="2"/>
    <x v="0"/>
    <n v="50"/>
    <x v="0"/>
    <x v="0"/>
    <x v="0"/>
    <x v="0"/>
    <x v="4"/>
    <x v="6"/>
  </r>
  <r>
    <n v="1000"/>
    <d v="2023-04-12T00:00:00"/>
    <x v="999"/>
    <x v="0"/>
    <x v="16"/>
    <x v="0"/>
    <x v="2"/>
    <x v="3"/>
    <n v="30"/>
    <x v="10"/>
    <x v="0"/>
    <x v="0"/>
    <x v="2"/>
    <x v="5"/>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7" firstHeaderRow="1" firstDataRow="1" firstDataCol="1"/>
  <pivotFields count="15">
    <pivotField numFmtId="1" showAll="0"/>
    <pivotField numFmtId="14" showAll="0"/>
    <pivotField showAll="0"/>
    <pivotField showAll="0">
      <items count="3">
        <item x="1"/>
        <item x="0"/>
        <item t="default"/>
      </items>
    </pivotField>
    <pivotField numFmtId="1" showAll="0"/>
    <pivotField showAll="0"/>
    <pivotField axis="axisRow" showAll="0">
      <items count="4">
        <item x="0"/>
        <item x="1"/>
        <item x="2"/>
        <item t="default"/>
      </items>
    </pivotField>
    <pivotField numFmtId="1" showAll="0"/>
    <pivotField numFmtId="1" showAll="0"/>
    <pivotField dataField="1" numFmtId="1" showAll="0"/>
    <pivotField showAll="0"/>
    <pivotField numFmtId="1" showAll="0"/>
    <pivotField numFmtId="1" showAll="0"/>
    <pivotField showAll="0"/>
    <pivotField showAll="0">
      <items count="13">
        <item x="2"/>
        <item x="1"/>
        <item x="5"/>
        <item x="4"/>
        <item x="3"/>
        <item x="10"/>
        <item x="11"/>
        <item x="8"/>
        <item x="9"/>
        <item x="7"/>
        <item x="0"/>
        <item x="6"/>
        <item t="default"/>
      </items>
    </pivotField>
  </pivotFields>
  <rowFields count="1">
    <field x="6"/>
  </rowFields>
  <rowItems count="4">
    <i>
      <x/>
    </i>
    <i>
      <x v="1"/>
    </i>
    <i>
      <x v="2"/>
    </i>
    <i t="grand">
      <x/>
    </i>
  </rowItems>
  <colItems count="1">
    <i/>
  </colItems>
  <dataFields count="1">
    <dataField name="Sum of Total_Amount" fld="9"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A3:B16" firstHeaderRow="1" firstDataRow="1" firstDataCol="1"/>
  <pivotFields count="15">
    <pivotField numFmtId="1" showAll="0"/>
    <pivotField numFmtId="14" showAll="0"/>
    <pivotField showAll="0"/>
    <pivotField showAll="0">
      <items count="3">
        <item x="1"/>
        <item x="0"/>
        <item t="default"/>
      </items>
    </pivotField>
    <pivotField numFmtId="1" showAll="0"/>
    <pivotField showAll="0"/>
    <pivotField showAll="0">
      <items count="4">
        <item x="0"/>
        <item x="1"/>
        <item x="2"/>
        <item t="default"/>
      </items>
    </pivotField>
    <pivotField numFmtId="1" showAll="0"/>
    <pivotField numFmtId="1" showAll="0"/>
    <pivotField dataField="1" numFmtId="1" showAll="0"/>
    <pivotField showAll="0"/>
    <pivotField numFmtId="1" showAll="0"/>
    <pivotField numFmtId="1" showAll="0"/>
    <pivotField showAll="0"/>
    <pivotField axis="axisRow" showAll="0">
      <items count="13">
        <item x="2"/>
        <item x="1"/>
        <item x="5"/>
        <item x="4"/>
        <item x="3"/>
        <item x="10"/>
        <item x="11"/>
        <item x="8"/>
        <item x="9"/>
        <item x="7"/>
        <item x="0"/>
        <item x="6"/>
        <item t="default"/>
      </items>
    </pivotField>
  </pivotFields>
  <rowFields count="1">
    <field x="14"/>
  </rowFields>
  <rowItems count="13">
    <i>
      <x/>
    </i>
    <i>
      <x v="1"/>
    </i>
    <i>
      <x v="2"/>
    </i>
    <i>
      <x v="3"/>
    </i>
    <i>
      <x v="4"/>
    </i>
    <i>
      <x v="5"/>
    </i>
    <i>
      <x v="6"/>
    </i>
    <i>
      <x v="7"/>
    </i>
    <i>
      <x v="8"/>
    </i>
    <i>
      <x v="9"/>
    </i>
    <i>
      <x v="10"/>
    </i>
    <i>
      <x v="11"/>
    </i>
    <i t="grand">
      <x/>
    </i>
  </rowItems>
  <colItems count="1">
    <i/>
  </colItems>
  <dataFields count="1">
    <dataField name="Sum of Total_Amount" fld="9" baseField="0" baseItem="0"/>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3:B6" firstHeaderRow="1" firstDataRow="1" firstDataCol="1"/>
  <pivotFields count="15">
    <pivotField numFmtId="1" showAll="0"/>
    <pivotField numFmtId="14" showAll="0"/>
    <pivotField showAll="0"/>
    <pivotField axis="axisRow" showAll="0">
      <items count="3">
        <item x="1"/>
        <item x="0"/>
        <item t="default"/>
      </items>
    </pivotField>
    <pivotField numFmtId="1"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showAll="0"/>
    <pivotField showAll="0">
      <items count="4">
        <item x="0"/>
        <item x="1"/>
        <item x="2"/>
        <item t="default"/>
      </items>
    </pivotField>
    <pivotField numFmtId="1" showAll="0"/>
    <pivotField numFmtId="1" showAll="0"/>
    <pivotField dataField="1" numFmtId="1" showAll="0"/>
    <pivotField showAll="0"/>
    <pivotField numFmtId="1" showAll="0"/>
    <pivotField numFmtId="1" showAll="0"/>
    <pivotField showAll="0"/>
    <pivotField showAll="0">
      <items count="13">
        <item x="2"/>
        <item x="1"/>
        <item x="5"/>
        <item x="4"/>
        <item x="3"/>
        <item x="10"/>
        <item x="11"/>
        <item x="8"/>
        <item x="9"/>
        <item x="7"/>
        <item x="0"/>
        <item x="6"/>
        <item t="default"/>
      </items>
    </pivotField>
  </pivotFields>
  <rowFields count="1">
    <field x="3"/>
  </rowFields>
  <rowItems count="3">
    <i>
      <x/>
    </i>
    <i>
      <x v="1"/>
    </i>
    <i t="grand">
      <x/>
    </i>
  </rowItems>
  <colItems count="1">
    <i/>
  </colItems>
  <dataFields count="1">
    <dataField name="Sum of Total_Amount" fld="9" showDataAs="percentOfTotal" baseField="3"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3" count="1" selected="0">
            <x v="0"/>
          </reference>
        </references>
      </pivotArea>
    </chartFormat>
    <chartFormat chart="9"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7">
  <location ref="A3:D8" firstHeaderRow="1" firstDataRow="2" firstDataCol="1"/>
  <pivotFields count="15">
    <pivotField numFmtId="1" showAll="0"/>
    <pivotField numFmtId="14" showAll="0"/>
    <pivotField showAll="0" measureFilter="1" sortType="descending">
      <items count="1001">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9"/>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Col" showAll="0">
      <items count="3">
        <item x="1"/>
        <item x="0"/>
        <item t="default"/>
      </items>
    </pivotField>
    <pivotField numFmtId="1" showAll="0"/>
    <pivotField axis="axisRow" showAll="0">
      <items count="4">
        <item x="0"/>
        <item x="2"/>
        <item x="1"/>
        <item t="default"/>
      </items>
    </pivotField>
    <pivotField showAll="0">
      <items count="4">
        <item x="0"/>
        <item x="1"/>
        <item x="2"/>
        <item t="default"/>
      </items>
    </pivotField>
    <pivotField numFmtId="1" showAll="0"/>
    <pivotField numFmtId="1" showAll="0"/>
    <pivotField dataField="1" numFmtId="1" showAll="0"/>
    <pivotField showAll="0"/>
    <pivotField numFmtId="1" showAll="0"/>
    <pivotField numFmtId="1" showAll="0"/>
    <pivotField showAll="0"/>
    <pivotField showAll="0">
      <items count="13">
        <item x="2"/>
        <item x="1"/>
        <item x="5"/>
        <item x="4"/>
        <item x="3"/>
        <item x="10"/>
        <item x="11"/>
        <item x="8"/>
        <item x="9"/>
        <item x="7"/>
        <item x="0"/>
        <item x="6"/>
        <item t="default"/>
      </items>
    </pivotField>
  </pivotFields>
  <rowFields count="1">
    <field x="5"/>
  </rowFields>
  <rowItems count="4">
    <i>
      <x/>
    </i>
    <i>
      <x v="1"/>
    </i>
    <i>
      <x v="2"/>
    </i>
    <i t="grand">
      <x/>
    </i>
  </rowItems>
  <colFields count="1">
    <field x="3"/>
  </colFields>
  <colItems count="3">
    <i>
      <x/>
    </i>
    <i>
      <x v="1"/>
    </i>
    <i t="grand">
      <x/>
    </i>
  </colItems>
  <dataFields count="1">
    <dataField name="Sum of Total_Amount" fld="9"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0"/>
          </reference>
        </references>
      </pivotArea>
    </chartFormat>
    <chartFormat chart="0" format="2" series="1">
      <pivotArea type="data" outline="0" fieldPosition="0">
        <references count="2">
          <reference field="4294967294" count="1" selected="0">
            <x v="0"/>
          </reference>
          <reference field="3" count="1" selected="0">
            <x v="1"/>
          </reference>
        </references>
      </pivotArea>
    </chartFormat>
    <chartFormat chart="16" format="5" series="1">
      <pivotArea type="data" outline="0" fieldPosition="0">
        <references count="2">
          <reference field="4294967294" count="1" selected="0">
            <x v="0"/>
          </reference>
          <reference field="3" count="1" selected="0">
            <x v="0"/>
          </reference>
        </references>
      </pivotArea>
    </chartFormat>
    <chartFormat chart="16" format="6"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1">
  <location ref="A3:E9" firstHeaderRow="1" firstDataRow="2" firstDataCol="1"/>
  <pivotFields count="15">
    <pivotField numFmtId="1" showAll="0"/>
    <pivotField numFmtId="14" showAll="0"/>
    <pivotField showAll="0" measureFilter="1">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showAll="0">
      <items count="3">
        <item x="1"/>
        <item x="0"/>
        <item t="default"/>
      </items>
    </pivotField>
    <pivotField numFmtId="1" showAll="0"/>
    <pivotField showAll="0"/>
    <pivotField axis="axisCol" showAll="0">
      <items count="4">
        <item x="0"/>
        <item x="1"/>
        <item x="2"/>
        <item t="default"/>
      </items>
    </pivotField>
    <pivotField axis="axisRow" numFmtId="1" showAll="0">
      <items count="5">
        <item x="2"/>
        <item x="1"/>
        <item x="0"/>
        <item x="3"/>
        <item t="default"/>
      </items>
    </pivotField>
    <pivotField numFmtId="1" showAll="0"/>
    <pivotField dataField="1" numFmtId="1" showAll="0">
      <items count="19">
        <item x="16"/>
        <item x="2"/>
        <item x="5"/>
        <item x="17"/>
        <item x="8"/>
        <item x="15"/>
        <item x="4"/>
        <item x="10"/>
        <item x="0"/>
        <item x="7"/>
        <item x="13"/>
        <item x="3"/>
        <item x="6"/>
        <item x="12"/>
        <item x="1"/>
        <item x="14"/>
        <item x="9"/>
        <item x="11"/>
        <item t="default"/>
      </items>
    </pivotField>
    <pivotField showAll="0"/>
    <pivotField numFmtId="1" showAll="0"/>
    <pivotField numFmtId="1" showAll="0"/>
    <pivotField showAll="0"/>
    <pivotField showAll="0">
      <items count="13">
        <item x="2"/>
        <item x="1"/>
        <item x="5"/>
        <item x="4"/>
        <item x="3"/>
        <item x="10"/>
        <item x="11"/>
        <item x="8"/>
        <item x="9"/>
        <item x="7"/>
        <item x="0"/>
        <item x="6"/>
        <item t="default"/>
      </items>
    </pivotField>
  </pivotFields>
  <rowFields count="1">
    <field x="7"/>
  </rowFields>
  <rowItems count="5">
    <i>
      <x/>
    </i>
    <i>
      <x v="1"/>
    </i>
    <i>
      <x v="2"/>
    </i>
    <i>
      <x v="3"/>
    </i>
    <i t="grand">
      <x/>
    </i>
  </rowItems>
  <colFields count="1">
    <field x="6"/>
  </colFields>
  <colItems count="4">
    <i>
      <x/>
    </i>
    <i>
      <x v="1"/>
    </i>
    <i>
      <x v="2"/>
    </i>
    <i t="grand">
      <x/>
    </i>
  </colItems>
  <dataFields count="1">
    <dataField name="Sum of Total_Amount" fld="9" baseField="7" baseItem="2"/>
  </dataFields>
  <chartFormats count="6">
    <chartFormat chart="0" format="1" series="1">
      <pivotArea type="data" outline="0" fieldPosition="0">
        <references count="2">
          <reference field="4294967294" count="1" selected="0">
            <x v="0"/>
          </reference>
          <reference field="6" count="1" selected="0">
            <x v="0"/>
          </reference>
        </references>
      </pivotArea>
    </chartFormat>
    <chartFormat chart="0" format="2" series="1">
      <pivotArea type="data" outline="0" fieldPosition="0">
        <references count="2">
          <reference field="4294967294" count="1" selected="0">
            <x v="0"/>
          </reference>
          <reference field="6" count="1" selected="0">
            <x v="1"/>
          </reference>
        </references>
      </pivotArea>
    </chartFormat>
    <chartFormat chart="0" format="3" series="1">
      <pivotArea type="data" outline="0" fieldPosition="0">
        <references count="2">
          <reference field="4294967294" count="1" selected="0">
            <x v="0"/>
          </reference>
          <reference field="6" count="1" selected="0">
            <x v="2"/>
          </reference>
        </references>
      </pivotArea>
    </chartFormat>
    <chartFormat chart="26" format="7" series="1">
      <pivotArea type="data" outline="0" fieldPosition="0">
        <references count="2">
          <reference field="4294967294" count="1" selected="0">
            <x v="0"/>
          </reference>
          <reference field="6" count="1" selected="0">
            <x v="0"/>
          </reference>
        </references>
      </pivotArea>
    </chartFormat>
    <chartFormat chart="26" format="8" series="1">
      <pivotArea type="data" outline="0" fieldPosition="0">
        <references count="2">
          <reference field="4294967294" count="1" selected="0">
            <x v="0"/>
          </reference>
          <reference field="6" count="1" selected="0">
            <x v="1"/>
          </reference>
        </references>
      </pivotArea>
    </chartFormat>
    <chartFormat chart="26"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filters count="1">
    <filter fld="2"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6">
  <location ref="A3:B11" firstHeaderRow="1" firstDataRow="1" firstDataCol="1"/>
  <pivotFields count="15">
    <pivotField numFmtId="1" showAll="0"/>
    <pivotField numFmtId="14" showAll="0"/>
    <pivotField showAll="0"/>
    <pivotField showAll="0">
      <items count="3">
        <item x="1"/>
        <item x="0"/>
        <item t="default"/>
      </items>
    </pivotField>
    <pivotField numFmtId="1" showAll="0"/>
    <pivotField showAll="0"/>
    <pivotField showAll="0">
      <items count="4">
        <item x="0"/>
        <item x="1"/>
        <item x="2"/>
        <item t="default"/>
      </items>
    </pivotField>
    <pivotField numFmtId="1" showAll="0"/>
    <pivotField numFmtId="1" showAll="0"/>
    <pivotField dataField="1" numFmtId="1" showAll="0"/>
    <pivotField showAll="0">
      <items count="4">
        <item x="2"/>
        <item x="0"/>
        <item x="1"/>
        <item t="default"/>
      </items>
    </pivotField>
    <pivotField numFmtId="1" showAll="0">
      <items count="3">
        <item x="0"/>
        <item x="1"/>
        <item t="default"/>
      </items>
    </pivotField>
    <pivotField numFmtId="1" showAll="0">
      <items count="5">
        <item x="1"/>
        <item x="2"/>
        <item x="3"/>
        <item x="0"/>
        <item t="default"/>
      </items>
    </pivotField>
    <pivotField axis="axisRow" showAll="0">
      <items count="8">
        <item x="2"/>
        <item x="1"/>
        <item x="4"/>
        <item x="5"/>
        <item x="6"/>
        <item x="0"/>
        <item x="3"/>
        <item t="default"/>
      </items>
    </pivotField>
    <pivotField showAll="0">
      <items count="13">
        <item x="2"/>
        <item x="1"/>
        <item x="5"/>
        <item x="4"/>
        <item x="3"/>
        <item x="10"/>
        <item x="11"/>
        <item x="8"/>
        <item x="9"/>
        <item x="7"/>
        <item x="0"/>
        <item x="6"/>
        <item t="default"/>
      </items>
    </pivotField>
  </pivotFields>
  <rowFields count="1">
    <field x="13"/>
  </rowFields>
  <rowItems count="8">
    <i>
      <x/>
    </i>
    <i>
      <x v="1"/>
    </i>
    <i>
      <x v="2"/>
    </i>
    <i>
      <x v="3"/>
    </i>
    <i>
      <x v="4"/>
    </i>
    <i>
      <x v="5"/>
    </i>
    <i>
      <x v="6"/>
    </i>
    <i t="grand">
      <x/>
    </i>
  </rowItems>
  <colItems count="1">
    <i/>
  </colItems>
  <dataFields count="1">
    <dataField name="Sum of Total_Amount" fld="9" baseField="0" baseItem="0"/>
  </dataFields>
  <chartFormats count="3">
    <chartFormat chart="0"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8" firstHeaderRow="1" firstDataRow="1" firstDataCol="1"/>
  <pivotFields count="15">
    <pivotField numFmtId="1" showAll="0"/>
    <pivotField numFmtId="14" showAll="0"/>
    <pivotField showAll="0"/>
    <pivotField showAll="0">
      <items count="3">
        <item x="1"/>
        <item x="0"/>
        <item t="default"/>
      </items>
    </pivotField>
    <pivotField numFmtId="1" showAll="0"/>
    <pivotField showAll="0"/>
    <pivotField showAll="0">
      <items count="4">
        <item x="0"/>
        <item x="1"/>
        <item x="2"/>
        <item t="default"/>
      </items>
    </pivotField>
    <pivotField numFmtId="1" showAll="0"/>
    <pivotField numFmtId="1" showAll="0"/>
    <pivotField dataField="1" numFmtId="1" showAll="0"/>
    <pivotField showAll="0"/>
    <pivotField numFmtId="1" showAll="0"/>
    <pivotField axis="axisRow" numFmtId="1" showAll="0">
      <items count="5">
        <item x="1"/>
        <item x="2"/>
        <item x="3"/>
        <item x="0"/>
        <item t="default"/>
      </items>
    </pivotField>
    <pivotField showAll="0"/>
    <pivotField showAll="0">
      <items count="13">
        <item x="2"/>
        <item x="1"/>
        <item x="5"/>
        <item x="4"/>
        <item x="3"/>
        <item x="10"/>
        <item x="11"/>
        <item x="8"/>
        <item x="9"/>
        <item x="7"/>
        <item x="0"/>
        <item x="6"/>
        <item t="default"/>
      </items>
    </pivotField>
  </pivotFields>
  <rowFields count="1">
    <field x="12"/>
  </rowFields>
  <rowItems count="5">
    <i>
      <x/>
    </i>
    <i>
      <x v="1"/>
    </i>
    <i>
      <x v="2"/>
    </i>
    <i>
      <x v="3"/>
    </i>
    <i t="grand">
      <x/>
    </i>
  </rowItems>
  <colItems count="1">
    <i/>
  </colItems>
  <dataFields count="1">
    <dataField name="Sum of Total_Amount" fld="9" showDataAs="percentOfTotal" baseField="12" baseItem="0" numFmtId="10"/>
  </dataFields>
  <chartFormats count="10">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2" count="1" selected="0">
            <x v="0"/>
          </reference>
        </references>
      </pivotArea>
    </chartFormat>
    <chartFormat chart="7" format="8">
      <pivotArea type="data" outline="0" fieldPosition="0">
        <references count="2">
          <reference field="4294967294" count="1" selected="0">
            <x v="0"/>
          </reference>
          <reference field="12" count="1" selected="0">
            <x v="1"/>
          </reference>
        </references>
      </pivotArea>
    </chartFormat>
    <chartFormat chart="7" format="9">
      <pivotArea type="data" outline="0" fieldPosition="0">
        <references count="2">
          <reference field="4294967294" count="1" selected="0">
            <x v="0"/>
          </reference>
          <reference field="12" count="1" selected="0">
            <x v="2"/>
          </reference>
        </references>
      </pivotArea>
    </chartFormat>
    <chartFormat chart="7" format="10">
      <pivotArea type="data" outline="0" fieldPosition="0">
        <references count="2">
          <reference field="4294967294" count="1" selected="0">
            <x v="0"/>
          </reference>
          <reference field="12" count="1" selected="0">
            <x v="3"/>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_Category">
  <pivotTables>
    <pivotTable tabId="8" name="PivotTable6"/>
    <pivotTable tabId="4" name="PivotTable2"/>
    <pivotTable tabId="5" name="PivotTable3"/>
    <pivotTable tabId="6" name="PivotTable4"/>
    <pivotTable tabId="7" name="PivotTable5"/>
    <pivotTable tabId="9" name="PivotTable1"/>
    <pivotTable tabId="10" name="PivotTable2"/>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ge_Group" sourceName="Age_Group">
  <pivotTables>
    <pivotTable tabId="7" name="PivotTable5"/>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7" name="PivotTable5"/>
    <pivotTable tabId="4" name="PivotTable2"/>
    <pivotTable tabId="5" name="PivotTable3"/>
    <pivotTable tabId="6" name="PivotTable4"/>
    <pivotTable tabId="8" name="PivotTable6"/>
    <pivotTable tabId="9" name="PivotTable1"/>
    <pivotTable tabId="10" name="PivotTable2"/>
  </pivotTables>
  <data>
    <tabular pivotCacheId="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5" name="PivotTable3"/>
    <pivotTable tabId="4" name="PivotTable2"/>
    <pivotTable tabId="6" name="PivotTable4"/>
    <pivotTable tabId="7" name="PivotTable5"/>
    <pivotTable tabId="8" name="PivotTable6"/>
    <pivotTable tabId="9" name="PivotTable1"/>
    <pivotTable tabId="10" name="PivotTable2"/>
  </pivotTables>
  <data>
    <tabular pivotCacheId="1">
      <items count="12">
        <i x="2" s="1"/>
        <i x="1" s="1"/>
        <i x="5" s="1"/>
        <i x="4" s="1"/>
        <i x="3" s="1"/>
        <i x="10" s="1"/>
        <i x="11" s="1"/>
        <i x="8" s="1"/>
        <i x="9" s="1"/>
        <i x="7"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Age_Group" cache="Slicer_Age_Group" caption="Age_Group" rowHeight="234950"/>
  <slicer name="Gender" cache="Slicer_Gender" caption="Gender"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Product_Category" cache="Slicer_Product_Category" caption="Product_Category"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Product_Category 1" cache="Slicer_Product_Category" caption="Category" style="SlicerStyleDark2" rowHeight="234950"/>
  <slicer name="Gender 1" cache="Slicer_Gender" caption="Gender" style="SlicerStyleDark2" rowHeight="234950"/>
  <slicer name="Month 1" cache="Slicer_Month" caption="Month" style="SlicerStyleDark2" rowHeight="234950"/>
</slicers>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2"/>
  <sheetViews>
    <sheetView topLeftCell="G1" zoomScaleNormal="100" workbookViewId="0">
      <selection activeCell="R24" sqref="R24"/>
    </sheetView>
  </sheetViews>
  <sheetFormatPr defaultRowHeight="14.4" x14ac:dyDescent="0.3"/>
  <cols>
    <col min="1" max="1" width="15.88671875" bestFit="1" customWidth="1"/>
    <col min="3" max="3" width="14.33203125" bestFit="1" customWidth="1"/>
    <col min="4" max="4" width="9.33203125" style="5" bestFit="1" customWidth="1"/>
    <col min="6" max="6" width="12.77734375" bestFit="1" customWidth="1"/>
    <col min="7" max="7" width="18.5546875" bestFit="1" customWidth="1"/>
    <col min="8" max="8" width="10.5546875" bestFit="1" customWidth="1"/>
    <col min="9" max="9" width="16.44140625" bestFit="1" customWidth="1"/>
    <col min="10" max="10" width="16" bestFit="1" customWidth="1"/>
    <col min="11" max="11" width="20.109375" bestFit="1" customWidth="1"/>
    <col min="13" max="13" width="9.6640625" bestFit="1" customWidth="1"/>
    <col min="14" max="14" width="15" style="5" bestFit="1" customWidth="1"/>
    <col min="15" max="15" width="9.77734375" style="5" bestFit="1" customWidth="1"/>
    <col min="17" max="17" width="23.44140625" bestFit="1" customWidth="1"/>
    <col min="18" max="18" width="19.77734375" bestFit="1" customWidth="1"/>
  </cols>
  <sheetData>
    <row r="1" spans="1:18" x14ac:dyDescent="0.3">
      <c r="A1" s="14" t="s">
        <v>1009</v>
      </c>
      <c r="B1" s="15" t="s">
        <v>0</v>
      </c>
      <c r="C1" s="16" t="s">
        <v>1010</v>
      </c>
      <c r="D1" s="16" t="s">
        <v>1</v>
      </c>
      <c r="E1" s="14" t="s">
        <v>2</v>
      </c>
      <c r="F1" s="14" t="s">
        <v>1021</v>
      </c>
      <c r="G1" s="16" t="s">
        <v>1011</v>
      </c>
      <c r="H1" s="17" t="s">
        <v>3</v>
      </c>
      <c r="I1" s="14" t="s">
        <v>1012</v>
      </c>
      <c r="J1" s="14" t="s">
        <v>1013</v>
      </c>
      <c r="K1" s="14" t="s">
        <v>1020</v>
      </c>
      <c r="L1" s="14" t="s">
        <v>1015</v>
      </c>
      <c r="M1" s="14" t="s">
        <v>1017</v>
      </c>
      <c r="N1" s="16" t="s">
        <v>1018</v>
      </c>
      <c r="O1" s="16" t="s">
        <v>1016</v>
      </c>
    </row>
    <row r="2" spans="1:18" x14ac:dyDescent="0.3">
      <c r="A2" s="18">
        <v>1</v>
      </c>
      <c r="B2" s="19">
        <v>45254</v>
      </c>
      <c r="C2" s="20" t="s">
        <v>4</v>
      </c>
      <c r="D2" s="20" t="s">
        <v>5</v>
      </c>
      <c r="E2" s="18">
        <v>34</v>
      </c>
      <c r="F2" s="18" t="str">
        <f>IF(E2&gt;60,"Senior",IF(E2&gt;30,"Adult","Young"))</f>
        <v>Adult</v>
      </c>
      <c r="G2" s="20" t="s">
        <v>6</v>
      </c>
      <c r="H2" s="18">
        <v>3</v>
      </c>
      <c r="I2" s="18">
        <v>50</v>
      </c>
      <c r="J2" s="18">
        <v>150</v>
      </c>
      <c r="K2" s="21" t="str">
        <f>IF(J2&gt;1500,"High",IF(J2&gt;500,"Medium","Low"))</f>
        <v>Low</v>
      </c>
      <c r="L2" s="18">
        <f>YEAR(B2)</f>
        <v>2023</v>
      </c>
      <c r="M2" s="18">
        <f>ROUNDUP(MONTH(B2)/3,0)</f>
        <v>4</v>
      </c>
      <c r="N2" s="20" t="str">
        <f>TEXT(B2,"dddd")</f>
        <v>Friday</v>
      </c>
      <c r="O2" s="20" t="str">
        <f>TEXT(B2,"mmmm")</f>
        <v>November</v>
      </c>
    </row>
    <row r="3" spans="1:18" x14ac:dyDescent="0.3">
      <c r="A3" s="18">
        <v>2</v>
      </c>
      <c r="B3" s="19">
        <v>44984</v>
      </c>
      <c r="C3" s="20" t="s">
        <v>7</v>
      </c>
      <c r="D3" s="20" t="s">
        <v>8</v>
      </c>
      <c r="E3" s="18">
        <v>26</v>
      </c>
      <c r="F3" s="18" t="str">
        <f t="shared" ref="F3:F66" si="0">IF(E3&gt;60,"Senior",IF(E3&gt;30,"Adult","Young"))</f>
        <v>Young</v>
      </c>
      <c r="G3" s="20" t="s">
        <v>9</v>
      </c>
      <c r="H3" s="18">
        <v>2</v>
      </c>
      <c r="I3" s="18">
        <v>500</v>
      </c>
      <c r="J3" s="18">
        <v>1000</v>
      </c>
      <c r="K3" s="21" t="str">
        <f t="shared" ref="K3:K66" si="1">IF(J3&gt;1500,"High",IF(J3&gt;500,"Medium","Low"))</f>
        <v>Medium</v>
      </c>
      <c r="L3" s="18">
        <f>YEAR(B3)</f>
        <v>2023</v>
      </c>
      <c r="M3" s="18">
        <f>ROUNDUP(MONTH(B3)/3,0)</f>
        <v>1</v>
      </c>
      <c r="N3" s="20" t="str">
        <f>TEXT(B3,"dddd")</f>
        <v>Monday</v>
      </c>
      <c r="O3" s="20" t="str">
        <f>TEXT(B3,"mmmm")</f>
        <v>February</v>
      </c>
      <c r="Q3" s="1" t="s">
        <v>1014</v>
      </c>
    </row>
    <row r="4" spans="1:18" x14ac:dyDescent="0.3">
      <c r="A4" s="18">
        <v>3</v>
      </c>
      <c r="B4" s="19">
        <v>44939</v>
      </c>
      <c r="C4" s="20" t="s">
        <v>10</v>
      </c>
      <c r="D4" s="20" t="s">
        <v>5</v>
      </c>
      <c r="E4" s="18">
        <v>50</v>
      </c>
      <c r="F4" s="18" t="str">
        <f t="shared" si="0"/>
        <v>Adult</v>
      </c>
      <c r="G4" s="20" t="s">
        <v>11</v>
      </c>
      <c r="H4" s="18">
        <v>1</v>
      </c>
      <c r="I4" s="18">
        <v>30</v>
      </c>
      <c r="J4" s="18">
        <v>30</v>
      </c>
      <c r="K4" s="21" t="str">
        <f t="shared" si="1"/>
        <v>Low</v>
      </c>
      <c r="L4" s="18">
        <f>YEAR(B4)</f>
        <v>2023</v>
      </c>
      <c r="M4" s="18">
        <f>ROUNDUP(MONTH(B4)/3,0)</f>
        <v>1</v>
      </c>
      <c r="N4" s="20" t="str">
        <f>TEXT(B4,"dddd")</f>
        <v>Friday</v>
      </c>
      <c r="O4" s="20" t="str">
        <f>TEXT(B4,"mmmm")</f>
        <v>January</v>
      </c>
      <c r="Q4" t="b">
        <f>ISBLANK(A1:J1001)</f>
        <v>0</v>
      </c>
    </row>
    <row r="5" spans="1:18" x14ac:dyDescent="0.3">
      <c r="A5" s="18">
        <v>4</v>
      </c>
      <c r="B5" s="19">
        <v>45067</v>
      </c>
      <c r="C5" s="20" t="s">
        <v>12</v>
      </c>
      <c r="D5" s="20" t="s">
        <v>5</v>
      </c>
      <c r="E5" s="18">
        <v>37</v>
      </c>
      <c r="F5" s="18" t="str">
        <f t="shared" si="0"/>
        <v>Adult</v>
      </c>
      <c r="G5" s="20" t="s">
        <v>9</v>
      </c>
      <c r="H5" s="18">
        <v>1</v>
      </c>
      <c r="I5" s="18">
        <v>500</v>
      </c>
      <c r="J5" s="18">
        <v>500</v>
      </c>
      <c r="K5" s="21" t="str">
        <f t="shared" si="1"/>
        <v>Low</v>
      </c>
      <c r="L5" s="18">
        <f>YEAR(B5)</f>
        <v>2023</v>
      </c>
      <c r="M5" s="18">
        <f>ROUNDUP(MONTH(B5)/3,0)</f>
        <v>2</v>
      </c>
      <c r="N5" s="20" t="str">
        <f>TEXT(B5,"dddd")</f>
        <v>Sunday</v>
      </c>
      <c r="O5" s="20" t="str">
        <f>TEXT(B5,"mmmm")</f>
        <v>May</v>
      </c>
    </row>
    <row r="6" spans="1:18" x14ac:dyDescent="0.3">
      <c r="A6" s="18">
        <v>5</v>
      </c>
      <c r="B6" s="19">
        <v>45052</v>
      </c>
      <c r="C6" s="20" t="s">
        <v>13</v>
      </c>
      <c r="D6" s="20" t="s">
        <v>5</v>
      </c>
      <c r="E6" s="18">
        <v>30</v>
      </c>
      <c r="F6" s="18" t="str">
        <f t="shared" si="0"/>
        <v>Young</v>
      </c>
      <c r="G6" s="20" t="s">
        <v>6</v>
      </c>
      <c r="H6" s="18">
        <v>2</v>
      </c>
      <c r="I6" s="18">
        <v>50</v>
      </c>
      <c r="J6" s="18">
        <v>100</v>
      </c>
      <c r="K6" s="21" t="str">
        <f t="shared" si="1"/>
        <v>Low</v>
      </c>
      <c r="L6" s="18">
        <f>YEAR(B6)</f>
        <v>2023</v>
      </c>
      <c r="M6" s="18">
        <f>ROUNDUP(MONTH(B6)/3,0)</f>
        <v>2</v>
      </c>
      <c r="N6" s="20" t="str">
        <f>TEXT(B6,"dddd")</f>
        <v>Saturday</v>
      </c>
      <c r="O6" s="20" t="str">
        <f>TEXT(B6,"mmmm")</f>
        <v>May</v>
      </c>
    </row>
    <row r="7" spans="1:18" x14ac:dyDescent="0.3">
      <c r="A7" s="18">
        <v>6</v>
      </c>
      <c r="B7" s="19">
        <v>45041</v>
      </c>
      <c r="C7" s="20" t="s">
        <v>14</v>
      </c>
      <c r="D7" s="20" t="s">
        <v>8</v>
      </c>
      <c r="E7" s="18">
        <v>45</v>
      </c>
      <c r="F7" s="18" t="str">
        <f t="shared" si="0"/>
        <v>Adult</v>
      </c>
      <c r="G7" s="20" t="s">
        <v>6</v>
      </c>
      <c r="H7" s="18">
        <v>1</v>
      </c>
      <c r="I7" s="18">
        <v>30</v>
      </c>
      <c r="J7" s="18">
        <v>30</v>
      </c>
      <c r="K7" s="21" t="str">
        <f t="shared" si="1"/>
        <v>Low</v>
      </c>
      <c r="L7" s="18">
        <f>YEAR(B7)</f>
        <v>2023</v>
      </c>
      <c r="M7" s="18">
        <f>ROUNDUP(MONTH(B7)/3,0)</f>
        <v>2</v>
      </c>
      <c r="N7" s="20" t="str">
        <f>TEXT(B7,"dddd")</f>
        <v>Tuesday</v>
      </c>
      <c r="O7" s="20" t="str">
        <f>TEXT(B7,"mmmm")</f>
        <v>April</v>
      </c>
      <c r="Q7" s="7" t="s">
        <v>1</v>
      </c>
      <c r="R7" s="7" t="s">
        <v>1053</v>
      </c>
    </row>
    <row r="8" spans="1:18" x14ac:dyDescent="0.3">
      <c r="A8" s="18">
        <v>7</v>
      </c>
      <c r="B8" s="19">
        <v>44998</v>
      </c>
      <c r="C8" s="20" t="s">
        <v>15</v>
      </c>
      <c r="D8" s="20" t="s">
        <v>5</v>
      </c>
      <c r="E8" s="18">
        <v>46</v>
      </c>
      <c r="F8" s="18" t="str">
        <f t="shared" si="0"/>
        <v>Adult</v>
      </c>
      <c r="G8" s="20" t="s">
        <v>9</v>
      </c>
      <c r="H8" s="18">
        <v>2</v>
      </c>
      <c r="I8" s="18">
        <v>25</v>
      </c>
      <c r="J8" s="18">
        <v>50</v>
      </c>
      <c r="K8" s="21" t="str">
        <f t="shared" si="1"/>
        <v>Low</v>
      </c>
      <c r="L8" s="18">
        <f>YEAR(B8)</f>
        <v>2023</v>
      </c>
      <c r="M8" s="18">
        <f>ROUNDUP(MONTH(B8)/3,0)</f>
        <v>1</v>
      </c>
      <c r="N8" s="20" t="str">
        <f>TEXT(B8,"dddd")</f>
        <v>Monday</v>
      </c>
      <c r="O8" s="20" t="str">
        <f>TEXT(B8,"mmmm")</f>
        <v>March</v>
      </c>
      <c r="Q8" s="6" t="s">
        <v>8</v>
      </c>
      <c r="R8" s="6">
        <f>COUNTIF(D1:D1001,Q8)</f>
        <v>510</v>
      </c>
    </row>
    <row r="9" spans="1:18" x14ac:dyDescent="0.3">
      <c r="A9" s="18">
        <v>8</v>
      </c>
      <c r="B9" s="19">
        <v>44979</v>
      </c>
      <c r="C9" s="20" t="s">
        <v>16</v>
      </c>
      <c r="D9" s="20" t="s">
        <v>5</v>
      </c>
      <c r="E9" s="18">
        <v>30</v>
      </c>
      <c r="F9" s="18" t="str">
        <f t="shared" si="0"/>
        <v>Young</v>
      </c>
      <c r="G9" s="20" t="s">
        <v>11</v>
      </c>
      <c r="H9" s="18">
        <v>4</v>
      </c>
      <c r="I9" s="18">
        <v>25</v>
      </c>
      <c r="J9" s="18">
        <v>100</v>
      </c>
      <c r="K9" s="21" t="str">
        <f t="shared" si="1"/>
        <v>Low</v>
      </c>
      <c r="L9" s="18">
        <f>YEAR(B9)</f>
        <v>2023</v>
      </c>
      <c r="M9" s="18">
        <f>ROUNDUP(MONTH(B9)/3,0)</f>
        <v>1</v>
      </c>
      <c r="N9" s="20" t="str">
        <f>TEXT(B9,"dddd")</f>
        <v>Wednesday</v>
      </c>
      <c r="O9" s="20" t="str">
        <f>TEXT(B9,"mmmm")</f>
        <v>February</v>
      </c>
    </row>
    <row r="10" spans="1:18" x14ac:dyDescent="0.3">
      <c r="A10" s="18">
        <v>9</v>
      </c>
      <c r="B10" s="19">
        <v>45273</v>
      </c>
      <c r="C10" s="20" t="s">
        <v>17</v>
      </c>
      <c r="D10" s="20" t="s">
        <v>5</v>
      </c>
      <c r="E10" s="18">
        <v>63</v>
      </c>
      <c r="F10" s="18" t="str">
        <f t="shared" si="0"/>
        <v>Senior</v>
      </c>
      <c r="G10" s="20" t="s">
        <v>11</v>
      </c>
      <c r="H10" s="18">
        <v>2</v>
      </c>
      <c r="I10" s="18">
        <v>300</v>
      </c>
      <c r="J10" s="18">
        <v>600</v>
      </c>
      <c r="K10" s="21" t="str">
        <f t="shared" si="1"/>
        <v>Medium</v>
      </c>
      <c r="L10" s="18">
        <f>YEAR(B10)</f>
        <v>2023</v>
      </c>
      <c r="M10" s="18">
        <f>ROUNDUP(MONTH(B10)/3,0)</f>
        <v>4</v>
      </c>
      <c r="N10" s="20" t="str">
        <f>TEXT(B10,"dddd")</f>
        <v>Wednesday</v>
      </c>
      <c r="O10" s="20" t="str">
        <f>TEXT(B10,"mmmm")</f>
        <v>December</v>
      </c>
    </row>
    <row r="11" spans="1:18" x14ac:dyDescent="0.3">
      <c r="A11" s="18">
        <v>10</v>
      </c>
      <c r="B11" s="19">
        <v>45206</v>
      </c>
      <c r="C11" s="20" t="s">
        <v>18</v>
      </c>
      <c r="D11" s="20" t="s">
        <v>8</v>
      </c>
      <c r="E11" s="18">
        <v>52</v>
      </c>
      <c r="F11" s="18" t="str">
        <f t="shared" si="0"/>
        <v>Adult</v>
      </c>
      <c r="G11" s="20" t="s">
        <v>9</v>
      </c>
      <c r="H11" s="18">
        <v>4</v>
      </c>
      <c r="I11" s="18">
        <v>50</v>
      </c>
      <c r="J11" s="18">
        <v>200</v>
      </c>
      <c r="K11" s="21" t="str">
        <f t="shared" si="1"/>
        <v>Low</v>
      </c>
      <c r="L11" s="18">
        <f>YEAR(B11)</f>
        <v>2023</v>
      </c>
      <c r="M11" s="18">
        <f>ROUNDUP(MONTH(B11)/3,0)</f>
        <v>4</v>
      </c>
      <c r="N11" s="20" t="str">
        <f>TEXT(B11,"dddd")</f>
        <v>Saturday</v>
      </c>
      <c r="O11" s="20" t="str">
        <f>TEXT(B11,"mmmm")</f>
        <v>October</v>
      </c>
      <c r="R11" s="29" t="s">
        <v>1010</v>
      </c>
    </row>
    <row r="12" spans="1:18" x14ac:dyDescent="0.3">
      <c r="A12" s="18">
        <v>11</v>
      </c>
      <c r="B12" s="19">
        <v>44971</v>
      </c>
      <c r="C12" s="20" t="s">
        <v>19</v>
      </c>
      <c r="D12" s="20" t="s">
        <v>5</v>
      </c>
      <c r="E12" s="18">
        <v>23</v>
      </c>
      <c r="F12" s="18" t="str">
        <f t="shared" si="0"/>
        <v>Young</v>
      </c>
      <c r="G12" s="20" t="s">
        <v>9</v>
      </c>
      <c r="H12" s="18">
        <v>2</v>
      </c>
      <c r="I12" s="18">
        <v>50</v>
      </c>
      <c r="J12" s="18">
        <v>100</v>
      </c>
      <c r="K12" s="21" t="str">
        <f t="shared" si="1"/>
        <v>Low</v>
      </c>
      <c r="L12" s="18">
        <f>YEAR(B12)</f>
        <v>2023</v>
      </c>
      <c r="M12" s="18">
        <f>ROUNDUP(MONTH(B12)/3,0)</f>
        <v>1</v>
      </c>
      <c r="N12" s="20" t="str">
        <f>TEXT(B12,"dddd")</f>
        <v>Tuesday</v>
      </c>
      <c r="O12" s="20" t="str">
        <f>TEXT(B12,"mmmm")</f>
        <v>February</v>
      </c>
      <c r="R12" s="20" t="s">
        <v>686</v>
      </c>
    </row>
    <row r="13" spans="1:18" x14ac:dyDescent="0.3">
      <c r="A13" s="18">
        <v>12</v>
      </c>
      <c r="B13" s="19">
        <v>45229</v>
      </c>
      <c r="C13" s="20" t="s">
        <v>20</v>
      </c>
      <c r="D13" s="20" t="s">
        <v>5</v>
      </c>
      <c r="E13" s="18">
        <v>35</v>
      </c>
      <c r="F13" s="18" t="str">
        <f t="shared" si="0"/>
        <v>Adult</v>
      </c>
      <c r="G13" s="20" t="s">
        <v>6</v>
      </c>
      <c r="H13" s="18">
        <v>3</v>
      </c>
      <c r="I13" s="18">
        <v>25</v>
      </c>
      <c r="J13" s="18">
        <v>75</v>
      </c>
      <c r="K13" s="21" t="str">
        <f t="shared" si="1"/>
        <v>Low</v>
      </c>
      <c r="L13" s="18">
        <f>YEAR(B13)</f>
        <v>2023</v>
      </c>
      <c r="M13" s="18">
        <f>ROUNDUP(MONTH(B13)/3,0)</f>
        <v>4</v>
      </c>
      <c r="N13" s="20" t="str">
        <f>TEXT(B13,"dddd")</f>
        <v>Monday</v>
      </c>
      <c r="O13" s="20" t="str">
        <f>TEXT(B13,"mmmm")</f>
        <v>October</v>
      </c>
      <c r="Q13" s="29" t="s">
        <v>3</v>
      </c>
      <c r="R13" s="21">
        <f>INDEX($A$1:$O$1001,MATCH($R$12,$C$1:$C$1001,0),MATCH(Q13,$A$1:$O$1,0))</f>
        <v>3</v>
      </c>
    </row>
    <row r="14" spans="1:18" x14ac:dyDescent="0.3">
      <c r="A14" s="18">
        <v>13</v>
      </c>
      <c r="B14" s="19">
        <v>45143</v>
      </c>
      <c r="C14" s="20" t="s">
        <v>21</v>
      </c>
      <c r="D14" s="20" t="s">
        <v>5</v>
      </c>
      <c r="E14" s="18">
        <v>22</v>
      </c>
      <c r="F14" s="18" t="str">
        <f t="shared" si="0"/>
        <v>Young</v>
      </c>
      <c r="G14" s="20" t="s">
        <v>11</v>
      </c>
      <c r="H14" s="18">
        <v>3</v>
      </c>
      <c r="I14" s="18">
        <v>500</v>
      </c>
      <c r="J14" s="18">
        <v>1500</v>
      </c>
      <c r="K14" s="21" t="str">
        <f t="shared" si="1"/>
        <v>Medium</v>
      </c>
      <c r="L14" s="18">
        <f>YEAR(B14)</f>
        <v>2023</v>
      </c>
      <c r="M14" s="18">
        <f>ROUNDUP(MONTH(B14)/3,0)</f>
        <v>3</v>
      </c>
      <c r="N14" s="20" t="str">
        <f>TEXT(B14,"dddd")</f>
        <v>Saturday</v>
      </c>
      <c r="O14" s="20" t="str">
        <f>TEXT(B14,"mmmm")</f>
        <v>August</v>
      </c>
      <c r="Q14" s="29" t="s">
        <v>1013</v>
      </c>
      <c r="R14" s="21">
        <f>INDEX($A$1:$O$1001,MATCH($R$12,$C$1:$C$1001,0),MATCH(Q14,$A$1:$O$1,0))</f>
        <v>900</v>
      </c>
    </row>
    <row r="15" spans="1:18" x14ac:dyDescent="0.3">
      <c r="A15" s="18">
        <v>14</v>
      </c>
      <c r="B15" s="19">
        <v>44943</v>
      </c>
      <c r="C15" s="20" t="s">
        <v>22</v>
      </c>
      <c r="D15" s="20" t="s">
        <v>5</v>
      </c>
      <c r="E15" s="18">
        <v>64</v>
      </c>
      <c r="F15" s="18" t="str">
        <f t="shared" si="0"/>
        <v>Senior</v>
      </c>
      <c r="G15" s="20" t="s">
        <v>9</v>
      </c>
      <c r="H15" s="18">
        <v>4</v>
      </c>
      <c r="I15" s="18">
        <v>30</v>
      </c>
      <c r="J15" s="18">
        <v>120</v>
      </c>
      <c r="K15" s="21" t="str">
        <f t="shared" si="1"/>
        <v>Low</v>
      </c>
      <c r="L15" s="18">
        <f>YEAR(B15)</f>
        <v>2023</v>
      </c>
      <c r="M15" s="18">
        <f>ROUNDUP(MONTH(B15)/3,0)</f>
        <v>1</v>
      </c>
      <c r="N15" s="20" t="str">
        <f>TEXT(B15,"dddd")</f>
        <v>Tuesday</v>
      </c>
      <c r="O15" s="20" t="str">
        <f>TEXT(B15,"mmmm")</f>
        <v>January</v>
      </c>
    </row>
    <row r="16" spans="1:18" x14ac:dyDescent="0.3">
      <c r="A16" s="18">
        <v>15</v>
      </c>
      <c r="B16" s="19">
        <v>44942</v>
      </c>
      <c r="C16" s="20" t="s">
        <v>23</v>
      </c>
      <c r="D16" s="20" t="s">
        <v>8</v>
      </c>
      <c r="E16" s="18">
        <v>42</v>
      </c>
      <c r="F16" s="18" t="str">
        <f t="shared" si="0"/>
        <v>Adult</v>
      </c>
      <c r="G16" s="20" t="s">
        <v>11</v>
      </c>
      <c r="H16" s="18">
        <v>4</v>
      </c>
      <c r="I16" s="18">
        <v>500</v>
      </c>
      <c r="J16" s="18">
        <v>2000</v>
      </c>
      <c r="K16" s="21" t="str">
        <f t="shared" si="1"/>
        <v>High</v>
      </c>
      <c r="L16" s="18">
        <f>YEAR(B16)</f>
        <v>2023</v>
      </c>
      <c r="M16" s="18">
        <f>ROUNDUP(MONTH(B16)/3,0)</f>
        <v>1</v>
      </c>
      <c r="N16" s="20" t="str">
        <f>TEXT(B16,"dddd")</f>
        <v>Monday</v>
      </c>
      <c r="O16" s="20" t="str">
        <f>TEXT(B16,"mmmm")</f>
        <v>January</v>
      </c>
      <c r="Q16" s="7" t="s">
        <v>1011</v>
      </c>
      <c r="R16" s="7" t="s">
        <v>1051</v>
      </c>
    </row>
    <row r="17" spans="1:18" x14ac:dyDescent="0.3">
      <c r="A17" s="18">
        <v>16</v>
      </c>
      <c r="B17" s="19">
        <v>44974</v>
      </c>
      <c r="C17" s="20" t="s">
        <v>24</v>
      </c>
      <c r="D17" s="20" t="s">
        <v>5</v>
      </c>
      <c r="E17" s="18">
        <v>19</v>
      </c>
      <c r="F17" s="18" t="str">
        <f t="shared" si="0"/>
        <v>Young</v>
      </c>
      <c r="G17" s="20" t="s">
        <v>9</v>
      </c>
      <c r="H17" s="18">
        <v>3</v>
      </c>
      <c r="I17" s="18">
        <v>500</v>
      </c>
      <c r="J17" s="18">
        <v>1500</v>
      </c>
      <c r="K17" s="21" t="str">
        <f t="shared" si="1"/>
        <v>Medium</v>
      </c>
      <c r="L17" s="18">
        <f>YEAR(B17)</f>
        <v>2023</v>
      </c>
      <c r="M17" s="18">
        <f>ROUNDUP(MONTH(B17)/3,0)</f>
        <v>1</v>
      </c>
      <c r="N17" s="20" t="str">
        <f>TEXT(B17,"dddd")</f>
        <v>Friday</v>
      </c>
      <c r="O17" s="20" t="str">
        <f>TEXT(B17,"mmmm")</f>
        <v>February</v>
      </c>
      <c r="Q17" s="6" t="s">
        <v>9</v>
      </c>
      <c r="R17" s="6">
        <f>SUMIF(G1:G1001,Q17,J1:J1001)</f>
        <v>155580</v>
      </c>
    </row>
    <row r="18" spans="1:18" x14ac:dyDescent="0.3">
      <c r="A18" s="18">
        <v>17</v>
      </c>
      <c r="B18" s="19">
        <v>45038</v>
      </c>
      <c r="C18" s="20" t="s">
        <v>25</v>
      </c>
      <c r="D18" s="20" t="s">
        <v>8</v>
      </c>
      <c r="E18" s="18">
        <v>27</v>
      </c>
      <c r="F18" s="18" t="str">
        <f t="shared" si="0"/>
        <v>Young</v>
      </c>
      <c r="G18" s="20" t="s">
        <v>9</v>
      </c>
      <c r="H18" s="18">
        <v>4</v>
      </c>
      <c r="I18" s="18">
        <v>25</v>
      </c>
      <c r="J18" s="18">
        <v>100</v>
      </c>
      <c r="K18" s="21" t="str">
        <f t="shared" si="1"/>
        <v>Low</v>
      </c>
      <c r="L18" s="18">
        <f>YEAR(B18)</f>
        <v>2023</v>
      </c>
      <c r="M18" s="18">
        <f>ROUNDUP(MONTH(B18)/3,0)</f>
        <v>2</v>
      </c>
      <c r="N18" s="20" t="str">
        <f>TEXT(B18,"dddd")</f>
        <v>Saturday</v>
      </c>
      <c r="O18" s="20" t="str">
        <f>TEXT(B18,"mmmm")</f>
        <v>April</v>
      </c>
    </row>
    <row r="19" spans="1:18" x14ac:dyDescent="0.3">
      <c r="A19" s="18">
        <v>18</v>
      </c>
      <c r="B19" s="19">
        <v>45046</v>
      </c>
      <c r="C19" s="20" t="s">
        <v>26</v>
      </c>
      <c r="D19" s="20" t="s">
        <v>8</v>
      </c>
      <c r="E19" s="18">
        <v>47</v>
      </c>
      <c r="F19" s="18" t="str">
        <f t="shared" si="0"/>
        <v>Adult</v>
      </c>
      <c r="G19" s="20" t="s">
        <v>11</v>
      </c>
      <c r="H19" s="18">
        <v>2</v>
      </c>
      <c r="I19" s="18">
        <v>25</v>
      </c>
      <c r="J19" s="18">
        <v>50</v>
      </c>
      <c r="K19" s="21" t="str">
        <f t="shared" si="1"/>
        <v>Low</v>
      </c>
      <c r="L19" s="18">
        <f>YEAR(B19)</f>
        <v>2023</v>
      </c>
      <c r="M19" s="18">
        <f>ROUNDUP(MONTH(B19)/3,0)</f>
        <v>2</v>
      </c>
      <c r="N19" s="20" t="str">
        <f>TEXT(B19,"dddd")</f>
        <v>Sunday</v>
      </c>
      <c r="O19" s="20" t="str">
        <f>TEXT(B19,"mmmm")</f>
        <v>April</v>
      </c>
    </row>
    <row r="20" spans="1:18" x14ac:dyDescent="0.3">
      <c r="A20" s="18">
        <v>19</v>
      </c>
      <c r="B20" s="19">
        <v>45185</v>
      </c>
      <c r="C20" s="20" t="s">
        <v>27</v>
      </c>
      <c r="D20" s="20" t="s">
        <v>8</v>
      </c>
      <c r="E20" s="18">
        <v>62</v>
      </c>
      <c r="F20" s="18" t="str">
        <f t="shared" si="0"/>
        <v>Senior</v>
      </c>
      <c r="G20" s="20" t="s">
        <v>9</v>
      </c>
      <c r="H20" s="18">
        <v>2</v>
      </c>
      <c r="I20" s="18">
        <v>25</v>
      </c>
      <c r="J20" s="18">
        <v>50</v>
      </c>
      <c r="K20" s="21" t="str">
        <f t="shared" si="1"/>
        <v>Low</v>
      </c>
      <c r="L20" s="18">
        <f>YEAR(B20)</f>
        <v>2023</v>
      </c>
      <c r="M20" s="18">
        <f>ROUNDUP(MONTH(B20)/3,0)</f>
        <v>3</v>
      </c>
      <c r="N20" s="20" t="str">
        <f>TEXT(B20,"dddd")</f>
        <v>Saturday</v>
      </c>
      <c r="O20" s="20" t="str">
        <f>TEXT(B20,"mmmm")</f>
        <v>September</v>
      </c>
      <c r="Q20" s="7" t="s">
        <v>1010</v>
      </c>
      <c r="R20" s="7" t="s">
        <v>1013</v>
      </c>
    </row>
    <row r="21" spans="1:18" x14ac:dyDescent="0.3">
      <c r="A21" s="18">
        <v>20</v>
      </c>
      <c r="B21" s="19">
        <v>45235</v>
      </c>
      <c r="C21" s="20" t="s">
        <v>28</v>
      </c>
      <c r="D21" s="20" t="s">
        <v>5</v>
      </c>
      <c r="E21" s="18">
        <v>22</v>
      </c>
      <c r="F21" s="18" t="str">
        <f t="shared" si="0"/>
        <v>Young</v>
      </c>
      <c r="G21" s="20" t="s">
        <v>9</v>
      </c>
      <c r="H21" s="18">
        <v>3</v>
      </c>
      <c r="I21" s="18">
        <v>300</v>
      </c>
      <c r="J21" s="18">
        <v>900</v>
      </c>
      <c r="K21" s="21" t="str">
        <f t="shared" si="1"/>
        <v>Medium</v>
      </c>
      <c r="L21" s="18">
        <f>YEAR(B21)</f>
        <v>2023</v>
      </c>
      <c r="M21" s="18">
        <f>ROUNDUP(MONTH(B21)/3,0)</f>
        <v>4</v>
      </c>
      <c r="N21" s="20" t="str">
        <f>TEXT(B21,"dddd")</f>
        <v>Sunday</v>
      </c>
      <c r="O21" s="20" t="str">
        <f>TEXT(B21,"mmmm")</f>
        <v>November</v>
      </c>
      <c r="Q21" s="27" t="s">
        <v>4</v>
      </c>
      <c r="R21" s="6">
        <f>VLOOKUP(Q21,C1:O1001,8,FALSE)</f>
        <v>150</v>
      </c>
    </row>
    <row r="22" spans="1:18" x14ac:dyDescent="0.3">
      <c r="A22" s="18">
        <v>21</v>
      </c>
      <c r="B22" s="19">
        <v>44940</v>
      </c>
      <c r="C22" s="20" t="s">
        <v>29</v>
      </c>
      <c r="D22" s="20" t="s">
        <v>8</v>
      </c>
      <c r="E22" s="18">
        <v>50</v>
      </c>
      <c r="F22" s="18" t="str">
        <f t="shared" si="0"/>
        <v>Adult</v>
      </c>
      <c r="G22" s="20" t="s">
        <v>6</v>
      </c>
      <c r="H22" s="18">
        <v>1</v>
      </c>
      <c r="I22" s="18">
        <v>500</v>
      </c>
      <c r="J22" s="18">
        <v>500</v>
      </c>
      <c r="K22" s="21" t="str">
        <f t="shared" si="1"/>
        <v>Low</v>
      </c>
      <c r="L22" s="18">
        <f>YEAR(B22)</f>
        <v>2023</v>
      </c>
      <c r="M22" s="18">
        <f>ROUNDUP(MONTH(B22)/3,0)</f>
        <v>1</v>
      </c>
      <c r="N22" s="20" t="str">
        <f>TEXT(B22,"dddd")</f>
        <v>Saturday</v>
      </c>
      <c r="O22" s="20" t="str">
        <f>TEXT(B22,"mmmm")</f>
        <v>January</v>
      </c>
      <c r="R22" s="6"/>
    </row>
    <row r="23" spans="1:18" x14ac:dyDescent="0.3">
      <c r="A23" s="18">
        <v>22</v>
      </c>
      <c r="B23" s="19">
        <v>45214</v>
      </c>
      <c r="C23" s="20" t="s">
        <v>30</v>
      </c>
      <c r="D23" s="20" t="s">
        <v>5</v>
      </c>
      <c r="E23" s="18">
        <v>18</v>
      </c>
      <c r="F23" s="18" t="str">
        <f t="shared" si="0"/>
        <v>Young</v>
      </c>
      <c r="G23" s="20" t="s">
        <v>9</v>
      </c>
      <c r="H23" s="18">
        <v>2</v>
      </c>
      <c r="I23" s="18">
        <v>50</v>
      </c>
      <c r="J23" s="18">
        <v>100</v>
      </c>
      <c r="K23" s="21" t="str">
        <f t="shared" si="1"/>
        <v>Low</v>
      </c>
      <c r="L23" s="18">
        <f>YEAR(B23)</f>
        <v>2023</v>
      </c>
      <c r="M23" s="18">
        <f>ROUNDUP(MONTH(B23)/3,0)</f>
        <v>4</v>
      </c>
      <c r="N23" s="20" t="str">
        <f>TEXT(B23,"dddd")</f>
        <v>Sunday</v>
      </c>
      <c r="O23" s="20" t="str">
        <f>TEXT(B23,"mmmm")</f>
        <v>October</v>
      </c>
    </row>
    <row r="24" spans="1:18" x14ac:dyDescent="0.3">
      <c r="A24" s="18">
        <v>23</v>
      </c>
      <c r="B24" s="19">
        <v>45028</v>
      </c>
      <c r="C24" s="20" t="s">
        <v>31</v>
      </c>
      <c r="D24" s="20" t="s">
        <v>8</v>
      </c>
      <c r="E24" s="18">
        <v>35</v>
      </c>
      <c r="F24" s="18" t="str">
        <f t="shared" si="0"/>
        <v>Adult</v>
      </c>
      <c r="G24" s="20" t="s">
        <v>9</v>
      </c>
      <c r="H24" s="18">
        <v>4</v>
      </c>
      <c r="I24" s="18">
        <v>30</v>
      </c>
      <c r="J24" s="18">
        <v>120</v>
      </c>
      <c r="K24" s="21" t="str">
        <f t="shared" si="1"/>
        <v>Low</v>
      </c>
      <c r="L24" s="18">
        <f>YEAR(B24)</f>
        <v>2023</v>
      </c>
      <c r="M24" s="18">
        <f>ROUNDUP(MONTH(B24)/3,0)</f>
        <v>2</v>
      </c>
      <c r="N24" s="20" t="str">
        <f>TEXT(B24,"dddd")</f>
        <v>Wednesday</v>
      </c>
      <c r="O24" s="20" t="str">
        <f>TEXT(B24,"mmmm")</f>
        <v>April</v>
      </c>
      <c r="Q24" s="7" t="s">
        <v>1051</v>
      </c>
    </row>
    <row r="25" spans="1:18" x14ac:dyDescent="0.3">
      <c r="A25" s="18">
        <v>24</v>
      </c>
      <c r="B25" s="19">
        <v>45259</v>
      </c>
      <c r="C25" s="20" t="s">
        <v>32</v>
      </c>
      <c r="D25" s="20" t="s">
        <v>8</v>
      </c>
      <c r="E25" s="18">
        <v>49</v>
      </c>
      <c r="F25" s="18" t="str">
        <f t="shared" si="0"/>
        <v>Adult</v>
      </c>
      <c r="G25" s="20" t="s">
        <v>9</v>
      </c>
      <c r="H25" s="18">
        <v>1</v>
      </c>
      <c r="I25" s="18">
        <v>300</v>
      </c>
      <c r="J25" s="18">
        <v>300</v>
      </c>
      <c r="K25" s="21" t="str">
        <f t="shared" si="1"/>
        <v>Low</v>
      </c>
      <c r="L25" s="18">
        <f>YEAR(B25)</f>
        <v>2023</v>
      </c>
      <c r="M25" s="18">
        <f>ROUNDUP(MONTH(B25)/3,0)</f>
        <v>4</v>
      </c>
      <c r="N25" s="20" t="str">
        <f>TEXT(B25,"dddd")</f>
        <v>Wednesday</v>
      </c>
      <c r="O25" s="20" t="str">
        <f>TEXT(B25,"mmmm")</f>
        <v>November</v>
      </c>
      <c r="Q25" s="8">
        <f>SUM(J1:J1001)</f>
        <v>456000</v>
      </c>
    </row>
    <row r="26" spans="1:18" x14ac:dyDescent="0.3">
      <c r="A26" s="18">
        <v>25</v>
      </c>
      <c r="B26" s="19">
        <v>45286</v>
      </c>
      <c r="C26" s="20" t="s">
        <v>33</v>
      </c>
      <c r="D26" s="20" t="s">
        <v>8</v>
      </c>
      <c r="E26" s="18">
        <v>64</v>
      </c>
      <c r="F26" s="18" t="str">
        <f t="shared" si="0"/>
        <v>Senior</v>
      </c>
      <c r="G26" s="20" t="s">
        <v>6</v>
      </c>
      <c r="H26" s="18">
        <v>1</v>
      </c>
      <c r="I26" s="18">
        <v>50</v>
      </c>
      <c r="J26" s="18">
        <v>50</v>
      </c>
      <c r="K26" s="21" t="str">
        <f t="shared" si="1"/>
        <v>Low</v>
      </c>
      <c r="L26" s="18">
        <f>YEAR(B26)</f>
        <v>2023</v>
      </c>
      <c r="M26" s="18">
        <f>ROUNDUP(MONTH(B26)/3,0)</f>
        <v>4</v>
      </c>
      <c r="N26" s="20" t="str">
        <f>TEXT(B26,"dddd")</f>
        <v>Tuesday</v>
      </c>
      <c r="O26" s="20" t="str">
        <f>TEXT(B26,"mmmm")</f>
        <v>December</v>
      </c>
    </row>
    <row r="27" spans="1:18" x14ac:dyDescent="0.3">
      <c r="A27" s="18">
        <v>26</v>
      </c>
      <c r="B27" s="19">
        <v>45206</v>
      </c>
      <c r="C27" s="20" t="s">
        <v>34</v>
      </c>
      <c r="D27" s="20" t="s">
        <v>8</v>
      </c>
      <c r="E27" s="18">
        <v>28</v>
      </c>
      <c r="F27" s="18" t="str">
        <f t="shared" si="0"/>
        <v>Young</v>
      </c>
      <c r="G27" s="20" t="s">
        <v>11</v>
      </c>
      <c r="H27" s="18">
        <v>2</v>
      </c>
      <c r="I27" s="18">
        <v>500</v>
      </c>
      <c r="J27" s="18">
        <v>1000</v>
      </c>
      <c r="K27" s="21" t="str">
        <f t="shared" si="1"/>
        <v>Medium</v>
      </c>
      <c r="L27" s="18">
        <f>YEAR(B27)</f>
        <v>2023</v>
      </c>
      <c r="M27" s="18">
        <f>ROUNDUP(MONTH(B27)/3,0)</f>
        <v>4</v>
      </c>
      <c r="N27" s="20" t="str">
        <f>TEXT(B27,"dddd")</f>
        <v>Saturday</v>
      </c>
      <c r="O27" s="20" t="str">
        <f>TEXT(B27,"mmmm")</f>
        <v>October</v>
      </c>
    </row>
    <row r="28" spans="1:18" x14ac:dyDescent="0.3">
      <c r="A28" s="18">
        <v>27</v>
      </c>
      <c r="B28" s="19">
        <v>45141</v>
      </c>
      <c r="C28" s="20" t="s">
        <v>35</v>
      </c>
      <c r="D28" s="20" t="s">
        <v>8</v>
      </c>
      <c r="E28" s="18">
        <v>38</v>
      </c>
      <c r="F28" s="18" t="str">
        <f t="shared" si="0"/>
        <v>Adult</v>
      </c>
      <c r="G28" s="20" t="s">
        <v>6</v>
      </c>
      <c r="H28" s="18">
        <v>2</v>
      </c>
      <c r="I28" s="18">
        <v>25</v>
      </c>
      <c r="J28" s="18">
        <v>50</v>
      </c>
      <c r="K28" s="21" t="str">
        <f t="shared" si="1"/>
        <v>Low</v>
      </c>
      <c r="L28" s="18">
        <f>YEAR(B28)</f>
        <v>2023</v>
      </c>
      <c r="M28" s="18">
        <f>ROUNDUP(MONTH(B28)/3,0)</f>
        <v>3</v>
      </c>
      <c r="N28" s="20" t="str">
        <f>TEXT(B28,"dddd")</f>
        <v>Thursday</v>
      </c>
      <c r="O28" s="20" t="str">
        <f>TEXT(B28,"mmmm")</f>
        <v>August</v>
      </c>
      <c r="Q28" s="7" t="s">
        <v>1052</v>
      </c>
    </row>
    <row r="29" spans="1:18" x14ac:dyDescent="0.3">
      <c r="A29" s="18">
        <v>28</v>
      </c>
      <c r="B29" s="19">
        <v>45039</v>
      </c>
      <c r="C29" s="20" t="s">
        <v>36</v>
      </c>
      <c r="D29" s="20" t="s">
        <v>8</v>
      </c>
      <c r="E29" s="18">
        <v>43</v>
      </c>
      <c r="F29" s="18" t="str">
        <f t="shared" si="0"/>
        <v>Adult</v>
      </c>
      <c r="G29" s="20" t="s">
        <v>6</v>
      </c>
      <c r="H29" s="18">
        <v>1</v>
      </c>
      <c r="I29" s="18">
        <v>500</v>
      </c>
      <c r="J29" s="18">
        <v>500</v>
      </c>
      <c r="K29" s="21" t="str">
        <f t="shared" si="1"/>
        <v>Low</v>
      </c>
      <c r="L29" s="18">
        <f>YEAR(B29)</f>
        <v>2023</v>
      </c>
      <c r="M29" s="18">
        <f>ROUNDUP(MONTH(B29)/3,0)</f>
        <v>2</v>
      </c>
      <c r="N29" s="20" t="str">
        <f>TEXT(B29,"dddd")</f>
        <v>Sunday</v>
      </c>
      <c r="O29" s="20" t="str">
        <f>TEXT(B29,"mmmm")</f>
        <v>April</v>
      </c>
      <c r="Q29" s="8">
        <f>AVERAGE(E1:E1001)</f>
        <v>41.392000000000003</v>
      </c>
    </row>
    <row r="30" spans="1:18" x14ac:dyDescent="0.3">
      <c r="A30" s="18">
        <v>29</v>
      </c>
      <c r="B30" s="19">
        <v>45156</v>
      </c>
      <c r="C30" s="20" t="s">
        <v>37</v>
      </c>
      <c r="D30" s="20" t="s">
        <v>8</v>
      </c>
      <c r="E30" s="18">
        <v>42</v>
      </c>
      <c r="F30" s="18" t="str">
        <f t="shared" si="0"/>
        <v>Adult</v>
      </c>
      <c r="G30" s="20" t="s">
        <v>11</v>
      </c>
      <c r="H30" s="18">
        <v>1</v>
      </c>
      <c r="I30" s="18">
        <v>30</v>
      </c>
      <c r="J30" s="18">
        <v>30</v>
      </c>
      <c r="K30" s="21" t="str">
        <f t="shared" si="1"/>
        <v>Low</v>
      </c>
      <c r="L30" s="18">
        <f>YEAR(B30)</f>
        <v>2023</v>
      </c>
      <c r="M30" s="18">
        <f>ROUNDUP(MONTH(B30)/3,0)</f>
        <v>3</v>
      </c>
      <c r="N30" s="20" t="str">
        <f>TEXT(B30,"dddd")</f>
        <v>Friday</v>
      </c>
      <c r="O30" s="20" t="str">
        <f>TEXT(B30,"mmmm")</f>
        <v>August</v>
      </c>
    </row>
    <row r="31" spans="1:18" x14ac:dyDescent="0.3">
      <c r="A31" s="18">
        <v>30</v>
      </c>
      <c r="B31" s="19">
        <v>45228</v>
      </c>
      <c r="C31" s="20" t="s">
        <v>38</v>
      </c>
      <c r="D31" s="20" t="s">
        <v>8</v>
      </c>
      <c r="E31" s="18">
        <v>39</v>
      </c>
      <c r="F31" s="18" t="str">
        <f t="shared" si="0"/>
        <v>Adult</v>
      </c>
      <c r="G31" s="20" t="s">
        <v>6</v>
      </c>
      <c r="H31" s="18">
        <v>3</v>
      </c>
      <c r="I31" s="18">
        <v>300</v>
      </c>
      <c r="J31" s="18">
        <v>900</v>
      </c>
      <c r="K31" s="21" t="str">
        <f t="shared" si="1"/>
        <v>Medium</v>
      </c>
      <c r="L31" s="18">
        <f>YEAR(B31)</f>
        <v>2023</v>
      </c>
      <c r="M31" s="18">
        <f>ROUNDUP(MONTH(B31)/3,0)</f>
        <v>4</v>
      </c>
      <c r="N31" s="20" t="str">
        <f>TEXT(B31,"dddd")</f>
        <v>Sunday</v>
      </c>
      <c r="O31" s="20" t="str">
        <f>TEXT(B31,"mmmm")</f>
        <v>October</v>
      </c>
    </row>
    <row r="32" spans="1:18" x14ac:dyDescent="0.3">
      <c r="A32" s="18">
        <v>31</v>
      </c>
      <c r="B32" s="19">
        <v>45069</v>
      </c>
      <c r="C32" s="20" t="s">
        <v>39</v>
      </c>
      <c r="D32" s="20" t="s">
        <v>5</v>
      </c>
      <c r="E32" s="18">
        <v>44</v>
      </c>
      <c r="F32" s="18" t="str">
        <f t="shared" si="0"/>
        <v>Adult</v>
      </c>
      <c r="G32" s="20" t="s">
        <v>11</v>
      </c>
      <c r="H32" s="18">
        <v>4</v>
      </c>
      <c r="I32" s="18">
        <v>300</v>
      </c>
      <c r="J32" s="18">
        <v>1200</v>
      </c>
      <c r="K32" s="21" t="str">
        <f t="shared" si="1"/>
        <v>Medium</v>
      </c>
      <c r="L32" s="18">
        <f>YEAR(B32)</f>
        <v>2023</v>
      </c>
      <c r="M32" s="18">
        <f>ROUNDUP(MONTH(B32)/3,0)</f>
        <v>2</v>
      </c>
      <c r="N32" s="20" t="str">
        <f>TEXT(B32,"dddd")</f>
        <v>Tuesday</v>
      </c>
      <c r="O32" s="20" t="str">
        <f>TEXT(B32,"mmmm")</f>
        <v>May</v>
      </c>
      <c r="Q32" s="7" t="s">
        <v>1019</v>
      </c>
    </row>
    <row r="33" spans="1:17" x14ac:dyDescent="0.3">
      <c r="A33" s="18">
        <v>32</v>
      </c>
      <c r="B33" s="19">
        <v>44930</v>
      </c>
      <c r="C33" s="20" t="s">
        <v>40</v>
      </c>
      <c r="D33" s="20" t="s">
        <v>5</v>
      </c>
      <c r="E33" s="18">
        <v>30</v>
      </c>
      <c r="F33" s="18" t="str">
        <f t="shared" si="0"/>
        <v>Young</v>
      </c>
      <c r="G33" s="20" t="s">
        <v>6</v>
      </c>
      <c r="H33" s="18">
        <v>3</v>
      </c>
      <c r="I33" s="18">
        <v>30</v>
      </c>
      <c r="J33" s="18">
        <v>90</v>
      </c>
      <c r="K33" s="21" t="str">
        <f t="shared" si="1"/>
        <v>Low</v>
      </c>
      <c r="L33" s="18">
        <f>YEAR(B33)</f>
        <v>2023</v>
      </c>
      <c r="M33" s="18">
        <f>ROUNDUP(MONTH(B33)/3,0)</f>
        <v>1</v>
      </c>
      <c r="N33" s="20" t="str">
        <f>TEXT(B33,"dddd")</f>
        <v>Wednesday</v>
      </c>
      <c r="O33" s="20" t="str">
        <f>TEXT(B33,"mmmm")</f>
        <v>January</v>
      </c>
      <c r="Q33" s="8">
        <f>AVERAGE(J1:J1001)</f>
        <v>456</v>
      </c>
    </row>
    <row r="34" spans="1:17" x14ac:dyDescent="0.3">
      <c r="A34" s="18">
        <v>33</v>
      </c>
      <c r="B34" s="19">
        <v>45008</v>
      </c>
      <c r="C34" s="20" t="s">
        <v>41</v>
      </c>
      <c r="D34" s="20" t="s">
        <v>8</v>
      </c>
      <c r="E34" s="18">
        <v>50</v>
      </c>
      <c r="F34" s="18" t="str">
        <f t="shared" si="0"/>
        <v>Adult</v>
      </c>
      <c r="G34" s="20" t="s">
        <v>11</v>
      </c>
      <c r="H34" s="18">
        <v>2</v>
      </c>
      <c r="I34" s="18">
        <v>50</v>
      </c>
      <c r="J34" s="18">
        <v>100</v>
      </c>
      <c r="K34" s="21" t="str">
        <f t="shared" si="1"/>
        <v>Low</v>
      </c>
      <c r="L34" s="18">
        <f>YEAR(B34)</f>
        <v>2023</v>
      </c>
      <c r="M34" s="18">
        <f>ROUNDUP(MONTH(B34)/3,0)</f>
        <v>1</v>
      </c>
      <c r="N34" s="20" t="str">
        <f>TEXT(B34,"dddd")</f>
        <v>Thursday</v>
      </c>
      <c r="O34" s="20" t="str">
        <f>TEXT(B34,"mmmm")</f>
        <v>March</v>
      </c>
    </row>
    <row r="35" spans="1:17" x14ac:dyDescent="0.3">
      <c r="A35" s="18">
        <v>34</v>
      </c>
      <c r="B35" s="19">
        <v>45284</v>
      </c>
      <c r="C35" s="20" t="s">
        <v>42</v>
      </c>
      <c r="D35" s="20" t="s">
        <v>8</v>
      </c>
      <c r="E35" s="18">
        <v>51</v>
      </c>
      <c r="F35" s="18" t="str">
        <f t="shared" si="0"/>
        <v>Adult</v>
      </c>
      <c r="G35" s="20" t="s">
        <v>9</v>
      </c>
      <c r="H35" s="18">
        <v>3</v>
      </c>
      <c r="I35" s="18">
        <v>50</v>
      </c>
      <c r="J35" s="18">
        <v>150</v>
      </c>
      <c r="K35" s="21" t="str">
        <f t="shared" si="1"/>
        <v>Low</v>
      </c>
      <c r="L35" s="18">
        <f>YEAR(B35)</f>
        <v>2023</v>
      </c>
      <c r="M35" s="18">
        <f>ROUNDUP(MONTH(B35)/3,0)</f>
        <v>4</v>
      </c>
      <c r="N35" s="20" t="str">
        <f>TEXT(B35,"dddd")</f>
        <v>Sunday</v>
      </c>
      <c r="O35" s="20" t="str">
        <f>TEXT(B35,"mmmm")</f>
        <v>December</v>
      </c>
    </row>
    <row r="36" spans="1:17" x14ac:dyDescent="0.3">
      <c r="A36" s="18">
        <v>35</v>
      </c>
      <c r="B36" s="19">
        <v>45143</v>
      </c>
      <c r="C36" s="20" t="s">
        <v>43</v>
      </c>
      <c r="D36" s="20" t="s">
        <v>8</v>
      </c>
      <c r="E36" s="18">
        <v>58</v>
      </c>
      <c r="F36" s="18" t="str">
        <f t="shared" si="0"/>
        <v>Adult</v>
      </c>
      <c r="G36" s="20" t="s">
        <v>6</v>
      </c>
      <c r="H36" s="18">
        <v>3</v>
      </c>
      <c r="I36" s="18">
        <v>300</v>
      </c>
      <c r="J36" s="18">
        <v>900</v>
      </c>
      <c r="K36" s="21" t="str">
        <f t="shared" si="1"/>
        <v>Medium</v>
      </c>
      <c r="L36" s="18">
        <f>YEAR(B36)</f>
        <v>2023</v>
      </c>
      <c r="M36" s="18">
        <f>ROUNDUP(MONTH(B36)/3,0)</f>
        <v>3</v>
      </c>
      <c r="N36" s="20" t="str">
        <f>TEXT(B36,"dddd")</f>
        <v>Saturday</v>
      </c>
      <c r="O36" s="20" t="str">
        <f>TEXT(B36,"mmmm")</f>
        <v>August</v>
      </c>
      <c r="Q36" s="7" t="s">
        <v>1048</v>
      </c>
    </row>
    <row r="37" spans="1:17" x14ac:dyDescent="0.3">
      <c r="A37" s="18">
        <v>36</v>
      </c>
      <c r="B37" s="19">
        <v>45101</v>
      </c>
      <c r="C37" s="20" t="s">
        <v>44</v>
      </c>
      <c r="D37" s="20" t="s">
        <v>5</v>
      </c>
      <c r="E37" s="18">
        <v>52</v>
      </c>
      <c r="F37" s="18" t="str">
        <f t="shared" si="0"/>
        <v>Adult</v>
      </c>
      <c r="G37" s="20" t="s">
        <v>6</v>
      </c>
      <c r="H37" s="18">
        <v>3</v>
      </c>
      <c r="I37" s="18">
        <v>300</v>
      </c>
      <c r="J37" s="18">
        <v>900</v>
      </c>
      <c r="K37" s="21" t="str">
        <f t="shared" si="1"/>
        <v>Medium</v>
      </c>
      <c r="L37" s="18">
        <f>YEAR(B37)</f>
        <v>2023</v>
      </c>
      <c r="M37" s="18">
        <f>ROUNDUP(MONTH(B37)/3,0)</f>
        <v>2</v>
      </c>
      <c r="N37" s="20" t="str">
        <f>TEXT(B37,"dddd")</f>
        <v>Saturday</v>
      </c>
      <c r="O37" s="20" t="str">
        <f>TEXT(B37,"mmmm")</f>
        <v>June</v>
      </c>
      <c r="Q37" s="6">
        <f>COUNT(A2:A1001)</f>
        <v>1000</v>
      </c>
    </row>
    <row r="38" spans="1:17" x14ac:dyDescent="0.3">
      <c r="A38" s="18">
        <v>37</v>
      </c>
      <c r="B38" s="19">
        <v>45069</v>
      </c>
      <c r="C38" s="20" t="s">
        <v>45</v>
      </c>
      <c r="D38" s="20" t="s">
        <v>8</v>
      </c>
      <c r="E38" s="18">
        <v>18</v>
      </c>
      <c r="F38" s="18" t="str">
        <f t="shared" si="0"/>
        <v>Young</v>
      </c>
      <c r="G38" s="20" t="s">
        <v>6</v>
      </c>
      <c r="H38" s="18">
        <v>3</v>
      </c>
      <c r="I38" s="18">
        <v>25</v>
      </c>
      <c r="J38" s="18">
        <v>75</v>
      </c>
      <c r="K38" s="21" t="str">
        <f t="shared" si="1"/>
        <v>Low</v>
      </c>
      <c r="L38" s="18">
        <f>YEAR(B38)</f>
        <v>2023</v>
      </c>
      <c r="M38" s="18">
        <f>ROUNDUP(MONTH(B38)/3,0)</f>
        <v>2</v>
      </c>
      <c r="N38" s="20" t="str">
        <f>TEXT(B38,"dddd")</f>
        <v>Tuesday</v>
      </c>
      <c r="O38" s="20" t="str">
        <f>TEXT(B38,"mmmm")</f>
        <v>May</v>
      </c>
    </row>
    <row r="39" spans="1:17" x14ac:dyDescent="0.3">
      <c r="A39" s="18">
        <v>38</v>
      </c>
      <c r="B39" s="19">
        <v>45006</v>
      </c>
      <c r="C39" s="20" t="s">
        <v>46</v>
      </c>
      <c r="D39" s="20" t="s">
        <v>5</v>
      </c>
      <c r="E39" s="18">
        <v>38</v>
      </c>
      <c r="F39" s="18" t="str">
        <f t="shared" si="0"/>
        <v>Adult</v>
      </c>
      <c r="G39" s="20" t="s">
        <v>6</v>
      </c>
      <c r="H39" s="18">
        <v>4</v>
      </c>
      <c r="I39" s="18">
        <v>50</v>
      </c>
      <c r="J39" s="18">
        <v>200</v>
      </c>
      <c r="K39" s="21" t="str">
        <f t="shared" si="1"/>
        <v>Low</v>
      </c>
      <c r="L39" s="18">
        <f>YEAR(B39)</f>
        <v>2023</v>
      </c>
      <c r="M39" s="18">
        <f>ROUNDUP(MONTH(B39)/3,0)</f>
        <v>1</v>
      </c>
      <c r="N39" s="20" t="str">
        <f>TEXT(B39,"dddd")</f>
        <v>Tuesday</v>
      </c>
      <c r="O39" s="20" t="str">
        <f>TEXT(B39,"mmmm")</f>
        <v>March</v>
      </c>
    </row>
    <row r="40" spans="1:17" x14ac:dyDescent="0.3">
      <c r="A40" s="18">
        <v>39</v>
      </c>
      <c r="B40" s="19">
        <v>45037</v>
      </c>
      <c r="C40" s="20" t="s">
        <v>47</v>
      </c>
      <c r="D40" s="20" t="s">
        <v>5</v>
      </c>
      <c r="E40" s="18">
        <v>23</v>
      </c>
      <c r="F40" s="18" t="str">
        <f t="shared" si="0"/>
        <v>Young</v>
      </c>
      <c r="G40" s="20" t="s">
        <v>9</v>
      </c>
      <c r="H40" s="18">
        <v>4</v>
      </c>
      <c r="I40" s="18">
        <v>30</v>
      </c>
      <c r="J40" s="18">
        <v>120</v>
      </c>
      <c r="K40" s="21" t="str">
        <f t="shared" si="1"/>
        <v>Low</v>
      </c>
      <c r="L40" s="18">
        <f>YEAR(B40)</f>
        <v>2023</v>
      </c>
      <c r="M40" s="18">
        <f>ROUNDUP(MONTH(B40)/3,0)</f>
        <v>2</v>
      </c>
      <c r="N40" s="20" t="str">
        <f>TEXT(B40,"dddd")</f>
        <v>Friday</v>
      </c>
      <c r="O40" s="20" t="str">
        <f>TEXT(B40,"mmmm")</f>
        <v>April</v>
      </c>
      <c r="Q40" s="7" t="s">
        <v>1049</v>
      </c>
    </row>
    <row r="41" spans="1:17" x14ac:dyDescent="0.3">
      <c r="A41" s="18">
        <v>40</v>
      </c>
      <c r="B41" s="19">
        <v>45099</v>
      </c>
      <c r="C41" s="20" t="s">
        <v>48</v>
      </c>
      <c r="D41" s="20" t="s">
        <v>5</v>
      </c>
      <c r="E41" s="18">
        <v>45</v>
      </c>
      <c r="F41" s="18" t="str">
        <f t="shared" si="0"/>
        <v>Adult</v>
      </c>
      <c r="G41" s="20" t="s">
        <v>6</v>
      </c>
      <c r="H41" s="18">
        <v>1</v>
      </c>
      <c r="I41" s="18">
        <v>50</v>
      </c>
      <c r="J41" s="18">
        <v>50</v>
      </c>
      <c r="K41" s="21" t="str">
        <f t="shared" si="1"/>
        <v>Low</v>
      </c>
      <c r="L41" s="18">
        <f>YEAR(B41)</f>
        <v>2023</v>
      </c>
      <c r="M41" s="18">
        <f>ROUNDUP(MONTH(B41)/3,0)</f>
        <v>2</v>
      </c>
      <c r="N41" s="20" t="str">
        <f>TEXT(B41,"dddd")</f>
        <v>Thursday</v>
      </c>
      <c r="O41" s="20" t="str">
        <f>TEXT(B41,"mmmm")</f>
        <v>June</v>
      </c>
      <c r="Q41" s="6">
        <f>SUM(H1:H1001)</f>
        <v>2514</v>
      </c>
    </row>
    <row r="42" spans="1:17" x14ac:dyDescent="0.3">
      <c r="A42" s="18">
        <v>41</v>
      </c>
      <c r="B42" s="19">
        <v>44979</v>
      </c>
      <c r="C42" s="20" t="s">
        <v>49</v>
      </c>
      <c r="D42" s="20" t="s">
        <v>5</v>
      </c>
      <c r="E42" s="18">
        <v>34</v>
      </c>
      <c r="F42" s="18" t="str">
        <f t="shared" si="0"/>
        <v>Adult</v>
      </c>
      <c r="G42" s="20" t="s">
        <v>9</v>
      </c>
      <c r="H42" s="18">
        <v>2</v>
      </c>
      <c r="I42" s="18">
        <v>25</v>
      </c>
      <c r="J42" s="18">
        <v>50</v>
      </c>
      <c r="K42" s="21" t="str">
        <f t="shared" si="1"/>
        <v>Low</v>
      </c>
      <c r="L42" s="18">
        <f>YEAR(B42)</f>
        <v>2023</v>
      </c>
      <c r="M42" s="18">
        <f>ROUNDUP(MONTH(B42)/3,0)</f>
        <v>1</v>
      </c>
      <c r="N42" s="20" t="str">
        <f>TEXT(B42,"dddd")</f>
        <v>Wednesday</v>
      </c>
      <c r="O42" s="20" t="str">
        <f>TEXT(B42,"mmmm")</f>
        <v>February</v>
      </c>
    </row>
    <row r="43" spans="1:17" x14ac:dyDescent="0.3">
      <c r="A43" s="18">
        <v>42</v>
      </c>
      <c r="B43" s="19">
        <v>44974</v>
      </c>
      <c r="C43" s="20" t="s">
        <v>50</v>
      </c>
      <c r="D43" s="20" t="s">
        <v>5</v>
      </c>
      <c r="E43" s="18">
        <v>22</v>
      </c>
      <c r="F43" s="18" t="str">
        <f t="shared" si="0"/>
        <v>Young</v>
      </c>
      <c r="G43" s="20" t="s">
        <v>9</v>
      </c>
      <c r="H43" s="18">
        <v>3</v>
      </c>
      <c r="I43" s="18">
        <v>300</v>
      </c>
      <c r="J43" s="18">
        <v>900</v>
      </c>
      <c r="K43" s="21" t="str">
        <f t="shared" si="1"/>
        <v>Medium</v>
      </c>
      <c r="L43" s="18">
        <f>YEAR(B43)</f>
        <v>2023</v>
      </c>
      <c r="M43" s="18">
        <f>ROUNDUP(MONTH(B43)/3,0)</f>
        <v>1</v>
      </c>
      <c r="N43" s="20" t="str">
        <f>TEXT(B43,"dddd")</f>
        <v>Friday</v>
      </c>
      <c r="O43" s="20" t="str">
        <f>TEXT(B43,"mmmm")</f>
        <v>February</v>
      </c>
    </row>
    <row r="44" spans="1:17" x14ac:dyDescent="0.3">
      <c r="A44" s="18">
        <v>43</v>
      </c>
      <c r="B44" s="19">
        <v>45121</v>
      </c>
      <c r="C44" s="20" t="s">
        <v>51</v>
      </c>
      <c r="D44" s="20" t="s">
        <v>8</v>
      </c>
      <c r="E44" s="18">
        <v>48</v>
      </c>
      <c r="F44" s="18" t="str">
        <f t="shared" si="0"/>
        <v>Adult</v>
      </c>
      <c r="G44" s="20" t="s">
        <v>9</v>
      </c>
      <c r="H44" s="18">
        <v>1</v>
      </c>
      <c r="I44" s="18">
        <v>300</v>
      </c>
      <c r="J44" s="18">
        <v>300</v>
      </c>
      <c r="K44" s="21" t="str">
        <f t="shared" si="1"/>
        <v>Low</v>
      </c>
      <c r="L44" s="18">
        <f>YEAR(B44)</f>
        <v>2023</v>
      </c>
      <c r="M44" s="18">
        <f>ROUNDUP(MONTH(B44)/3,0)</f>
        <v>3</v>
      </c>
      <c r="N44" s="20" t="str">
        <f>TEXT(B44,"dddd")</f>
        <v>Friday</v>
      </c>
      <c r="O44" s="20" t="str">
        <f>TEXT(B44,"mmmm")</f>
        <v>July</v>
      </c>
      <c r="Q44" s="7" t="s">
        <v>1050</v>
      </c>
    </row>
    <row r="45" spans="1:17" x14ac:dyDescent="0.3">
      <c r="A45" s="18">
        <v>44</v>
      </c>
      <c r="B45" s="19">
        <v>44976</v>
      </c>
      <c r="C45" s="20" t="s">
        <v>52</v>
      </c>
      <c r="D45" s="20" t="s">
        <v>8</v>
      </c>
      <c r="E45" s="18">
        <v>22</v>
      </c>
      <c r="F45" s="18" t="str">
        <f t="shared" si="0"/>
        <v>Young</v>
      </c>
      <c r="G45" s="20" t="s">
        <v>9</v>
      </c>
      <c r="H45" s="18">
        <v>1</v>
      </c>
      <c r="I45" s="18">
        <v>25</v>
      </c>
      <c r="J45" s="18">
        <v>25</v>
      </c>
      <c r="K45" s="21" t="str">
        <f t="shared" si="1"/>
        <v>Low</v>
      </c>
      <c r="L45" s="18">
        <f>YEAR(B45)</f>
        <v>2023</v>
      </c>
      <c r="M45" s="18">
        <f>ROUNDUP(MONTH(B45)/3,0)</f>
        <v>1</v>
      </c>
      <c r="N45" s="20" t="str">
        <f>TEXT(B45,"dddd")</f>
        <v>Sunday</v>
      </c>
      <c r="O45" s="20" t="str">
        <f>TEXT(B45,"mmmm")</f>
        <v>February</v>
      </c>
      <c r="Q45" s="6">
        <f>COUNTA(C2:C1001)</f>
        <v>1000</v>
      </c>
    </row>
    <row r="46" spans="1:17" x14ac:dyDescent="0.3">
      <c r="A46" s="18">
        <v>45</v>
      </c>
      <c r="B46" s="19">
        <v>45110</v>
      </c>
      <c r="C46" s="20" t="s">
        <v>53</v>
      </c>
      <c r="D46" s="20" t="s">
        <v>8</v>
      </c>
      <c r="E46" s="18">
        <v>55</v>
      </c>
      <c r="F46" s="18" t="str">
        <f t="shared" si="0"/>
        <v>Adult</v>
      </c>
      <c r="G46" s="20" t="s">
        <v>11</v>
      </c>
      <c r="H46" s="18">
        <v>1</v>
      </c>
      <c r="I46" s="18">
        <v>30</v>
      </c>
      <c r="J46" s="18">
        <v>30</v>
      </c>
      <c r="K46" s="21" t="str">
        <f t="shared" si="1"/>
        <v>Low</v>
      </c>
      <c r="L46" s="18">
        <f>YEAR(B46)</f>
        <v>2023</v>
      </c>
      <c r="M46" s="18">
        <f>ROUNDUP(MONTH(B46)/3,0)</f>
        <v>3</v>
      </c>
      <c r="N46" s="20" t="str">
        <f>TEXT(B46,"dddd")</f>
        <v>Monday</v>
      </c>
      <c r="O46" s="20" t="str">
        <f>TEXT(B46,"mmmm")</f>
        <v>July</v>
      </c>
    </row>
    <row r="47" spans="1:17" x14ac:dyDescent="0.3">
      <c r="A47" s="18">
        <v>46</v>
      </c>
      <c r="B47" s="19">
        <v>45103</v>
      </c>
      <c r="C47" s="20" t="s">
        <v>54</v>
      </c>
      <c r="D47" s="20" t="s">
        <v>8</v>
      </c>
      <c r="E47" s="18">
        <v>20</v>
      </c>
      <c r="F47" s="18" t="str">
        <f t="shared" si="0"/>
        <v>Young</v>
      </c>
      <c r="G47" s="20" t="s">
        <v>11</v>
      </c>
      <c r="H47" s="18">
        <v>4</v>
      </c>
      <c r="I47" s="18">
        <v>300</v>
      </c>
      <c r="J47" s="18">
        <v>1200</v>
      </c>
      <c r="K47" s="21" t="str">
        <f t="shared" si="1"/>
        <v>Medium</v>
      </c>
      <c r="L47" s="18">
        <f>YEAR(B47)</f>
        <v>2023</v>
      </c>
      <c r="M47" s="18">
        <f>ROUNDUP(MONTH(B47)/3,0)</f>
        <v>2</v>
      </c>
      <c r="N47" s="20" t="str">
        <f>TEXT(B47,"dddd")</f>
        <v>Monday</v>
      </c>
      <c r="O47" s="20" t="str">
        <f>TEXT(B47,"mmmm")</f>
        <v>June</v>
      </c>
    </row>
    <row r="48" spans="1:17" x14ac:dyDescent="0.3">
      <c r="A48" s="18">
        <v>47</v>
      </c>
      <c r="B48" s="19">
        <v>45236</v>
      </c>
      <c r="C48" s="20" t="s">
        <v>55</v>
      </c>
      <c r="D48" s="20" t="s">
        <v>8</v>
      </c>
      <c r="E48" s="18">
        <v>40</v>
      </c>
      <c r="F48" s="18" t="str">
        <f t="shared" si="0"/>
        <v>Adult</v>
      </c>
      <c r="G48" s="20" t="s">
        <v>6</v>
      </c>
      <c r="H48" s="18">
        <v>3</v>
      </c>
      <c r="I48" s="18">
        <v>500</v>
      </c>
      <c r="J48" s="18">
        <v>1500</v>
      </c>
      <c r="K48" s="21" t="str">
        <f t="shared" si="1"/>
        <v>Medium</v>
      </c>
      <c r="L48" s="18">
        <f>YEAR(B48)</f>
        <v>2023</v>
      </c>
      <c r="M48" s="18">
        <f>ROUNDUP(MONTH(B48)/3,0)</f>
        <v>4</v>
      </c>
      <c r="N48" s="20" t="str">
        <f>TEXT(B48,"dddd")</f>
        <v>Monday</v>
      </c>
      <c r="O48" s="20" t="str">
        <f>TEXT(B48,"mmmm")</f>
        <v>November</v>
      </c>
    </row>
    <row r="49" spans="1:15" x14ac:dyDescent="0.3">
      <c r="A49" s="18">
        <v>48</v>
      </c>
      <c r="B49" s="19">
        <v>45062</v>
      </c>
      <c r="C49" s="20" t="s">
        <v>56</v>
      </c>
      <c r="D49" s="20" t="s">
        <v>5</v>
      </c>
      <c r="E49" s="18">
        <v>54</v>
      </c>
      <c r="F49" s="18" t="str">
        <f t="shared" si="0"/>
        <v>Adult</v>
      </c>
      <c r="G49" s="20" t="s">
        <v>11</v>
      </c>
      <c r="H49" s="18">
        <v>3</v>
      </c>
      <c r="I49" s="18">
        <v>300</v>
      </c>
      <c r="J49" s="18">
        <v>900</v>
      </c>
      <c r="K49" s="21" t="str">
        <f t="shared" si="1"/>
        <v>Medium</v>
      </c>
      <c r="L49" s="18">
        <f>YEAR(B49)</f>
        <v>2023</v>
      </c>
      <c r="M49" s="18">
        <f>ROUNDUP(MONTH(B49)/3,0)</f>
        <v>2</v>
      </c>
      <c r="N49" s="20" t="str">
        <f>TEXT(B49,"dddd")</f>
        <v>Tuesday</v>
      </c>
      <c r="O49" s="20" t="str">
        <f>TEXT(B49,"mmmm")</f>
        <v>May</v>
      </c>
    </row>
    <row r="50" spans="1:15" x14ac:dyDescent="0.3">
      <c r="A50" s="18">
        <v>49</v>
      </c>
      <c r="B50" s="19">
        <v>44949</v>
      </c>
      <c r="C50" s="20" t="s">
        <v>57</v>
      </c>
      <c r="D50" s="20" t="s">
        <v>8</v>
      </c>
      <c r="E50" s="18">
        <v>54</v>
      </c>
      <c r="F50" s="18" t="str">
        <f t="shared" si="0"/>
        <v>Adult</v>
      </c>
      <c r="G50" s="20" t="s">
        <v>11</v>
      </c>
      <c r="H50" s="18">
        <v>2</v>
      </c>
      <c r="I50" s="18">
        <v>500</v>
      </c>
      <c r="J50" s="18">
        <v>1000</v>
      </c>
      <c r="K50" s="21" t="str">
        <f t="shared" si="1"/>
        <v>Medium</v>
      </c>
      <c r="L50" s="18">
        <f>YEAR(B50)</f>
        <v>2023</v>
      </c>
      <c r="M50" s="18">
        <f>ROUNDUP(MONTH(B50)/3,0)</f>
        <v>1</v>
      </c>
      <c r="N50" s="20" t="str">
        <f>TEXT(B50,"dddd")</f>
        <v>Monday</v>
      </c>
      <c r="O50" s="20" t="str">
        <f>TEXT(B50,"mmmm")</f>
        <v>January</v>
      </c>
    </row>
    <row r="51" spans="1:15" x14ac:dyDescent="0.3">
      <c r="A51" s="18">
        <v>50</v>
      </c>
      <c r="B51" s="19">
        <v>45162</v>
      </c>
      <c r="C51" s="20" t="s">
        <v>58</v>
      </c>
      <c r="D51" s="20" t="s">
        <v>8</v>
      </c>
      <c r="E51" s="18">
        <v>27</v>
      </c>
      <c r="F51" s="18" t="str">
        <f t="shared" si="0"/>
        <v>Young</v>
      </c>
      <c r="G51" s="20" t="s">
        <v>6</v>
      </c>
      <c r="H51" s="18">
        <v>3</v>
      </c>
      <c r="I51" s="18">
        <v>25</v>
      </c>
      <c r="J51" s="18">
        <v>75</v>
      </c>
      <c r="K51" s="21" t="str">
        <f t="shared" si="1"/>
        <v>Low</v>
      </c>
      <c r="L51" s="18">
        <f>YEAR(B51)</f>
        <v>2023</v>
      </c>
      <c r="M51" s="18">
        <f>ROUNDUP(MONTH(B51)/3,0)</f>
        <v>3</v>
      </c>
      <c r="N51" s="20" t="str">
        <f>TEXT(B51,"dddd")</f>
        <v>Thursday</v>
      </c>
      <c r="O51" s="20" t="str">
        <f>TEXT(B51,"mmmm")</f>
        <v>August</v>
      </c>
    </row>
    <row r="52" spans="1:15" x14ac:dyDescent="0.3">
      <c r="A52" s="18">
        <v>51</v>
      </c>
      <c r="B52" s="19">
        <v>45201</v>
      </c>
      <c r="C52" s="20" t="s">
        <v>59</v>
      </c>
      <c r="D52" s="20" t="s">
        <v>5</v>
      </c>
      <c r="E52" s="18">
        <v>27</v>
      </c>
      <c r="F52" s="18" t="str">
        <f t="shared" si="0"/>
        <v>Young</v>
      </c>
      <c r="G52" s="20" t="s">
        <v>6</v>
      </c>
      <c r="H52" s="18">
        <v>3</v>
      </c>
      <c r="I52" s="18">
        <v>25</v>
      </c>
      <c r="J52" s="18">
        <v>75</v>
      </c>
      <c r="K52" s="21" t="str">
        <f t="shared" si="1"/>
        <v>Low</v>
      </c>
      <c r="L52" s="18">
        <f>YEAR(B52)</f>
        <v>2023</v>
      </c>
      <c r="M52" s="18">
        <f>ROUNDUP(MONTH(B52)/3,0)</f>
        <v>4</v>
      </c>
      <c r="N52" s="20" t="str">
        <f>TEXT(B52,"dddd")</f>
        <v>Monday</v>
      </c>
      <c r="O52" s="20" t="str">
        <f>TEXT(B52,"mmmm")</f>
        <v>October</v>
      </c>
    </row>
    <row r="53" spans="1:15" x14ac:dyDescent="0.3">
      <c r="A53" s="18">
        <v>52</v>
      </c>
      <c r="B53" s="19">
        <v>44990</v>
      </c>
      <c r="C53" s="20" t="s">
        <v>60</v>
      </c>
      <c r="D53" s="20" t="s">
        <v>8</v>
      </c>
      <c r="E53" s="18">
        <v>36</v>
      </c>
      <c r="F53" s="18" t="str">
        <f t="shared" si="0"/>
        <v>Adult</v>
      </c>
      <c r="G53" s="20" t="s">
        <v>6</v>
      </c>
      <c r="H53" s="18">
        <v>1</v>
      </c>
      <c r="I53" s="18">
        <v>300</v>
      </c>
      <c r="J53" s="18">
        <v>300</v>
      </c>
      <c r="K53" s="21" t="str">
        <f t="shared" si="1"/>
        <v>Low</v>
      </c>
      <c r="L53" s="18">
        <f>YEAR(B53)</f>
        <v>2023</v>
      </c>
      <c r="M53" s="18">
        <f>ROUNDUP(MONTH(B53)/3,0)</f>
        <v>1</v>
      </c>
      <c r="N53" s="20" t="str">
        <f>TEXT(B53,"dddd")</f>
        <v>Sunday</v>
      </c>
      <c r="O53" s="20" t="str">
        <f>TEXT(B53,"mmmm")</f>
        <v>March</v>
      </c>
    </row>
    <row r="54" spans="1:15" x14ac:dyDescent="0.3">
      <c r="A54" s="18">
        <v>53</v>
      </c>
      <c r="B54" s="19">
        <v>45120</v>
      </c>
      <c r="C54" s="20" t="s">
        <v>61</v>
      </c>
      <c r="D54" s="20" t="s">
        <v>5</v>
      </c>
      <c r="E54" s="18">
        <v>34</v>
      </c>
      <c r="F54" s="18" t="str">
        <f t="shared" si="0"/>
        <v>Adult</v>
      </c>
      <c r="G54" s="20" t="s">
        <v>11</v>
      </c>
      <c r="H54" s="18">
        <v>2</v>
      </c>
      <c r="I54" s="18">
        <v>50</v>
      </c>
      <c r="J54" s="18">
        <v>100</v>
      </c>
      <c r="K54" s="21" t="str">
        <f t="shared" si="1"/>
        <v>Low</v>
      </c>
      <c r="L54" s="18">
        <f>YEAR(B54)</f>
        <v>2023</v>
      </c>
      <c r="M54" s="18">
        <f>ROUNDUP(MONTH(B54)/3,0)</f>
        <v>3</v>
      </c>
      <c r="N54" s="20" t="str">
        <f>TEXT(B54,"dddd")</f>
        <v>Thursday</v>
      </c>
      <c r="O54" s="20" t="str">
        <f>TEXT(B54,"mmmm")</f>
        <v>July</v>
      </c>
    </row>
    <row r="55" spans="1:15" x14ac:dyDescent="0.3">
      <c r="A55" s="18">
        <v>54</v>
      </c>
      <c r="B55" s="19">
        <v>44967</v>
      </c>
      <c r="C55" s="20" t="s">
        <v>62</v>
      </c>
      <c r="D55" s="20" t="s">
        <v>8</v>
      </c>
      <c r="E55" s="18">
        <v>38</v>
      </c>
      <c r="F55" s="18" t="str">
        <f t="shared" si="0"/>
        <v>Adult</v>
      </c>
      <c r="G55" s="20" t="s">
        <v>11</v>
      </c>
      <c r="H55" s="18">
        <v>3</v>
      </c>
      <c r="I55" s="18">
        <v>500</v>
      </c>
      <c r="J55" s="18">
        <v>1500</v>
      </c>
      <c r="K55" s="21" t="str">
        <f t="shared" si="1"/>
        <v>Medium</v>
      </c>
      <c r="L55" s="18">
        <f>YEAR(B55)</f>
        <v>2023</v>
      </c>
      <c r="M55" s="18">
        <f>ROUNDUP(MONTH(B55)/3,0)</f>
        <v>1</v>
      </c>
      <c r="N55" s="20" t="str">
        <f>TEXT(B55,"dddd")</f>
        <v>Friday</v>
      </c>
      <c r="O55" s="20" t="str">
        <f>TEXT(B55,"mmmm")</f>
        <v>February</v>
      </c>
    </row>
    <row r="56" spans="1:15" x14ac:dyDescent="0.3">
      <c r="A56" s="18">
        <v>55</v>
      </c>
      <c r="B56" s="19">
        <v>45209</v>
      </c>
      <c r="C56" s="20" t="s">
        <v>63</v>
      </c>
      <c r="D56" s="20" t="s">
        <v>5</v>
      </c>
      <c r="E56" s="18">
        <v>31</v>
      </c>
      <c r="F56" s="18" t="str">
        <f t="shared" si="0"/>
        <v>Adult</v>
      </c>
      <c r="G56" s="20" t="s">
        <v>6</v>
      </c>
      <c r="H56" s="18">
        <v>4</v>
      </c>
      <c r="I56" s="18">
        <v>30</v>
      </c>
      <c r="J56" s="18">
        <v>120</v>
      </c>
      <c r="K56" s="21" t="str">
        <f t="shared" si="1"/>
        <v>Low</v>
      </c>
      <c r="L56" s="18">
        <f>YEAR(B56)</f>
        <v>2023</v>
      </c>
      <c r="M56" s="18">
        <f>ROUNDUP(MONTH(B56)/3,0)</f>
        <v>4</v>
      </c>
      <c r="N56" s="20" t="str">
        <f>TEXT(B56,"dddd")</f>
        <v>Tuesday</v>
      </c>
      <c r="O56" s="20" t="str">
        <f>TEXT(B56,"mmmm")</f>
        <v>October</v>
      </c>
    </row>
    <row r="57" spans="1:15" x14ac:dyDescent="0.3">
      <c r="A57" s="18">
        <v>56</v>
      </c>
      <c r="B57" s="19">
        <v>45077</v>
      </c>
      <c r="C57" s="20" t="s">
        <v>64</v>
      </c>
      <c r="D57" s="20" t="s">
        <v>8</v>
      </c>
      <c r="E57" s="18">
        <v>26</v>
      </c>
      <c r="F57" s="18" t="str">
        <f t="shared" si="0"/>
        <v>Young</v>
      </c>
      <c r="G57" s="20" t="s">
        <v>9</v>
      </c>
      <c r="H57" s="18">
        <v>3</v>
      </c>
      <c r="I57" s="18">
        <v>300</v>
      </c>
      <c r="J57" s="18">
        <v>900</v>
      </c>
      <c r="K57" s="21" t="str">
        <f t="shared" si="1"/>
        <v>Medium</v>
      </c>
      <c r="L57" s="18">
        <f>YEAR(B57)</f>
        <v>2023</v>
      </c>
      <c r="M57" s="18">
        <f>ROUNDUP(MONTH(B57)/3,0)</f>
        <v>2</v>
      </c>
      <c r="N57" s="20" t="str">
        <f>TEXT(B57,"dddd")</f>
        <v>Wednesday</v>
      </c>
      <c r="O57" s="20" t="str">
        <f>TEXT(B57,"mmmm")</f>
        <v>May</v>
      </c>
    </row>
    <row r="58" spans="1:15" x14ac:dyDescent="0.3">
      <c r="A58" s="18">
        <v>57</v>
      </c>
      <c r="B58" s="19">
        <v>45248</v>
      </c>
      <c r="C58" s="20" t="s">
        <v>65</v>
      </c>
      <c r="D58" s="20" t="s">
        <v>8</v>
      </c>
      <c r="E58" s="18">
        <v>63</v>
      </c>
      <c r="F58" s="18" t="str">
        <f t="shared" si="0"/>
        <v>Senior</v>
      </c>
      <c r="G58" s="20" t="s">
        <v>6</v>
      </c>
      <c r="H58" s="18">
        <v>1</v>
      </c>
      <c r="I58" s="18">
        <v>30</v>
      </c>
      <c r="J58" s="18">
        <v>30</v>
      </c>
      <c r="K58" s="21" t="str">
        <f t="shared" si="1"/>
        <v>Low</v>
      </c>
      <c r="L58" s="18">
        <f>YEAR(B58)</f>
        <v>2023</v>
      </c>
      <c r="M58" s="18">
        <f>ROUNDUP(MONTH(B58)/3,0)</f>
        <v>4</v>
      </c>
      <c r="N58" s="20" t="str">
        <f>TEXT(B58,"dddd")</f>
        <v>Saturday</v>
      </c>
      <c r="O58" s="20" t="str">
        <f>TEXT(B58,"mmmm")</f>
        <v>November</v>
      </c>
    </row>
    <row r="59" spans="1:15" x14ac:dyDescent="0.3">
      <c r="A59" s="18">
        <v>58</v>
      </c>
      <c r="B59" s="19">
        <v>45243</v>
      </c>
      <c r="C59" s="20" t="s">
        <v>66</v>
      </c>
      <c r="D59" s="20" t="s">
        <v>5</v>
      </c>
      <c r="E59" s="18">
        <v>18</v>
      </c>
      <c r="F59" s="18" t="str">
        <f t="shared" si="0"/>
        <v>Young</v>
      </c>
      <c r="G59" s="20" t="s">
        <v>9</v>
      </c>
      <c r="H59" s="18">
        <v>4</v>
      </c>
      <c r="I59" s="18">
        <v>300</v>
      </c>
      <c r="J59" s="18">
        <v>1200</v>
      </c>
      <c r="K59" s="21" t="str">
        <f t="shared" si="1"/>
        <v>Medium</v>
      </c>
      <c r="L59" s="18">
        <f>YEAR(B59)</f>
        <v>2023</v>
      </c>
      <c r="M59" s="18">
        <f>ROUNDUP(MONTH(B59)/3,0)</f>
        <v>4</v>
      </c>
      <c r="N59" s="20" t="str">
        <f>TEXT(B59,"dddd")</f>
        <v>Monday</v>
      </c>
      <c r="O59" s="20" t="str">
        <f>TEXT(B59,"mmmm")</f>
        <v>November</v>
      </c>
    </row>
    <row r="60" spans="1:15" x14ac:dyDescent="0.3">
      <c r="A60" s="18">
        <v>59</v>
      </c>
      <c r="B60" s="19">
        <v>45112</v>
      </c>
      <c r="C60" s="20" t="s">
        <v>67</v>
      </c>
      <c r="D60" s="20" t="s">
        <v>5</v>
      </c>
      <c r="E60" s="18">
        <v>62</v>
      </c>
      <c r="F60" s="18" t="str">
        <f t="shared" si="0"/>
        <v>Senior</v>
      </c>
      <c r="G60" s="20" t="s">
        <v>9</v>
      </c>
      <c r="H60" s="18">
        <v>1</v>
      </c>
      <c r="I60" s="18">
        <v>50</v>
      </c>
      <c r="J60" s="18">
        <v>50</v>
      </c>
      <c r="K60" s="21" t="str">
        <f t="shared" si="1"/>
        <v>Low</v>
      </c>
      <c r="L60" s="18">
        <f>YEAR(B60)</f>
        <v>2023</v>
      </c>
      <c r="M60" s="18">
        <f>ROUNDUP(MONTH(B60)/3,0)</f>
        <v>3</v>
      </c>
      <c r="N60" s="20" t="str">
        <f>TEXT(B60,"dddd")</f>
        <v>Wednesday</v>
      </c>
      <c r="O60" s="20" t="str">
        <f>TEXT(B60,"mmmm")</f>
        <v>July</v>
      </c>
    </row>
    <row r="61" spans="1:15" x14ac:dyDescent="0.3">
      <c r="A61" s="18">
        <v>60</v>
      </c>
      <c r="B61" s="19">
        <v>45222</v>
      </c>
      <c r="C61" s="20" t="s">
        <v>68</v>
      </c>
      <c r="D61" s="20" t="s">
        <v>5</v>
      </c>
      <c r="E61" s="18">
        <v>30</v>
      </c>
      <c r="F61" s="18" t="str">
        <f t="shared" si="0"/>
        <v>Young</v>
      </c>
      <c r="G61" s="20" t="s">
        <v>6</v>
      </c>
      <c r="H61" s="18">
        <v>3</v>
      </c>
      <c r="I61" s="18">
        <v>50</v>
      </c>
      <c r="J61" s="18">
        <v>150</v>
      </c>
      <c r="K61" s="21" t="str">
        <f t="shared" si="1"/>
        <v>Low</v>
      </c>
      <c r="L61" s="18">
        <f>YEAR(B61)</f>
        <v>2023</v>
      </c>
      <c r="M61" s="18">
        <f>ROUNDUP(MONTH(B61)/3,0)</f>
        <v>4</v>
      </c>
      <c r="N61" s="20" t="str">
        <f>TEXT(B61,"dddd")</f>
        <v>Monday</v>
      </c>
      <c r="O61" s="20" t="str">
        <f>TEXT(B61,"mmmm")</f>
        <v>October</v>
      </c>
    </row>
    <row r="62" spans="1:15" x14ac:dyDescent="0.3">
      <c r="A62" s="18">
        <v>61</v>
      </c>
      <c r="B62" s="19">
        <v>45025</v>
      </c>
      <c r="C62" s="20" t="s">
        <v>69</v>
      </c>
      <c r="D62" s="20" t="s">
        <v>5</v>
      </c>
      <c r="E62" s="18">
        <v>21</v>
      </c>
      <c r="F62" s="18" t="str">
        <f t="shared" si="0"/>
        <v>Young</v>
      </c>
      <c r="G62" s="20" t="s">
        <v>6</v>
      </c>
      <c r="H62" s="18">
        <v>4</v>
      </c>
      <c r="I62" s="18">
        <v>50</v>
      </c>
      <c r="J62" s="18">
        <v>200</v>
      </c>
      <c r="K62" s="21" t="str">
        <f t="shared" si="1"/>
        <v>Low</v>
      </c>
      <c r="L62" s="18">
        <f>YEAR(B62)</f>
        <v>2023</v>
      </c>
      <c r="M62" s="18">
        <f>ROUNDUP(MONTH(B62)/3,0)</f>
        <v>2</v>
      </c>
      <c r="N62" s="20" t="str">
        <f>TEXT(B62,"dddd")</f>
        <v>Sunday</v>
      </c>
      <c r="O62" s="20" t="str">
        <f>TEXT(B62,"mmmm")</f>
        <v>April</v>
      </c>
    </row>
    <row r="63" spans="1:15" x14ac:dyDescent="0.3">
      <c r="A63" s="18">
        <v>62</v>
      </c>
      <c r="B63" s="19">
        <v>45287</v>
      </c>
      <c r="C63" s="20" t="s">
        <v>70</v>
      </c>
      <c r="D63" s="20" t="s">
        <v>5</v>
      </c>
      <c r="E63" s="18">
        <v>18</v>
      </c>
      <c r="F63" s="18" t="str">
        <f t="shared" si="0"/>
        <v>Young</v>
      </c>
      <c r="G63" s="20" t="s">
        <v>6</v>
      </c>
      <c r="H63" s="18">
        <v>2</v>
      </c>
      <c r="I63" s="18">
        <v>50</v>
      </c>
      <c r="J63" s="18">
        <v>100</v>
      </c>
      <c r="K63" s="21" t="str">
        <f t="shared" si="1"/>
        <v>Low</v>
      </c>
      <c r="L63" s="18">
        <f>YEAR(B63)</f>
        <v>2023</v>
      </c>
      <c r="M63" s="18">
        <f>ROUNDUP(MONTH(B63)/3,0)</f>
        <v>4</v>
      </c>
      <c r="N63" s="20" t="str">
        <f>TEXT(B63,"dddd")</f>
        <v>Wednesday</v>
      </c>
      <c r="O63" s="20" t="str">
        <f>TEXT(B63,"mmmm")</f>
        <v>December</v>
      </c>
    </row>
    <row r="64" spans="1:15" x14ac:dyDescent="0.3">
      <c r="A64" s="18">
        <v>63</v>
      </c>
      <c r="B64" s="19">
        <v>44962</v>
      </c>
      <c r="C64" s="20" t="s">
        <v>71</v>
      </c>
      <c r="D64" s="20" t="s">
        <v>5</v>
      </c>
      <c r="E64" s="18">
        <v>57</v>
      </c>
      <c r="F64" s="18" t="str">
        <f t="shared" si="0"/>
        <v>Adult</v>
      </c>
      <c r="G64" s="20" t="s">
        <v>11</v>
      </c>
      <c r="H64" s="18">
        <v>2</v>
      </c>
      <c r="I64" s="18">
        <v>25</v>
      </c>
      <c r="J64" s="18">
        <v>50</v>
      </c>
      <c r="K64" s="21" t="str">
        <f t="shared" si="1"/>
        <v>Low</v>
      </c>
      <c r="L64" s="18">
        <f>YEAR(B64)</f>
        <v>2023</v>
      </c>
      <c r="M64" s="18">
        <f>ROUNDUP(MONTH(B64)/3,0)</f>
        <v>1</v>
      </c>
      <c r="N64" s="20" t="str">
        <f>TEXT(B64,"dddd")</f>
        <v>Sunday</v>
      </c>
      <c r="O64" s="20" t="str">
        <f>TEXT(B64,"mmmm")</f>
        <v>February</v>
      </c>
    </row>
    <row r="65" spans="1:15" x14ac:dyDescent="0.3">
      <c r="A65" s="18">
        <v>64</v>
      </c>
      <c r="B65" s="19">
        <v>44950</v>
      </c>
      <c r="C65" s="20" t="s">
        <v>72</v>
      </c>
      <c r="D65" s="20" t="s">
        <v>5</v>
      </c>
      <c r="E65" s="18">
        <v>49</v>
      </c>
      <c r="F65" s="18" t="str">
        <f t="shared" si="0"/>
        <v>Adult</v>
      </c>
      <c r="G65" s="20" t="s">
        <v>9</v>
      </c>
      <c r="H65" s="18">
        <v>4</v>
      </c>
      <c r="I65" s="18">
        <v>25</v>
      </c>
      <c r="J65" s="18">
        <v>100</v>
      </c>
      <c r="K65" s="21" t="str">
        <f t="shared" si="1"/>
        <v>Low</v>
      </c>
      <c r="L65" s="18">
        <f>YEAR(B65)</f>
        <v>2023</v>
      </c>
      <c r="M65" s="18">
        <f>ROUNDUP(MONTH(B65)/3,0)</f>
        <v>1</v>
      </c>
      <c r="N65" s="20" t="str">
        <f>TEXT(B65,"dddd")</f>
        <v>Tuesday</v>
      </c>
      <c r="O65" s="20" t="str">
        <f>TEXT(B65,"mmmm")</f>
        <v>January</v>
      </c>
    </row>
    <row r="66" spans="1:15" x14ac:dyDescent="0.3">
      <c r="A66" s="18">
        <v>65</v>
      </c>
      <c r="B66" s="19">
        <v>45265</v>
      </c>
      <c r="C66" s="20" t="s">
        <v>73</v>
      </c>
      <c r="D66" s="20" t="s">
        <v>5</v>
      </c>
      <c r="E66" s="18">
        <v>51</v>
      </c>
      <c r="F66" s="18" t="str">
        <f t="shared" si="0"/>
        <v>Adult</v>
      </c>
      <c r="G66" s="20" t="s">
        <v>11</v>
      </c>
      <c r="H66" s="18">
        <v>4</v>
      </c>
      <c r="I66" s="18">
        <v>500</v>
      </c>
      <c r="J66" s="18">
        <v>2000</v>
      </c>
      <c r="K66" s="21" t="str">
        <f t="shared" si="1"/>
        <v>High</v>
      </c>
      <c r="L66" s="18">
        <f>YEAR(B66)</f>
        <v>2023</v>
      </c>
      <c r="M66" s="18">
        <f>ROUNDUP(MONTH(B66)/3,0)</f>
        <v>4</v>
      </c>
      <c r="N66" s="20" t="str">
        <f>TEXT(B66,"dddd")</f>
        <v>Tuesday</v>
      </c>
      <c r="O66" s="20" t="str">
        <f>TEXT(B66,"mmmm")</f>
        <v>December</v>
      </c>
    </row>
    <row r="67" spans="1:15" x14ac:dyDescent="0.3">
      <c r="A67" s="18">
        <v>66</v>
      </c>
      <c r="B67" s="19">
        <v>45043</v>
      </c>
      <c r="C67" s="20" t="s">
        <v>74</v>
      </c>
      <c r="D67" s="20" t="s">
        <v>8</v>
      </c>
      <c r="E67" s="18">
        <v>45</v>
      </c>
      <c r="F67" s="18" t="str">
        <f t="shared" ref="F67:F130" si="2">IF(E67&gt;60,"Senior",IF(E67&gt;30,"Adult","Young"))</f>
        <v>Adult</v>
      </c>
      <c r="G67" s="20" t="s">
        <v>11</v>
      </c>
      <c r="H67" s="18">
        <v>1</v>
      </c>
      <c r="I67" s="18">
        <v>30</v>
      </c>
      <c r="J67" s="18">
        <v>30</v>
      </c>
      <c r="K67" s="21" t="str">
        <f t="shared" ref="K67:K130" si="3">IF(J67&gt;1500,"High",IF(J67&gt;500,"Medium","Low"))</f>
        <v>Low</v>
      </c>
      <c r="L67" s="18">
        <f>YEAR(B67)</f>
        <v>2023</v>
      </c>
      <c r="M67" s="18">
        <f>ROUNDUP(MONTH(B67)/3,0)</f>
        <v>2</v>
      </c>
      <c r="N67" s="20" t="str">
        <f>TEXT(B67,"dddd")</f>
        <v>Thursday</v>
      </c>
      <c r="O67" s="20" t="str">
        <f>TEXT(B67,"mmmm")</f>
        <v>April</v>
      </c>
    </row>
    <row r="68" spans="1:15" x14ac:dyDescent="0.3">
      <c r="A68" s="18">
        <v>67</v>
      </c>
      <c r="B68" s="19">
        <v>45075</v>
      </c>
      <c r="C68" s="20" t="s">
        <v>75</v>
      </c>
      <c r="D68" s="20" t="s">
        <v>8</v>
      </c>
      <c r="E68" s="18">
        <v>48</v>
      </c>
      <c r="F68" s="18" t="str">
        <f t="shared" si="2"/>
        <v>Adult</v>
      </c>
      <c r="G68" s="20" t="s">
        <v>6</v>
      </c>
      <c r="H68" s="18">
        <v>4</v>
      </c>
      <c r="I68" s="18">
        <v>300</v>
      </c>
      <c r="J68" s="18">
        <v>1200</v>
      </c>
      <c r="K68" s="21" t="str">
        <f t="shared" si="3"/>
        <v>Medium</v>
      </c>
      <c r="L68" s="18">
        <f>YEAR(B68)</f>
        <v>2023</v>
      </c>
      <c r="M68" s="18">
        <f>ROUNDUP(MONTH(B68)/3,0)</f>
        <v>2</v>
      </c>
      <c r="N68" s="20" t="str">
        <f>TEXT(B68,"dddd")</f>
        <v>Monday</v>
      </c>
      <c r="O68" s="20" t="str">
        <f>TEXT(B68,"mmmm")</f>
        <v>May</v>
      </c>
    </row>
    <row r="69" spans="1:15" x14ac:dyDescent="0.3">
      <c r="A69" s="18">
        <v>68</v>
      </c>
      <c r="B69" s="19">
        <v>44967</v>
      </c>
      <c r="C69" s="20" t="s">
        <v>76</v>
      </c>
      <c r="D69" s="20" t="s">
        <v>5</v>
      </c>
      <c r="E69" s="18">
        <v>25</v>
      </c>
      <c r="F69" s="18" t="str">
        <f t="shared" si="2"/>
        <v>Young</v>
      </c>
      <c r="G69" s="20" t="s">
        <v>11</v>
      </c>
      <c r="H69" s="18">
        <v>1</v>
      </c>
      <c r="I69" s="18">
        <v>300</v>
      </c>
      <c r="J69" s="18">
        <v>300</v>
      </c>
      <c r="K69" s="21" t="str">
        <f t="shared" si="3"/>
        <v>Low</v>
      </c>
      <c r="L69" s="18">
        <f>YEAR(B69)</f>
        <v>2023</v>
      </c>
      <c r="M69" s="18">
        <f>ROUNDUP(MONTH(B69)/3,0)</f>
        <v>1</v>
      </c>
      <c r="N69" s="20" t="str">
        <f>TEXT(B69,"dddd")</f>
        <v>Friday</v>
      </c>
      <c r="O69" s="20" t="str">
        <f>TEXT(B69,"mmmm")</f>
        <v>February</v>
      </c>
    </row>
    <row r="70" spans="1:15" x14ac:dyDescent="0.3">
      <c r="A70" s="18">
        <v>69</v>
      </c>
      <c r="B70" s="19">
        <v>45046</v>
      </c>
      <c r="C70" s="20" t="s">
        <v>77</v>
      </c>
      <c r="D70" s="20" t="s">
        <v>8</v>
      </c>
      <c r="E70" s="18">
        <v>56</v>
      </c>
      <c r="F70" s="18" t="str">
        <f t="shared" si="2"/>
        <v>Adult</v>
      </c>
      <c r="G70" s="20" t="s">
        <v>6</v>
      </c>
      <c r="H70" s="18">
        <v>3</v>
      </c>
      <c r="I70" s="18">
        <v>25</v>
      </c>
      <c r="J70" s="18">
        <v>75</v>
      </c>
      <c r="K70" s="21" t="str">
        <f t="shared" si="3"/>
        <v>Low</v>
      </c>
      <c r="L70" s="18">
        <f>YEAR(B70)</f>
        <v>2023</v>
      </c>
      <c r="M70" s="18">
        <f>ROUNDUP(MONTH(B70)/3,0)</f>
        <v>2</v>
      </c>
      <c r="N70" s="20" t="str">
        <f>TEXT(B70,"dddd")</f>
        <v>Sunday</v>
      </c>
      <c r="O70" s="20" t="str">
        <f>TEXT(B70,"mmmm")</f>
        <v>April</v>
      </c>
    </row>
    <row r="71" spans="1:15" x14ac:dyDescent="0.3">
      <c r="A71" s="18">
        <v>70</v>
      </c>
      <c r="B71" s="19">
        <v>44978</v>
      </c>
      <c r="C71" s="20" t="s">
        <v>78</v>
      </c>
      <c r="D71" s="20" t="s">
        <v>8</v>
      </c>
      <c r="E71" s="18">
        <v>43</v>
      </c>
      <c r="F71" s="18" t="str">
        <f t="shared" si="2"/>
        <v>Adult</v>
      </c>
      <c r="G71" s="20" t="s">
        <v>9</v>
      </c>
      <c r="H71" s="18">
        <v>1</v>
      </c>
      <c r="I71" s="18">
        <v>300</v>
      </c>
      <c r="J71" s="18">
        <v>300</v>
      </c>
      <c r="K71" s="21" t="str">
        <f t="shared" si="3"/>
        <v>Low</v>
      </c>
      <c r="L71" s="18">
        <f>YEAR(B71)</f>
        <v>2023</v>
      </c>
      <c r="M71" s="18">
        <f>ROUNDUP(MONTH(B71)/3,0)</f>
        <v>1</v>
      </c>
      <c r="N71" s="20" t="str">
        <f>TEXT(B71,"dddd")</f>
        <v>Tuesday</v>
      </c>
      <c r="O71" s="20" t="str">
        <f>TEXT(B71,"mmmm")</f>
        <v>February</v>
      </c>
    </row>
    <row r="72" spans="1:15" x14ac:dyDescent="0.3">
      <c r="A72" s="18">
        <v>71</v>
      </c>
      <c r="B72" s="19">
        <v>45121</v>
      </c>
      <c r="C72" s="20" t="s">
        <v>79</v>
      </c>
      <c r="D72" s="20" t="s">
        <v>8</v>
      </c>
      <c r="E72" s="18">
        <v>51</v>
      </c>
      <c r="F72" s="18" t="str">
        <f t="shared" si="2"/>
        <v>Adult</v>
      </c>
      <c r="G72" s="20" t="s">
        <v>6</v>
      </c>
      <c r="H72" s="18">
        <v>4</v>
      </c>
      <c r="I72" s="18">
        <v>25</v>
      </c>
      <c r="J72" s="18">
        <v>100</v>
      </c>
      <c r="K72" s="21" t="str">
        <f t="shared" si="3"/>
        <v>Low</v>
      </c>
      <c r="L72" s="18">
        <f>YEAR(B72)</f>
        <v>2023</v>
      </c>
      <c r="M72" s="18">
        <f>ROUNDUP(MONTH(B72)/3,0)</f>
        <v>3</v>
      </c>
      <c r="N72" s="20" t="str">
        <f>TEXT(B72,"dddd")</f>
        <v>Friday</v>
      </c>
      <c r="O72" s="20" t="str">
        <f>TEXT(B72,"mmmm")</f>
        <v>July</v>
      </c>
    </row>
    <row r="73" spans="1:15" x14ac:dyDescent="0.3">
      <c r="A73" s="18">
        <v>72</v>
      </c>
      <c r="B73" s="19">
        <v>45069</v>
      </c>
      <c r="C73" s="20" t="s">
        <v>80</v>
      </c>
      <c r="D73" s="20" t="s">
        <v>8</v>
      </c>
      <c r="E73" s="18">
        <v>20</v>
      </c>
      <c r="F73" s="18" t="str">
        <f t="shared" si="2"/>
        <v>Young</v>
      </c>
      <c r="G73" s="20" t="s">
        <v>11</v>
      </c>
      <c r="H73" s="18">
        <v>4</v>
      </c>
      <c r="I73" s="18">
        <v>500</v>
      </c>
      <c r="J73" s="18">
        <v>2000</v>
      </c>
      <c r="K73" s="21" t="str">
        <f t="shared" si="3"/>
        <v>High</v>
      </c>
      <c r="L73" s="18">
        <f>YEAR(B73)</f>
        <v>2023</v>
      </c>
      <c r="M73" s="18">
        <f>ROUNDUP(MONTH(B73)/3,0)</f>
        <v>2</v>
      </c>
      <c r="N73" s="20" t="str">
        <f>TEXT(B73,"dddd")</f>
        <v>Tuesday</v>
      </c>
      <c r="O73" s="20" t="str">
        <f>TEXT(B73,"mmmm")</f>
        <v>May</v>
      </c>
    </row>
    <row r="74" spans="1:15" x14ac:dyDescent="0.3">
      <c r="A74" s="18">
        <v>73</v>
      </c>
      <c r="B74" s="19">
        <v>45159</v>
      </c>
      <c r="C74" s="20" t="s">
        <v>81</v>
      </c>
      <c r="D74" s="20" t="s">
        <v>5</v>
      </c>
      <c r="E74" s="18">
        <v>29</v>
      </c>
      <c r="F74" s="18" t="str">
        <f t="shared" si="2"/>
        <v>Young</v>
      </c>
      <c r="G74" s="20" t="s">
        <v>11</v>
      </c>
      <c r="H74" s="18">
        <v>3</v>
      </c>
      <c r="I74" s="18">
        <v>30</v>
      </c>
      <c r="J74" s="18">
        <v>90</v>
      </c>
      <c r="K74" s="21" t="str">
        <f t="shared" si="3"/>
        <v>Low</v>
      </c>
      <c r="L74" s="18">
        <f>YEAR(B74)</f>
        <v>2023</v>
      </c>
      <c r="M74" s="18">
        <f>ROUNDUP(MONTH(B74)/3,0)</f>
        <v>3</v>
      </c>
      <c r="N74" s="20" t="str">
        <f>TEXT(B74,"dddd")</f>
        <v>Monday</v>
      </c>
      <c r="O74" s="20" t="str">
        <f>TEXT(B74,"mmmm")</f>
        <v>August</v>
      </c>
    </row>
    <row r="75" spans="1:15" x14ac:dyDescent="0.3">
      <c r="A75" s="18">
        <v>74</v>
      </c>
      <c r="B75" s="19">
        <v>45252</v>
      </c>
      <c r="C75" s="20" t="s">
        <v>82</v>
      </c>
      <c r="D75" s="20" t="s">
        <v>8</v>
      </c>
      <c r="E75" s="18">
        <v>18</v>
      </c>
      <c r="F75" s="18" t="str">
        <f t="shared" si="2"/>
        <v>Young</v>
      </c>
      <c r="G75" s="20" t="s">
        <v>6</v>
      </c>
      <c r="H75" s="18">
        <v>4</v>
      </c>
      <c r="I75" s="18">
        <v>500</v>
      </c>
      <c r="J75" s="18">
        <v>2000</v>
      </c>
      <c r="K75" s="21" t="str">
        <f t="shared" si="3"/>
        <v>High</v>
      </c>
      <c r="L75" s="18">
        <f>YEAR(B75)</f>
        <v>2023</v>
      </c>
      <c r="M75" s="18">
        <f>ROUNDUP(MONTH(B75)/3,0)</f>
        <v>4</v>
      </c>
      <c r="N75" s="20" t="str">
        <f>TEXT(B75,"dddd")</f>
        <v>Wednesday</v>
      </c>
      <c r="O75" s="20" t="str">
        <f>TEXT(B75,"mmmm")</f>
        <v>November</v>
      </c>
    </row>
    <row r="76" spans="1:15" x14ac:dyDescent="0.3">
      <c r="A76" s="18">
        <v>75</v>
      </c>
      <c r="B76" s="19">
        <v>45113</v>
      </c>
      <c r="C76" s="20" t="s">
        <v>83</v>
      </c>
      <c r="D76" s="20" t="s">
        <v>5</v>
      </c>
      <c r="E76" s="18">
        <v>61</v>
      </c>
      <c r="F76" s="18" t="str">
        <f t="shared" si="2"/>
        <v>Senior</v>
      </c>
      <c r="G76" s="20" t="s">
        <v>6</v>
      </c>
      <c r="H76" s="18">
        <v>4</v>
      </c>
      <c r="I76" s="18">
        <v>50</v>
      </c>
      <c r="J76" s="18">
        <v>200</v>
      </c>
      <c r="K76" s="21" t="str">
        <f t="shared" si="3"/>
        <v>Low</v>
      </c>
      <c r="L76" s="18">
        <f>YEAR(B76)</f>
        <v>2023</v>
      </c>
      <c r="M76" s="18">
        <f>ROUNDUP(MONTH(B76)/3,0)</f>
        <v>3</v>
      </c>
      <c r="N76" s="20" t="str">
        <f>TEXT(B76,"dddd")</f>
        <v>Thursday</v>
      </c>
      <c r="O76" s="20" t="str">
        <f>TEXT(B76,"mmmm")</f>
        <v>July</v>
      </c>
    </row>
    <row r="77" spans="1:15" x14ac:dyDescent="0.3">
      <c r="A77" s="18">
        <v>76</v>
      </c>
      <c r="B77" s="19">
        <v>45010</v>
      </c>
      <c r="C77" s="20" t="s">
        <v>84</v>
      </c>
      <c r="D77" s="20" t="s">
        <v>8</v>
      </c>
      <c r="E77" s="18">
        <v>22</v>
      </c>
      <c r="F77" s="18" t="str">
        <f t="shared" si="2"/>
        <v>Young</v>
      </c>
      <c r="G77" s="20" t="s">
        <v>11</v>
      </c>
      <c r="H77" s="18">
        <v>2</v>
      </c>
      <c r="I77" s="18">
        <v>50</v>
      </c>
      <c r="J77" s="18">
        <v>100</v>
      </c>
      <c r="K77" s="21" t="str">
        <f t="shared" si="3"/>
        <v>Low</v>
      </c>
      <c r="L77" s="18">
        <f>YEAR(B77)</f>
        <v>2023</v>
      </c>
      <c r="M77" s="18">
        <f>ROUNDUP(MONTH(B77)/3,0)</f>
        <v>1</v>
      </c>
      <c r="N77" s="20" t="str">
        <f>TEXT(B77,"dddd")</f>
        <v>Saturday</v>
      </c>
      <c r="O77" s="20" t="str">
        <f>TEXT(B77,"mmmm")</f>
        <v>March</v>
      </c>
    </row>
    <row r="78" spans="1:15" x14ac:dyDescent="0.3">
      <c r="A78" s="18">
        <v>77</v>
      </c>
      <c r="B78" s="19">
        <v>45116</v>
      </c>
      <c r="C78" s="20" t="s">
        <v>85</v>
      </c>
      <c r="D78" s="20" t="s">
        <v>8</v>
      </c>
      <c r="E78" s="18">
        <v>47</v>
      </c>
      <c r="F78" s="18" t="str">
        <f t="shared" si="2"/>
        <v>Adult</v>
      </c>
      <c r="G78" s="20" t="s">
        <v>9</v>
      </c>
      <c r="H78" s="18">
        <v>2</v>
      </c>
      <c r="I78" s="18">
        <v>50</v>
      </c>
      <c r="J78" s="18">
        <v>100</v>
      </c>
      <c r="K78" s="21" t="str">
        <f t="shared" si="3"/>
        <v>Low</v>
      </c>
      <c r="L78" s="18">
        <f>YEAR(B78)</f>
        <v>2023</v>
      </c>
      <c r="M78" s="18">
        <f>ROUNDUP(MONTH(B78)/3,0)</f>
        <v>3</v>
      </c>
      <c r="N78" s="20" t="str">
        <f>TEXT(B78,"dddd")</f>
        <v>Sunday</v>
      </c>
      <c r="O78" s="20" t="str">
        <f>TEXT(B78,"mmmm")</f>
        <v>July</v>
      </c>
    </row>
    <row r="79" spans="1:15" x14ac:dyDescent="0.3">
      <c r="A79" s="18">
        <v>78</v>
      </c>
      <c r="B79" s="19">
        <v>45108</v>
      </c>
      <c r="C79" s="20" t="s">
        <v>86</v>
      </c>
      <c r="D79" s="20" t="s">
        <v>8</v>
      </c>
      <c r="E79" s="18">
        <v>47</v>
      </c>
      <c r="F79" s="18" t="str">
        <f t="shared" si="2"/>
        <v>Adult</v>
      </c>
      <c r="G79" s="20" t="s">
        <v>9</v>
      </c>
      <c r="H79" s="18">
        <v>3</v>
      </c>
      <c r="I79" s="18">
        <v>500</v>
      </c>
      <c r="J79" s="18">
        <v>1500</v>
      </c>
      <c r="K79" s="21" t="str">
        <f t="shared" si="3"/>
        <v>Medium</v>
      </c>
      <c r="L79" s="18">
        <f>YEAR(B79)</f>
        <v>2023</v>
      </c>
      <c r="M79" s="18">
        <f>ROUNDUP(MONTH(B79)/3,0)</f>
        <v>3</v>
      </c>
      <c r="N79" s="20" t="str">
        <f>TEXT(B79,"dddd")</f>
        <v>Saturday</v>
      </c>
      <c r="O79" s="20" t="str">
        <f>TEXT(B79,"mmmm")</f>
        <v>July</v>
      </c>
    </row>
    <row r="80" spans="1:15" x14ac:dyDescent="0.3">
      <c r="A80" s="18">
        <v>79</v>
      </c>
      <c r="B80" s="19">
        <v>45034</v>
      </c>
      <c r="C80" s="20" t="s">
        <v>87</v>
      </c>
      <c r="D80" s="20" t="s">
        <v>5</v>
      </c>
      <c r="E80" s="18">
        <v>34</v>
      </c>
      <c r="F80" s="18" t="str">
        <f t="shared" si="2"/>
        <v>Adult</v>
      </c>
      <c r="G80" s="20" t="s">
        <v>6</v>
      </c>
      <c r="H80" s="18">
        <v>1</v>
      </c>
      <c r="I80" s="18">
        <v>300</v>
      </c>
      <c r="J80" s="18">
        <v>300</v>
      </c>
      <c r="K80" s="21" t="str">
        <f t="shared" si="3"/>
        <v>Low</v>
      </c>
      <c r="L80" s="18">
        <f>YEAR(B80)</f>
        <v>2023</v>
      </c>
      <c r="M80" s="18">
        <f>ROUNDUP(MONTH(B80)/3,0)</f>
        <v>2</v>
      </c>
      <c r="N80" s="20" t="str">
        <f>TEXT(B80,"dddd")</f>
        <v>Tuesday</v>
      </c>
      <c r="O80" s="20" t="str">
        <f>TEXT(B80,"mmmm")</f>
        <v>April</v>
      </c>
    </row>
    <row r="81" spans="1:15" x14ac:dyDescent="0.3">
      <c r="A81" s="18">
        <v>80</v>
      </c>
      <c r="B81" s="19">
        <v>45270</v>
      </c>
      <c r="C81" s="20" t="s">
        <v>88</v>
      </c>
      <c r="D81" s="20" t="s">
        <v>8</v>
      </c>
      <c r="E81" s="18">
        <v>64</v>
      </c>
      <c r="F81" s="18" t="str">
        <f t="shared" si="2"/>
        <v>Senior</v>
      </c>
      <c r="G81" s="20" t="s">
        <v>9</v>
      </c>
      <c r="H81" s="18">
        <v>2</v>
      </c>
      <c r="I81" s="18">
        <v>30</v>
      </c>
      <c r="J81" s="18">
        <v>60</v>
      </c>
      <c r="K81" s="21" t="str">
        <f t="shared" si="3"/>
        <v>Low</v>
      </c>
      <c r="L81" s="18">
        <f>YEAR(B81)</f>
        <v>2023</v>
      </c>
      <c r="M81" s="18">
        <f>ROUNDUP(MONTH(B81)/3,0)</f>
        <v>4</v>
      </c>
      <c r="N81" s="20" t="str">
        <f>TEXT(B81,"dddd")</f>
        <v>Sunday</v>
      </c>
      <c r="O81" s="20" t="str">
        <f>TEXT(B81,"mmmm")</f>
        <v>December</v>
      </c>
    </row>
    <row r="82" spans="1:15" x14ac:dyDescent="0.3">
      <c r="A82" s="18">
        <v>81</v>
      </c>
      <c r="B82" s="19">
        <v>45063</v>
      </c>
      <c r="C82" s="20" t="s">
        <v>89</v>
      </c>
      <c r="D82" s="20" t="s">
        <v>5</v>
      </c>
      <c r="E82" s="18">
        <v>40</v>
      </c>
      <c r="F82" s="18" t="str">
        <f t="shared" si="2"/>
        <v>Adult</v>
      </c>
      <c r="G82" s="20" t="s">
        <v>11</v>
      </c>
      <c r="H82" s="18">
        <v>1</v>
      </c>
      <c r="I82" s="18">
        <v>50</v>
      </c>
      <c r="J82" s="18">
        <v>50</v>
      </c>
      <c r="K82" s="21" t="str">
        <f t="shared" si="3"/>
        <v>Low</v>
      </c>
      <c r="L82" s="18">
        <f>YEAR(B82)</f>
        <v>2023</v>
      </c>
      <c r="M82" s="18">
        <f>ROUNDUP(MONTH(B82)/3,0)</f>
        <v>2</v>
      </c>
      <c r="N82" s="20" t="str">
        <f>TEXT(B82,"dddd")</f>
        <v>Wednesday</v>
      </c>
      <c r="O82" s="20" t="str">
        <f>TEXT(B82,"mmmm")</f>
        <v>May</v>
      </c>
    </row>
    <row r="83" spans="1:15" x14ac:dyDescent="0.3">
      <c r="A83" s="18">
        <v>82</v>
      </c>
      <c r="B83" s="19">
        <v>45286</v>
      </c>
      <c r="C83" s="20" t="s">
        <v>90</v>
      </c>
      <c r="D83" s="20" t="s">
        <v>8</v>
      </c>
      <c r="E83" s="18">
        <v>32</v>
      </c>
      <c r="F83" s="18" t="str">
        <f t="shared" si="2"/>
        <v>Adult</v>
      </c>
      <c r="G83" s="20" t="s">
        <v>6</v>
      </c>
      <c r="H83" s="18">
        <v>4</v>
      </c>
      <c r="I83" s="18">
        <v>50</v>
      </c>
      <c r="J83" s="18">
        <v>200</v>
      </c>
      <c r="K83" s="21" t="str">
        <f t="shared" si="3"/>
        <v>Low</v>
      </c>
      <c r="L83" s="18">
        <f>YEAR(B83)</f>
        <v>2023</v>
      </c>
      <c r="M83" s="18">
        <f>ROUNDUP(MONTH(B83)/3,0)</f>
        <v>4</v>
      </c>
      <c r="N83" s="20" t="str">
        <f>TEXT(B83,"dddd")</f>
        <v>Tuesday</v>
      </c>
      <c r="O83" s="20" t="str">
        <f>TEXT(B83,"mmmm")</f>
        <v>December</v>
      </c>
    </row>
    <row r="84" spans="1:15" x14ac:dyDescent="0.3">
      <c r="A84" s="18">
        <v>83</v>
      </c>
      <c r="B84" s="19">
        <v>45276</v>
      </c>
      <c r="C84" s="20" t="s">
        <v>91</v>
      </c>
      <c r="D84" s="20" t="s">
        <v>5</v>
      </c>
      <c r="E84" s="18">
        <v>54</v>
      </c>
      <c r="F84" s="18" t="str">
        <f t="shared" si="2"/>
        <v>Adult</v>
      </c>
      <c r="G84" s="20" t="s">
        <v>11</v>
      </c>
      <c r="H84" s="18">
        <v>2</v>
      </c>
      <c r="I84" s="18">
        <v>50</v>
      </c>
      <c r="J84" s="18">
        <v>100</v>
      </c>
      <c r="K84" s="21" t="str">
        <f t="shared" si="3"/>
        <v>Low</v>
      </c>
      <c r="L84" s="18">
        <f>YEAR(B84)</f>
        <v>2023</v>
      </c>
      <c r="M84" s="18">
        <f>ROUNDUP(MONTH(B84)/3,0)</f>
        <v>4</v>
      </c>
      <c r="N84" s="20" t="str">
        <f>TEXT(B84,"dddd")</f>
        <v>Saturday</v>
      </c>
      <c r="O84" s="20" t="str">
        <f>TEXT(B84,"mmmm")</f>
        <v>December</v>
      </c>
    </row>
    <row r="85" spans="1:15" x14ac:dyDescent="0.3">
      <c r="A85" s="18">
        <v>84</v>
      </c>
      <c r="B85" s="19">
        <v>45258</v>
      </c>
      <c r="C85" s="20" t="s">
        <v>92</v>
      </c>
      <c r="D85" s="20" t="s">
        <v>8</v>
      </c>
      <c r="E85" s="18">
        <v>38</v>
      </c>
      <c r="F85" s="18" t="str">
        <f t="shared" si="2"/>
        <v>Adult</v>
      </c>
      <c r="G85" s="20" t="s">
        <v>11</v>
      </c>
      <c r="H85" s="18">
        <v>3</v>
      </c>
      <c r="I85" s="18">
        <v>30</v>
      </c>
      <c r="J85" s="18">
        <v>90</v>
      </c>
      <c r="K85" s="21" t="str">
        <f t="shared" si="3"/>
        <v>Low</v>
      </c>
      <c r="L85" s="18">
        <f>YEAR(B85)</f>
        <v>2023</v>
      </c>
      <c r="M85" s="18">
        <f>ROUNDUP(MONTH(B85)/3,0)</f>
        <v>4</v>
      </c>
      <c r="N85" s="20" t="str">
        <f>TEXT(B85,"dddd")</f>
        <v>Tuesday</v>
      </c>
      <c r="O85" s="20" t="str">
        <f>TEXT(B85,"mmmm")</f>
        <v>November</v>
      </c>
    </row>
    <row r="86" spans="1:15" x14ac:dyDescent="0.3">
      <c r="A86" s="18">
        <v>85</v>
      </c>
      <c r="B86" s="19">
        <v>44963</v>
      </c>
      <c r="C86" s="20" t="s">
        <v>93</v>
      </c>
      <c r="D86" s="20" t="s">
        <v>5</v>
      </c>
      <c r="E86" s="18">
        <v>31</v>
      </c>
      <c r="F86" s="18" t="str">
        <f t="shared" si="2"/>
        <v>Adult</v>
      </c>
      <c r="G86" s="20" t="s">
        <v>9</v>
      </c>
      <c r="H86" s="18">
        <v>3</v>
      </c>
      <c r="I86" s="18">
        <v>50</v>
      </c>
      <c r="J86" s="18">
        <v>150</v>
      </c>
      <c r="K86" s="21" t="str">
        <f t="shared" si="3"/>
        <v>Low</v>
      </c>
      <c r="L86" s="18">
        <f>YEAR(B86)</f>
        <v>2023</v>
      </c>
      <c r="M86" s="18">
        <f>ROUNDUP(MONTH(B86)/3,0)</f>
        <v>1</v>
      </c>
      <c r="N86" s="20" t="str">
        <f>TEXT(B86,"dddd")</f>
        <v>Monday</v>
      </c>
      <c r="O86" s="20" t="str">
        <f>TEXT(B86,"mmmm")</f>
        <v>February</v>
      </c>
    </row>
    <row r="87" spans="1:15" x14ac:dyDescent="0.3">
      <c r="A87" s="18">
        <v>86</v>
      </c>
      <c r="B87" s="19">
        <v>45238</v>
      </c>
      <c r="C87" s="20" t="s">
        <v>94</v>
      </c>
      <c r="D87" s="20" t="s">
        <v>5</v>
      </c>
      <c r="E87" s="18">
        <v>19</v>
      </c>
      <c r="F87" s="18" t="str">
        <f t="shared" si="2"/>
        <v>Young</v>
      </c>
      <c r="G87" s="20" t="s">
        <v>6</v>
      </c>
      <c r="H87" s="18">
        <v>3</v>
      </c>
      <c r="I87" s="18">
        <v>30</v>
      </c>
      <c r="J87" s="18">
        <v>90</v>
      </c>
      <c r="K87" s="21" t="str">
        <f t="shared" si="3"/>
        <v>Low</v>
      </c>
      <c r="L87" s="18">
        <f>YEAR(B87)</f>
        <v>2023</v>
      </c>
      <c r="M87" s="18">
        <f>ROUNDUP(MONTH(B87)/3,0)</f>
        <v>4</v>
      </c>
      <c r="N87" s="20" t="str">
        <f>TEXT(B87,"dddd")</f>
        <v>Wednesday</v>
      </c>
      <c r="O87" s="20" t="str">
        <f>TEXT(B87,"mmmm")</f>
        <v>November</v>
      </c>
    </row>
    <row r="88" spans="1:15" x14ac:dyDescent="0.3">
      <c r="A88" s="18">
        <v>87</v>
      </c>
      <c r="B88" s="19">
        <v>45252</v>
      </c>
      <c r="C88" s="20" t="s">
        <v>95</v>
      </c>
      <c r="D88" s="20" t="s">
        <v>8</v>
      </c>
      <c r="E88" s="18">
        <v>28</v>
      </c>
      <c r="F88" s="18" t="str">
        <f t="shared" si="2"/>
        <v>Young</v>
      </c>
      <c r="G88" s="20" t="s">
        <v>6</v>
      </c>
      <c r="H88" s="18">
        <v>2</v>
      </c>
      <c r="I88" s="18">
        <v>50</v>
      </c>
      <c r="J88" s="18">
        <v>100</v>
      </c>
      <c r="K88" s="21" t="str">
        <f t="shared" si="3"/>
        <v>Low</v>
      </c>
      <c r="L88" s="18">
        <f>YEAR(B88)</f>
        <v>2023</v>
      </c>
      <c r="M88" s="18">
        <f>ROUNDUP(MONTH(B88)/3,0)</f>
        <v>4</v>
      </c>
      <c r="N88" s="20" t="str">
        <f>TEXT(B88,"dddd")</f>
        <v>Wednesday</v>
      </c>
      <c r="O88" s="20" t="str">
        <f>TEXT(B88,"mmmm")</f>
        <v>November</v>
      </c>
    </row>
    <row r="89" spans="1:15" x14ac:dyDescent="0.3">
      <c r="A89" s="18">
        <v>88</v>
      </c>
      <c r="B89" s="19">
        <v>45014</v>
      </c>
      <c r="C89" s="20" t="s">
        <v>96</v>
      </c>
      <c r="D89" s="20" t="s">
        <v>5</v>
      </c>
      <c r="E89" s="18">
        <v>56</v>
      </c>
      <c r="F89" s="18" t="str">
        <f t="shared" si="2"/>
        <v>Adult</v>
      </c>
      <c r="G89" s="20" t="s">
        <v>9</v>
      </c>
      <c r="H89" s="18">
        <v>1</v>
      </c>
      <c r="I89" s="18">
        <v>500</v>
      </c>
      <c r="J89" s="18">
        <v>500</v>
      </c>
      <c r="K89" s="21" t="str">
        <f t="shared" si="3"/>
        <v>Low</v>
      </c>
      <c r="L89" s="18">
        <f>YEAR(B89)</f>
        <v>2023</v>
      </c>
      <c r="M89" s="18">
        <f>ROUNDUP(MONTH(B89)/3,0)</f>
        <v>1</v>
      </c>
      <c r="N89" s="20" t="str">
        <f>TEXT(B89,"dddd")</f>
        <v>Wednesday</v>
      </c>
      <c r="O89" s="20" t="str">
        <f>TEXT(B89,"mmmm")</f>
        <v>March</v>
      </c>
    </row>
    <row r="90" spans="1:15" x14ac:dyDescent="0.3">
      <c r="A90" s="18">
        <v>89</v>
      </c>
      <c r="B90" s="19">
        <v>45200</v>
      </c>
      <c r="C90" s="20" t="s">
        <v>97</v>
      </c>
      <c r="D90" s="20" t="s">
        <v>8</v>
      </c>
      <c r="E90" s="18">
        <v>55</v>
      </c>
      <c r="F90" s="18" t="str">
        <f t="shared" si="2"/>
        <v>Adult</v>
      </c>
      <c r="G90" s="20" t="s">
        <v>11</v>
      </c>
      <c r="H90" s="18">
        <v>4</v>
      </c>
      <c r="I90" s="18">
        <v>500</v>
      </c>
      <c r="J90" s="18">
        <v>2000</v>
      </c>
      <c r="K90" s="21" t="str">
        <f t="shared" si="3"/>
        <v>High</v>
      </c>
      <c r="L90" s="18">
        <f>YEAR(B90)</f>
        <v>2023</v>
      </c>
      <c r="M90" s="18">
        <f>ROUNDUP(MONTH(B90)/3,0)</f>
        <v>4</v>
      </c>
      <c r="N90" s="20" t="str">
        <f>TEXT(B90,"dddd")</f>
        <v>Sunday</v>
      </c>
      <c r="O90" s="20" t="str">
        <f>TEXT(B90,"mmmm")</f>
        <v>October</v>
      </c>
    </row>
    <row r="91" spans="1:15" x14ac:dyDescent="0.3">
      <c r="A91" s="18">
        <v>90</v>
      </c>
      <c r="B91" s="19">
        <v>45052</v>
      </c>
      <c r="C91" s="20" t="s">
        <v>98</v>
      </c>
      <c r="D91" s="20" t="s">
        <v>8</v>
      </c>
      <c r="E91" s="18">
        <v>51</v>
      </c>
      <c r="F91" s="18" t="str">
        <f t="shared" si="2"/>
        <v>Adult</v>
      </c>
      <c r="G91" s="20" t="s">
        <v>11</v>
      </c>
      <c r="H91" s="18">
        <v>1</v>
      </c>
      <c r="I91" s="18">
        <v>30</v>
      </c>
      <c r="J91" s="18">
        <v>30</v>
      </c>
      <c r="K91" s="21" t="str">
        <f t="shared" si="3"/>
        <v>Low</v>
      </c>
      <c r="L91" s="18">
        <f>YEAR(B91)</f>
        <v>2023</v>
      </c>
      <c r="M91" s="18">
        <f>ROUNDUP(MONTH(B91)/3,0)</f>
        <v>2</v>
      </c>
      <c r="N91" s="20" t="str">
        <f>TEXT(B91,"dddd")</f>
        <v>Saturday</v>
      </c>
      <c r="O91" s="20" t="str">
        <f>TEXT(B91,"mmmm")</f>
        <v>May</v>
      </c>
    </row>
    <row r="92" spans="1:15" x14ac:dyDescent="0.3">
      <c r="A92" s="18">
        <v>91</v>
      </c>
      <c r="B92" s="19">
        <v>45010</v>
      </c>
      <c r="C92" s="20" t="s">
        <v>99</v>
      </c>
      <c r="D92" s="20" t="s">
        <v>8</v>
      </c>
      <c r="E92" s="18">
        <v>55</v>
      </c>
      <c r="F92" s="18" t="str">
        <f t="shared" si="2"/>
        <v>Adult</v>
      </c>
      <c r="G92" s="20" t="s">
        <v>11</v>
      </c>
      <c r="H92" s="18">
        <v>1</v>
      </c>
      <c r="I92" s="18">
        <v>500</v>
      </c>
      <c r="J92" s="18">
        <v>500</v>
      </c>
      <c r="K92" s="21" t="str">
        <f t="shared" si="3"/>
        <v>Low</v>
      </c>
      <c r="L92" s="18">
        <f>YEAR(B92)</f>
        <v>2023</v>
      </c>
      <c r="M92" s="18">
        <f>ROUNDUP(MONTH(B92)/3,0)</f>
        <v>1</v>
      </c>
      <c r="N92" s="20" t="str">
        <f>TEXT(B92,"dddd")</f>
        <v>Saturday</v>
      </c>
      <c r="O92" s="20" t="str">
        <f>TEXT(B92,"mmmm")</f>
        <v>March</v>
      </c>
    </row>
    <row r="93" spans="1:15" x14ac:dyDescent="0.3">
      <c r="A93" s="18">
        <v>92</v>
      </c>
      <c r="B93" s="19">
        <v>45163</v>
      </c>
      <c r="C93" s="20" t="s">
        <v>100</v>
      </c>
      <c r="D93" s="20" t="s">
        <v>8</v>
      </c>
      <c r="E93" s="18">
        <v>51</v>
      </c>
      <c r="F93" s="18" t="str">
        <f t="shared" si="2"/>
        <v>Adult</v>
      </c>
      <c r="G93" s="20" t="s">
        <v>11</v>
      </c>
      <c r="H93" s="18">
        <v>4</v>
      </c>
      <c r="I93" s="18">
        <v>30</v>
      </c>
      <c r="J93" s="18">
        <v>120</v>
      </c>
      <c r="K93" s="21" t="str">
        <f t="shared" si="3"/>
        <v>Low</v>
      </c>
      <c r="L93" s="18">
        <f>YEAR(B93)</f>
        <v>2023</v>
      </c>
      <c r="M93" s="18">
        <f>ROUNDUP(MONTH(B93)/3,0)</f>
        <v>3</v>
      </c>
      <c r="N93" s="20" t="str">
        <f>TEXT(B93,"dddd")</f>
        <v>Friday</v>
      </c>
      <c r="O93" s="20" t="str">
        <f>TEXT(B93,"mmmm")</f>
        <v>August</v>
      </c>
    </row>
    <row r="94" spans="1:15" x14ac:dyDescent="0.3">
      <c r="A94" s="18">
        <v>93</v>
      </c>
      <c r="B94" s="19">
        <v>45121</v>
      </c>
      <c r="C94" s="20" t="s">
        <v>101</v>
      </c>
      <c r="D94" s="20" t="s">
        <v>8</v>
      </c>
      <c r="E94" s="18">
        <v>35</v>
      </c>
      <c r="F94" s="18" t="str">
        <f t="shared" si="2"/>
        <v>Adult</v>
      </c>
      <c r="G94" s="20" t="s">
        <v>6</v>
      </c>
      <c r="H94" s="18">
        <v>4</v>
      </c>
      <c r="I94" s="18">
        <v>500</v>
      </c>
      <c r="J94" s="18">
        <v>2000</v>
      </c>
      <c r="K94" s="21" t="str">
        <f t="shared" si="3"/>
        <v>High</v>
      </c>
      <c r="L94" s="18">
        <f>YEAR(B94)</f>
        <v>2023</v>
      </c>
      <c r="M94" s="18">
        <f>ROUNDUP(MONTH(B94)/3,0)</f>
        <v>3</v>
      </c>
      <c r="N94" s="20" t="str">
        <f>TEXT(B94,"dddd")</f>
        <v>Friday</v>
      </c>
      <c r="O94" s="20" t="str">
        <f>TEXT(B94,"mmmm")</f>
        <v>July</v>
      </c>
    </row>
    <row r="95" spans="1:15" x14ac:dyDescent="0.3">
      <c r="A95" s="18">
        <v>94</v>
      </c>
      <c r="B95" s="19">
        <v>45065</v>
      </c>
      <c r="C95" s="20" t="s">
        <v>102</v>
      </c>
      <c r="D95" s="20" t="s">
        <v>8</v>
      </c>
      <c r="E95" s="18">
        <v>47</v>
      </c>
      <c r="F95" s="18" t="str">
        <f t="shared" si="2"/>
        <v>Adult</v>
      </c>
      <c r="G95" s="20" t="s">
        <v>6</v>
      </c>
      <c r="H95" s="18">
        <v>2</v>
      </c>
      <c r="I95" s="18">
        <v>500</v>
      </c>
      <c r="J95" s="18">
        <v>1000</v>
      </c>
      <c r="K95" s="21" t="str">
        <f t="shared" si="3"/>
        <v>Medium</v>
      </c>
      <c r="L95" s="18">
        <f>YEAR(B95)</f>
        <v>2023</v>
      </c>
      <c r="M95" s="18">
        <f>ROUNDUP(MONTH(B95)/3,0)</f>
        <v>2</v>
      </c>
      <c r="N95" s="20" t="str">
        <f>TEXT(B95,"dddd")</f>
        <v>Friday</v>
      </c>
      <c r="O95" s="20" t="str">
        <f>TEXT(B95,"mmmm")</f>
        <v>May</v>
      </c>
    </row>
    <row r="96" spans="1:15" x14ac:dyDescent="0.3">
      <c r="A96" s="18">
        <v>95</v>
      </c>
      <c r="B96" s="19">
        <v>45254</v>
      </c>
      <c r="C96" s="20" t="s">
        <v>103</v>
      </c>
      <c r="D96" s="20" t="s">
        <v>8</v>
      </c>
      <c r="E96" s="18">
        <v>32</v>
      </c>
      <c r="F96" s="18" t="str">
        <f t="shared" si="2"/>
        <v>Adult</v>
      </c>
      <c r="G96" s="20" t="s">
        <v>9</v>
      </c>
      <c r="H96" s="18">
        <v>2</v>
      </c>
      <c r="I96" s="18">
        <v>30</v>
      </c>
      <c r="J96" s="18">
        <v>60</v>
      </c>
      <c r="K96" s="21" t="str">
        <f t="shared" si="3"/>
        <v>Low</v>
      </c>
      <c r="L96" s="18">
        <f>YEAR(B96)</f>
        <v>2023</v>
      </c>
      <c r="M96" s="18">
        <f>ROUNDUP(MONTH(B96)/3,0)</f>
        <v>4</v>
      </c>
      <c r="N96" s="20" t="str">
        <f>TEXT(B96,"dddd")</f>
        <v>Friday</v>
      </c>
      <c r="O96" s="20" t="str">
        <f>TEXT(B96,"mmmm")</f>
        <v>November</v>
      </c>
    </row>
    <row r="97" spans="1:15" x14ac:dyDescent="0.3">
      <c r="A97" s="18">
        <v>96</v>
      </c>
      <c r="B97" s="19">
        <v>45279</v>
      </c>
      <c r="C97" s="20" t="s">
        <v>104</v>
      </c>
      <c r="D97" s="20" t="s">
        <v>8</v>
      </c>
      <c r="E97" s="18">
        <v>44</v>
      </c>
      <c r="F97" s="18" t="str">
        <f t="shared" si="2"/>
        <v>Adult</v>
      </c>
      <c r="G97" s="20" t="s">
        <v>9</v>
      </c>
      <c r="H97" s="18">
        <v>2</v>
      </c>
      <c r="I97" s="18">
        <v>300</v>
      </c>
      <c r="J97" s="18">
        <v>600</v>
      </c>
      <c r="K97" s="21" t="str">
        <f t="shared" si="3"/>
        <v>Medium</v>
      </c>
      <c r="L97" s="18">
        <f>YEAR(B97)</f>
        <v>2023</v>
      </c>
      <c r="M97" s="18">
        <f>ROUNDUP(MONTH(B97)/3,0)</f>
        <v>4</v>
      </c>
      <c r="N97" s="20" t="str">
        <f>TEXT(B97,"dddd")</f>
        <v>Tuesday</v>
      </c>
      <c r="O97" s="20" t="str">
        <f>TEXT(B97,"mmmm")</f>
        <v>December</v>
      </c>
    </row>
    <row r="98" spans="1:15" x14ac:dyDescent="0.3">
      <c r="A98" s="18">
        <v>97</v>
      </c>
      <c r="B98" s="19">
        <v>45212</v>
      </c>
      <c r="C98" s="20" t="s">
        <v>105</v>
      </c>
      <c r="D98" s="20" t="s">
        <v>8</v>
      </c>
      <c r="E98" s="18">
        <v>51</v>
      </c>
      <c r="F98" s="18" t="str">
        <f t="shared" si="2"/>
        <v>Adult</v>
      </c>
      <c r="G98" s="20" t="s">
        <v>6</v>
      </c>
      <c r="H98" s="18">
        <v>2</v>
      </c>
      <c r="I98" s="18">
        <v>500</v>
      </c>
      <c r="J98" s="18">
        <v>1000</v>
      </c>
      <c r="K98" s="21" t="str">
        <f t="shared" si="3"/>
        <v>Medium</v>
      </c>
      <c r="L98" s="18">
        <f>YEAR(B98)</f>
        <v>2023</v>
      </c>
      <c r="M98" s="18">
        <f>ROUNDUP(MONTH(B98)/3,0)</f>
        <v>4</v>
      </c>
      <c r="N98" s="20" t="str">
        <f>TEXT(B98,"dddd")</f>
        <v>Friday</v>
      </c>
      <c r="O98" s="20" t="str">
        <f>TEXT(B98,"mmmm")</f>
        <v>October</v>
      </c>
    </row>
    <row r="99" spans="1:15" x14ac:dyDescent="0.3">
      <c r="A99" s="18">
        <v>98</v>
      </c>
      <c r="B99" s="19">
        <v>45039</v>
      </c>
      <c r="C99" s="20" t="s">
        <v>106</v>
      </c>
      <c r="D99" s="20" t="s">
        <v>8</v>
      </c>
      <c r="E99" s="18">
        <v>55</v>
      </c>
      <c r="F99" s="18" t="str">
        <f t="shared" si="2"/>
        <v>Adult</v>
      </c>
      <c r="G99" s="20" t="s">
        <v>6</v>
      </c>
      <c r="H99" s="18">
        <v>2</v>
      </c>
      <c r="I99" s="18">
        <v>50</v>
      </c>
      <c r="J99" s="18">
        <v>100</v>
      </c>
      <c r="K99" s="21" t="str">
        <f t="shared" si="3"/>
        <v>Low</v>
      </c>
      <c r="L99" s="18">
        <f>YEAR(B99)</f>
        <v>2023</v>
      </c>
      <c r="M99" s="18">
        <f>ROUNDUP(MONTH(B99)/3,0)</f>
        <v>2</v>
      </c>
      <c r="N99" s="20" t="str">
        <f>TEXT(B99,"dddd")</f>
        <v>Sunday</v>
      </c>
      <c r="O99" s="20" t="str">
        <f>TEXT(B99,"mmmm")</f>
        <v>April</v>
      </c>
    </row>
    <row r="100" spans="1:15" x14ac:dyDescent="0.3">
      <c r="A100" s="18">
        <v>99</v>
      </c>
      <c r="B100" s="19">
        <v>45277</v>
      </c>
      <c r="C100" s="20" t="s">
        <v>107</v>
      </c>
      <c r="D100" s="20" t="s">
        <v>8</v>
      </c>
      <c r="E100" s="18">
        <v>50</v>
      </c>
      <c r="F100" s="18" t="str">
        <f t="shared" si="2"/>
        <v>Adult</v>
      </c>
      <c r="G100" s="20" t="s">
        <v>11</v>
      </c>
      <c r="H100" s="18">
        <v>4</v>
      </c>
      <c r="I100" s="18">
        <v>300</v>
      </c>
      <c r="J100" s="18">
        <v>1200</v>
      </c>
      <c r="K100" s="21" t="str">
        <f t="shared" si="3"/>
        <v>Medium</v>
      </c>
      <c r="L100" s="18">
        <f>YEAR(B100)</f>
        <v>2023</v>
      </c>
      <c r="M100" s="18">
        <f>ROUNDUP(MONTH(B100)/3,0)</f>
        <v>4</v>
      </c>
      <c r="N100" s="20" t="str">
        <f>TEXT(B100,"dddd")</f>
        <v>Sunday</v>
      </c>
      <c r="O100" s="20" t="str">
        <f>TEXT(B100,"mmmm")</f>
        <v>December</v>
      </c>
    </row>
    <row r="101" spans="1:15" x14ac:dyDescent="0.3">
      <c r="A101" s="18">
        <v>100</v>
      </c>
      <c r="B101" s="19">
        <v>45093</v>
      </c>
      <c r="C101" s="20" t="s">
        <v>108</v>
      </c>
      <c r="D101" s="20" t="s">
        <v>5</v>
      </c>
      <c r="E101" s="18">
        <v>41</v>
      </c>
      <c r="F101" s="18" t="str">
        <f t="shared" si="2"/>
        <v>Adult</v>
      </c>
      <c r="G101" s="20" t="s">
        <v>11</v>
      </c>
      <c r="H101" s="18">
        <v>1</v>
      </c>
      <c r="I101" s="18">
        <v>30</v>
      </c>
      <c r="J101" s="18">
        <v>30</v>
      </c>
      <c r="K101" s="21" t="str">
        <f t="shared" si="3"/>
        <v>Low</v>
      </c>
      <c r="L101" s="18">
        <f>YEAR(B101)</f>
        <v>2023</v>
      </c>
      <c r="M101" s="18">
        <f>ROUNDUP(MONTH(B101)/3,0)</f>
        <v>2</v>
      </c>
      <c r="N101" s="20" t="str">
        <f>TEXT(B101,"dddd")</f>
        <v>Friday</v>
      </c>
      <c r="O101" s="20" t="str">
        <f>TEXT(B101,"mmmm")</f>
        <v>June</v>
      </c>
    </row>
    <row r="102" spans="1:15" x14ac:dyDescent="0.3">
      <c r="A102" s="18">
        <v>101</v>
      </c>
      <c r="B102" s="19">
        <v>44955</v>
      </c>
      <c r="C102" s="20" t="s">
        <v>109</v>
      </c>
      <c r="D102" s="20" t="s">
        <v>5</v>
      </c>
      <c r="E102" s="18">
        <v>32</v>
      </c>
      <c r="F102" s="18" t="str">
        <f t="shared" si="2"/>
        <v>Adult</v>
      </c>
      <c r="G102" s="20" t="s">
        <v>9</v>
      </c>
      <c r="H102" s="18">
        <v>2</v>
      </c>
      <c r="I102" s="18">
        <v>300</v>
      </c>
      <c r="J102" s="18">
        <v>600</v>
      </c>
      <c r="K102" s="21" t="str">
        <f t="shared" si="3"/>
        <v>Medium</v>
      </c>
      <c r="L102" s="18">
        <f>YEAR(B102)</f>
        <v>2023</v>
      </c>
      <c r="M102" s="18">
        <f>ROUNDUP(MONTH(B102)/3,0)</f>
        <v>1</v>
      </c>
      <c r="N102" s="20" t="str">
        <f>TEXT(B102,"dddd")</f>
        <v>Sunday</v>
      </c>
      <c r="O102" s="20" t="str">
        <f>TEXT(B102,"mmmm")</f>
        <v>January</v>
      </c>
    </row>
    <row r="103" spans="1:15" x14ac:dyDescent="0.3">
      <c r="A103" s="18">
        <v>102</v>
      </c>
      <c r="B103" s="19">
        <v>45044</v>
      </c>
      <c r="C103" s="20" t="s">
        <v>110</v>
      </c>
      <c r="D103" s="20" t="s">
        <v>8</v>
      </c>
      <c r="E103" s="18">
        <v>47</v>
      </c>
      <c r="F103" s="18" t="str">
        <f t="shared" si="2"/>
        <v>Adult</v>
      </c>
      <c r="G103" s="20" t="s">
        <v>6</v>
      </c>
      <c r="H103" s="18">
        <v>2</v>
      </c>
      <c r="I103" s="18">
        <v>25</v>
      </c>
      <c r="J103" s="18">
        <v>50</v>
      </c>
      <c r="K103" s="21" t="str">
        <f t="shared" si="3"/>
        <v>Low</v>
      </c>
      <c r="L103" s="18">
        <f>YEAR(B103)</f>
        <v>2023</v>
      </c>
      <c r="M103" s="18">
        <f>ROUNDUP(MONTH(B103)/3,0)</f>
        <v>2</v>
      </c>
      <c r="N103" s="20" t="str">
        <f>TEXT(B103,"dddd")</f>
        <v>Friday</v>
      </c>
      <c r="O103" s="20" t="str">
        <f>TEXT(B103,"mmmm")</f>
        <v>April</v>
      </c>
    </row>
    <row r="104" spans="1:15" x14ac:dyDescent="0.3">
      <c r="A104" s="18">
        <v>103</v>
      </c>
      <c r="B104" s="19">
        <v>44943</v>
      </c>
      <c r="C104" s="20" t="s">
        <v>111</v>
      </c>
      <c r="D104" s="20" t="s">
        <v>8</v>
      </c>
      <c r="E104" s="18">
        <v>59</v>
      </c>
      <c r="F104" s="18" t="str">
        <f t="shared" si="2"/>
        <v>Adult</v>
      </c>
      <c r="G104" s="20" t="s">
        <v>9</v>
      </c>
      <c r="H104" s="18">
        <v>1</v>
      </c>
      <c r="I104" s="18">
        <v>25</v>
      </c>
      <c r="J104" s="18">
        <v>25</v>
      </c>
      <c r="K104" s="21" t="str">
        <f t="shared" si="3"/>
        <v>Low</v>
      </c>
      <c r="L104" s="18">
        <f>YEAR(B104)</f>
        <v>2023</v>
      </c>
      <c r="M104" s="18">
        <f>ROUNDUP(MONTH(B104)/3,0)</f>
        <v>1</v>
      </c>
      <c r="N104" s="20" t="str">
        <f>TEXT(B104,"dddd")</f>
        <v>Tuesday</v>
      </c>
      <c r="O104" s="20" t="str">
        <f>TEXT(B104,"mmmm")</f>
        <v>January</v>
      </c>
    </row>
    <row r="105" spans="1:15" x14ac:dyDescent="0.3">
      <c r="A105" s="18">
        <v>104</v>
      </c>
      <c r="B105" s="19">
        <v>45088</v>
      </c>
      <c r="C105" s="20" t="s">
        <v>112</v>
      </c>
      <c r="D105" s="20" t="s">
        <v>8</v>
      </c>
      <c r="E105" s="18">
        <v>34</v>
      </c>
      <c r="F105" s="18" t="str">
        <f t="shared" si="2"/>
        <v>Adult</v>
      </c>
      <c r="G105" s="20" t="s">
        <v>6</v>
      </c>
      <c r="H105" s="18">
        <v>2</v>
      </c>
      <c r="I105" s="18">
        <v>500</v>
      </c>
      <c r="J105" s="18">
        <v>1000</v>
      </c>
      <c r="K105" s="21" t="str">
        <f t="shared" si="3"/>
        <v>Medium</v>
      </c>
      <c r="L105" s="18">
        <f>YEAR(B105)</f>
        <v>2023</v>
      </c>
      <c r="M105" s="18">
        <f>ROUNDUP(MONTH(B105)/3,0)</f>
        <v>2</v>
      </c>
      <c r="N105" s="20" t="str">
        <f>TEXT(B105,"dddd")</f>
        <v>Sunday</v>
      </c>
      <c r="O105" s="20" t="str">
        <f>TEXT(B105,"mmmm")</f>
        <v>June</v>
      </c>
    </row>
    <row r="106" spans="1:15" x14ac:dyDescent="0.3">
      <c r="A106" s="18">
        <v>105</v>
      </c>
      <c r="B106" s="19">
        <v>45132</v>
      </c>
      <c r="C106" s="20" t="s">
        <v>113</v>
      </c>
      <c r="D106" s="20" t="s">
        <v>8</v>
      </c>
      <c r="E106" s="18">
        <v>22</v>
      </c>
      <c r="F106" s="18" t="str">
        <f t="shared" si="2"/>
        <v>Young</v>
      </c>
      <c r="G106" s="20" t="s">
        <v>11</v>
      </c>
      <c r="H106" s="18">
        <v>1</v>
      </c>
      <c r="I106" s="18">
        <v>500</v>
      </c>
      <c r="J106" s="18">
        <v>500</v>
      </c>
      <c r="K106" s="21" t="str">
        <f t="shared" si="3"/>
        <v>Low</v>
      </c>
      <c r="L106" s="18">
        <f>YEAR(B106)</f>
        <v>2023</v>
      </c>
      <c r="M106" s="18">
        <f>ROUNDUP(MONTH(B106)/3,0)</f>
        <v>3</v>
      </c>
      <c r="N106" s="20" t="str">
        <f>TEXT(B106,"dddd")</f>
        <v>Tuesday</v>
      </c>
      <c r="O106" s="20" t="str">
        <f>TEXT(B106,"mmmm")</f>
        <v>July</v>
      </c>
    </row>
    <row r="107" spans="1:15" x14ac:dyDescent="0.3">
      <c r="A107" s="18">
        <v>106</v>
      </c>
      <c r="B107" s="19">
        <v>45064</v>
      </c>
      <c r="C107" s="20" t="s">
        <v>114</v>
      </c>
      <c r="D107" s="20" t="s">
        <v>8</v>
      </c>
      <c r="E107" s="18">
        <v>46</v>
      </c>
      <c r="F107" s="18" t="str">
        <f t="shared" si="2"/>
        <v>Adult</v>
      </c>
      <c r="G107" s="20" t="s">
        <v>9</v>
      </c>
      <c r="H107" s="18">
        <v>1</v>
      </c>
      <c r="I107" s="18">
        <v>50</v>
      </c>
      <c r="J107" s="18">
        <v>50</v>
      </c>
      <c r="K107" s="21" t="str">
        <f t="shared" si="3"/>
        <v>Low</v>
      </c>
      <c r="L107" s="18">
        <f>YEAR(B107)</f>
        <v>2023</v>
      </c>
      <c r="M107" s="18">
        <f>ROUNDUP(MONTH(B107)/3,0)</f>
        <v>2</v>
      </c>
      <c r="N107" s="20" t="str">
        <f>TEXT(B107,"dddd")</f>
        <v>Thursday</v>
      </c>
      <c r="O107" s="20" t="str">
        <f>TEXT(B107,"mmmm")</f>
        <v>May</v>
      </c>
    </row>
    <row r="108" spans="1:15" x14ac:dyDescent="0.3">
      <c r="A108" s="18">
        <v>107</v>
      </c>
      <c r="B108" s="19">
        <v>44960</v>
      </c>
      <c r="C108" s="20" t="s">
        <v>115</v>
      </c>
      <c r="D108" s="20" t="s">
        <v>8</v>
      </c>
      <c r="E108" s="18">
        <v>21</v>
      </c>
      <c r="F108" s="18" t="str">
        <f t="shared" si="2"/>
        <v>Young</v>
      </c>
      <c r="G108" s="20" t="s">
        <v>9</v>
      </c>
      <c r="H108" s="18">
        <v>4</v>
      </c>
      <c r="I108" s="18">
        <v>300</v>
      </c>
      <c r="J108" s="18">
        <v>1200</v>
      </c>
      <c r="K108" s="21" t="str">
        <f t="shared" si="3"/>
        <v>Medium</v>
      </c>
      <c r="L108" s="18">
        <f>YEAR(B108)</f>
        <v>2023</v>
      </c>
      <c r="M108" s="18">
        <f>ROUNDUP(MONTH(B108)/3,0)</f>
        <v>1</v>
      </c>
      <c r="N108" s="20" t="str">
        <f>TEXT(B108,"dddd")</f>
        <v>Friday</v>
      </c>
      <c r="O108" s="20" t="str">
        <f>TEXT(B108,"mmmm")</f>
        <v>February</v>
      </c>
    </row>
    <row r="109" spans="1:15" x14ac:dyDescent="0.3">
      <c r="A109" s="18">
        <v>108</v>
      </c>
      <c r="B109" s="19">
        <v>45035</v>
      </c>
      <c r="C109" s="20" t="s">
        <v>116</v>
      </c>
      <c r="D109" s="20" t="s">
        <v>8</v>
      </c>
      <c r="E109" s="18">
        <v>27</v>
      </c>
      <c r="F109" s="18" t="str">
        <f t="shared" si="2"/>
        <v>Young</v>
      </c>
      <c r="G109" s="20" t="s">
        <v>6</v>
      </c>
      <c r="H109" s="18">
        <v>3</v>
      </c>
      <c r="I109" s="18">
        <v>25</v>
      </c>
      <c r="J109" s="18">
        <v>75</v>
      </c>
      <c r="K109" s="21" t="str">
        <f t="shared" si="3"/>
        <v>Low</v>
      </c>
      <c r="L109" s="18">
        <f>YEAR(B109)</f>
        <v>2023</v>
      </c>
      <c r="M109" s="18">
        <f>ROUNDUP(MONTH(B109)/3,0)</f>
        <v>2</v>
      </c>
      <c r="N109" s="20" t="str">
        <f>TEXT(B109,"dddd")</f>
        <v>Wednesday</v>
      </c>
      <c r="O109" s="20" t="str">
        <f>TEXT(B109,"mmmm")</f>
        <v>April</v>
      </c>
    </row>
    <row r="110" spans="1:15" x14ac:dyDescent="0.3">
      <c r="A110" s="18">
        <v>109</v>
      </c>
      <c r="B110" s="19">
        <v>45217</v>
      </c>
      <c r="C110" s="20" t="s">
        <v>117</v>
      </c>
      <c r="D110" s="20" t="s">
        <v>8</v>
      </c>
      <c r="E110" s="18">
        <v>34</v>
      </c>
      <c r="F110" s="18" t="str">
        <f t="shared" si="2"/>
        <v>Adult</v>
      </c>
      <c r="G110" s="20" t="s">
        <v>11</v>
      </c>
      <c r="H110" s="18">
        <v>4</v>
      </c>
      <c r="I110" s="18">
        <v>500</v>
      </c>
      <c r="J110" s="18">
        <v>2000</v>
      </c>
      <c r="K110" s="21" t="str">
        <f t="shared" si="3"/>
        <v>High</v>
      </c>
      <c r="L110" s="18">
        <f>YEAR(B110)</f>
        <v>2023</v>
      </c>
      <c r="M110" s="18">
        <f>ROUNDUP(MONTH(B110)/3,0)</f>
        <v>4</v>
      </c>
      <c r="N110" s="20" t="str">
        <f>TEXT(B110,"dddd")</f>
        <v>Wednesday</v>
      </c>
      <c r="O110" s="20" t="str">
        <f>TEXT(B110,"mmmm")</f>
        <v>October</v>
      </c>
    </row>
    <row r="111" spans="1:15" x14ac:dyDescent="0.3">
      <c r="A111" s="18">
        <v>110</v>
      </c>
      <c r="B111" s="19">
        <v>45088</v>
      </c>
      <c r="C111" s="20" t="s">
        <v>118</v>
      </c>
      <c r="D111" s="20" t="s">
        <v>5</v>
      </c>
      <c r="E111" s="18">
        <v>27</v>
      </c>
      <c r="F111" s="18" t="str">
        <f t="shared" si="2"/>
        <v>Young</v>
      </c>
      <c r="G111" s="20" t="s">
        <v>9</v>
      </c>
      <c r="H111" s="18">
        <v>3</v>
      </c>
      <c r="I111" s="18">
        <v>300</v>
      </c>
      <c r="J111" s="18">
        <v>900</v>
      </c>
      <c r="K111" s="21" t="str">
        <f t="shared" si="3"/>
        <v>Medium</v>
      </c>
      <c r="L111" s="18">
        <f>YEAR(B111)</f>
        <v>2023</v>
      </c>
      <c r="M111" s="18">
        <f>ROUNDUP(MONTH(B111)/3,0)</f>
        <v>2</v>
      </c>
      <c r="N111" s="20" t="str">
        <f>TEXT(B111,"dddd")</f>
        <v>Sunday</v>
      </c>
      <c r="O111" s="20" t="str">
        <f>TEXT(B111,"mmmm")</f>
        <v>June</v>
      </c>
    </row>
    <row r="112" spans="1:15" x14ac:dyDescent="0.3">
      <c r="A112" s="18">
        <v>111</v>
      </c>
      <c r="B112" s="19">
        <v>45035</v>
      </c>
      <c r="C112" s="20" t="s">
        <v>119</v>
      </c>
      <c r="D112" s="20" t="s">
        <v>8</v>
      </c>
      <c r="E112" s="18">
        <v>34</v>
      </c>
      <c r="F112" s="18" t="str">
        <f t="shared" si="2"/>
        <v>Adult</v>
      </c>
      <c r="G112" s="20" t="s">
        <v>11</v>
      </c>
      <c r="H112" s="18">
        <v>3</v>
      </c>
      <c r="I112" s="18">
        <v>500</v>
      </c>
      <c r="J112" s="18">
        <v>1500</v>
      </c>
      <c r="K112" s="21" t="str">
        <f t="shared" si="3"/>
        <v>Medium</v>
      </c>
      <c r="L112" s="18">
        <f>YEAR(B112)</f>
        <v>2023</v>
      </c>
      <c r="M112" s="18">
        <f>ROUNDUP(MONTH(B112)/3,0)</f>
        <v>2</v>
      </c>
      <c r="N112" s="20" t="str">
        <f>TEXT(B112,"dddd")</f>
        <v>Wednesday</v>
      </c>
      <c r="O112" s="20" t="str">
        <f>TEXT(B112,"mmmm")</f>
        <v>April</v>
      </c>
    </row>
    <row r="113" spans="1:15" x14ac:dyDescent="0.3">
      <c r="A113" s="18">
        <v>112</v>
      </c>
      <c r="B113" s="19">
        <v>45262</v>
      </c>
      <c r="C113" s="20" t="s">
        <v>120</v>
      </c>
      <c r="D113" s="20" t="s">
        <v>5</v>
      </c>
      <c r="E113" s="18">
        <v>37</v>
      </c>
      <c r="F113" s="18" t="str">
        <f t="shared" si="2"/>
        <v>Adult</v>
      </c>
      <c r="G113" s="20" t="s">
        <v>9</v>
      </c>
      <c r="H113" s="18">
        <v>3</v>
      </c>
      <c r="I113" s="18">
        <v>500</v>
      </c>
      <c r="J113" s="18">
        <v>1500</v>
      </c>
      <c r="K113" s="21" t="str">
        <f t="shared" si="3"/>
        <v>Medium</v>
      </c>
      <c r="L113" s="18">
        <f>YEAR(B113)</f>
        <v>2023</v>
      </c>
      <c r="M113" s="18">
        <f>ROUNDUP(MONTH(B113)/3,0)</f>
        <v>4</v>
      </c>
      <c r="N113" s="20" t="str">
        <f>TEXT(B113,"dddd")</f>
        <v>Saturday</v>
      </c>
      <c r="O113" s="20" t="str">
        <f>TEXT(B113,"mmmm")</f>
        <v>December</v>
      </c>
    </row>
    <row r="114" spans="1:15" x14ac:dyDescent="0.3">
      <c r="A114" s="18">
        <v>113</v>
      </c>
      <c r="B114" s="19">
        <v>45182</v>
      </c>
      <c r="C114" s="20" t="s">
        <v>121</v>
      </c>
      <c r="D114" s="20" t="s">
        <v>8</v>
      </c>
      <c r="E114" s="18">
        <v>41</v>
      </c>
      <c r="F114" s="18" t="str">
        <f t="shared" si="2"/>
        <v>Adult</v>
      </c>
      <c r="G114" s="20" t="s">
        <v>11</v>
      </c>
      <c r="H114" s="18">
        <v>2</v>
      </c>
      <c r="I114" s="18">
        <v>25</v>
      </c>
      <c r="J114" s="18">
        <v>50</v>
      </c>
      <c r="K114" s="21" t="str">
        <f t="shared" si="3"/>
        <v>Low</v>
      </c>
      <c r="L114" s="18">
        <f>YEAR(B114)</f>
        <v>2023</v>
      </c>
      <c r="M114" s="18">
        <f>ROUNDUP(MONTH(B114)/3,0)</f>
        <v>3</v>
      </c>
      <c r="N114" s="20" t="str">
        <f>TEXT(B114,"dddd")</f>
        <v>Wednesday</v>
      </c>
      <c r="O114" s="20" t="str">
        <f>TEXT(B114,"mmmm")</f>
        <v>September</v>
      </c>
    </row>
    <row r="115" spans="1:15" x14ac:dyDescent="0.3">
      <c r="A115" s="18">
        <v>114</v>
      </c>
      <c r="B115" s="19">
        <v>45129</v>
      </c>
      <c r="C115" s="20" t="s">
        <v>122</v>
      </c>
      <c r="D115" s="20" t="s">
        <v>8</v>
      </c>
      <c r="E115" s="18">
        <v>22</v>
      </c>
      <c r="F115" s="18" t="str">
        <f t="shared" si="2"/>
        <v>Young</v>
      </c>
      <c r="G115" s="20" t="s">
        <v>6</v>
      </c>
      <c r="H115" s="18">
        <v>4</v>
      </c>
      <c r="I115" s="18">
        <v>25</v>
      </c>
      <c r="J115" s="18">
        <v>100</v>
      </c>
      <c r="K115" s="21" t="str">
        <f t="shared" si="3"/>
        <v>Low</v>
      </c>
      <c r="L115" s="18">
        <f>YEAR(B115)</f>
        <v>2023</v>
      </c>
      <c r="M115" s="18">
        <f>ROUNDUP(MONTH(B115)/3,0)</f>
        <v>3</v>
      </c>
      <c r="N115" s="20" t="str">
        <f>TEXT(B115,"dddd")</f>
        <v>Saturday</v>
      </c>
      <c r="O115" s="20" t="str">
        <f>TEXT(B115,"mmmm")</f>
        <v>July</v>
      </c>
    </row>
    <row r="116" spans="1:15" x14ac:dyDescent="0.3">
      <c r="A116" s="18">
        <v>115</v>
      </c>
      <c r="B116" s="19">
        <v>45256</v>
      </c>
      <c r="C116" s="20" t="s">
        <v>123</v>
      </c>
      <c r="D116" s="20" t="s">
        <v>5</v>
      </c>
      <c r="E116" s="18">
        <v>51</v>
      </c>
      <c r="F116" s="18" t="str">
        <f t="shared" si="2"/>
        <v>Adult</v>
      </c>
      <c r="G116" s="20" t="s">
        <v>9</v>
      </c>
      <c r="H116" s="18">
        <v>3</v>
      </c>
      <c r="I116" s="18">
        <v>500</v>
      </c>
      <c r="J116" s="18">
        <v>1500</v>
      </c>
      <c r="K116" s="21" t="str">
        <f t="shared" si="3"/>
        <v>Medium</v>
      </c>
      <c r="L116" s="18">
        <f>YEAR(B116)</f>
        <v>2023</v>
      </c>
      <c r="M116" s="18">
        <f>ROUNDUP(MONTH(B116)/3,0)</f>
        <v>4</v>
      </c>
      <c r="N116" s="20" t="str">
        <f>TEXT(B116,"dddd")</f>
        <v>Sunday</v>
      </c>
      <c r="O116" s="20" t="str">
        <f>TEXT(B116,"mmmm")</f>
        <v>November</v>
      </c>
    </row>
    <row r="117" spans="1:15" x14ac:dyDescent="0.3">
      <c r="A117" s="18">
        <v>116</v>
      </c>
      <c r="B117" s="19">
        <v>45161</v>
      </c>
      <c r="C117" s="20" t="s">
        <v>124</v>
      </c>
      <c r="D117" s="20" t="s">
        <v>8</v>
      </c>
      <c r="E117" s="18">
        <v>23</v>
      </c>
      <c r="F117" s="18" t="str">
        <f t="shared" si="2"/>
        <v>Young</v>
      </c>
      <c r="G117" s="20" t="s">
        <v>9</v>
      </c>
      <c r="H117" s="18">
        <v>1</v>
      </c>
      <c r="I117" s="18">
        <v>30</v>
      </c>
      <c r="J117" s="18">
        <v>30</v>
      </c>
      <c r="K117" s="21" t="str">
        <f t="shared" si="3"/>
        <v>Low</v>
      </c>
      <c r="L117" s="18">
        <f>YEAR(B117)</f>
        <v>2023</v>
      </c>
      <c r="M117" s="18">
        <f>ROUNDUP(MONTH(B117)/3,0)</f>
        <v>3</v>
      </c>
      <c r="N117" s="20" t="str">
        <f>TEXT(B117,"dddd")</f>
        <v>Wednesday</v>
      </c>
      <c r="O117" s="20" t="str">
        <f>TEXT(B117,"mmmm")</f>
        <v>August</v>
      </c>
    </row>
    <row r="118" spans="1:15" x14ac:dyDescent="0.3">
      <c r="A118" s="18">
        <v>117</v>
      </c>
      <c r="B118" s="19">
        <v>45000</v>
      </c>
      <c r="C118" s="20" t="s">
        <v>125</v>
      </c>
      <c r="D118" s="20" t="s">
        <v>5</v>
      </c>
      <c r="E118" s="18">
        <v>19</v>
      </c>
      <c r="F118" s="18" t="str">
        <f t="shared" si="2"/>
        <v>Young</v>
      </c>
      <c r="G118" s="20" t="s">
        <v>11</v>
      </c>
      <c r="H118" s="18">
        <v>2</v>
      </c>
      <c r="I118" s="18">
        <v>500</v>
      </c>
      <c r="J118" s="18">
        <v>1000</v>
      </c>
      <c r="K118" s="21" t="str">
        <f t="shared" si="3"/>
        <v>Medium</v>
      </c>
      <c r="L118" s="18">
        <f>YEAR(B118)</f>
        <v>2023</v>
      </c>
      <c r="M118" s="18">
        <f>ROUNDUP(MONTH(B118)/3,0)</f>
        <v>1</v>
      </c>
      <c r="N118" s="20" t="str">
        <f>TEXT(B118,"dddd")</f>
        <v>Wednesday</v>
      </c>
      <c r="O118" s="20" t="str">
        <f>TEXT(B118,"mmmm")</f>
        <v>March</v>
      </c>
    </row>
    <row r="119" spans="1:15" x14ac:dyDescent="0.3">
      <c r="A119" s="18">
        <v>118</v>
      </c>
      <c r="B119" s="19">
        <v>45062</v>
      </c>
      <c r="C119" s="20" t="s">
        <v>126</v>
      </c>
      <c r="D119" s="20" t="s">
        <v>8</v>
      </c>
      <c r="E119" s="18">
        <v>30</v>
      </c>
      <c r="F119" s="18" t="str">
        <f t="shared" si="2"/>
        <v>Young</v>
      </c>
      <c r="G119" s="20" t="s">
        <v>11</v>
      </c>
      <c r="H119" s="18">
        <v>4</v>
      </c>
      <c r="I119" s="18">
        <v>500</v>
      </c>
      <c r="J119" s="18">
        <v>2000</v>
      </c>
      <c r="K119" s="21" t="str">
        <f t="shared" si="3"/>
        <v>High</v>
      </c>
      <c r="L119" s="18">
        <f>YEAR(B119)</f>
        <v>2023</v>
      </c>
      <c r="M119" s="18">
        <f>ROUNDUP(MONTH(B119)/3,0)</f>
        <v>2</v>
      </c>
      <c r="N119" s="20" t="str">
        <f>TEXT(B119,"dddd")</f>
        <v>Tuesday</v>
      </c>
      <c r="O119" s="20" t="str">
        <f>TEXT(B119,"mmmm")</f>
        <v>May</v>
      </c>
    </row>
    <row r="120" spans="1:15" x14ac:dyDescent="0.3">
      <c r="A120" s="18">
        <v>119</v>
      </c>
      <c r="B120" s="19">
        <v>44998</v>
      </c>
      <c r="C120" s="20" t="s">
        <v>127</v>
      </c>
      <c r="D120" s="20" t="s">
        <v>8</v>
      </c>
      <c r="E120" s="18">
        <v>60</v>
      </c>
      <c r="F120" s="18" t="str">
        <f t="shared" si="2"/>
        <v>Adult</v>
      </c>
      <c r="G120" s="20" t="s">
        <v>9</v>
      </c>
      <c r="H120" s="18">
        <v>3</v>
      </c>
      <c r="I120" s="18">
        <v>50</v>
      </c>
      <c r="J120" s="18">
        <v>150</v>
      </c>
      <c r="K120" s="21" t="str">
        <f t="shared" si="3"/>
        <v>Low</v>
      </c>
      <c r="L120" s="18">
        <f>YEAR(B120)</f>
        <v>2023</v>
      </c>
      <c r="M120" s="18">
        <f>ROUNDUP(MONTH(B120)/3,0)</f>
        <v>1</v>
      </c>
      <c r="N120" s="20" t="str">
        <f>TEXT(B120,"dddd")</f>
        <v>Monday</v>
      </c>
      <c r="O120" s="20" t="str">
        <f>TEXT(B120,"mmmm")</f>
        <v>March</v>
      </c>
    </row>
    <row r="121" spans="1:15" x14ac:dyDescent="0.3">
      <c r="A121" s="18">
        <v>120</v>
      </c>
      <c r="B121" s="19">
        <v>45053</v>
      </c>
      <c r="C121" s="20" t="s">
        <v>128</v>
      </c>
      <c r="D121" s="20" t="s">
        <v>5</v>
      </c>
      <c r="E121" s="18">
        <v>60</v>
      </c>
      <c r="F121" s="18" t="str">
        <f t="shared" si="2"/>
        <v>Adult</v>
      </c>
      <c r="G121" s="20" t="s">
        <v>6</v>
      </c>
      <c r="H121" s="18">
        <v>1</v>
      </c>
      <c r="I121" s="18">
        <v>50</v>
      </c>
      <c r="J121" s="18">
        <v>50</v>
      </c>
      <c r="K121" s="21" t="str">
        <f t="shared" si="3"/>
        <v>Low</v>
      </c>
      <c r="L121" s="18">
        <f>YEAR(B121)</f>
        <v>2023</v>
      </c>
      <c r="M121" s="18">
        <f>ROUNDUP(MONTH(B121)/3,0)</f>
        <v>2</v>
      </c>
      <c r="N121" s="20" t="str">
        <f>TEXT(B121,"dddd")</f>
        <v>Sunday</v>
      </c>
      <c r="O121" s="20" t="str">
        <f>TEXT(B121,"mmmm")</f>
        <v>May</v>
      </c>
    </row>
    <row r="122" spans="1:15" x14ac:dyDescent="0.3">
      <c r="A122" s="18">
        <v>121</v>
      </c>
      <c r="B122" s="19">
        <v>45214</v>
      </c>
      <c r="C122" s="20" t="s">
        <v>129</v>
      </c>
      <c r="D122" s="20" t="s">
        <v>8</v>
      </c>
      <c r="E122" s="18">
        <v>28</v>
      </c>
      <c r="F122" s="18" t="str">
        <f t="shared" si="2"/>
        <v>Young</v>
      </c>
      <c r="G122" s="20" t="s">
        <v>11</v>
      </c>
      <c r="H122" s="18">
        <v>4</v>
      </c>
      <c r="I122" s="18">
        <v>50</v>
      </c>
      <c r="J122" s="18">
        <v>200</v>
      </c>
      <c r="K122" s="21" t="str">
        <f t="shared" si="3"/>
        <v>Low</v>
      </c>
      <c r="L122" s="18">
        <f>YEAR(B122)</f>
        <v>2023</v>
      </c>
      <c r="M122" s="18">
        <f>ROUNDUP(MONTH(B122)/3,0)</f>
        <v>4</v>
      </c>
      <c r="N122" s="20" t="str">
        <f>TEXT(B122,"dddd")</f>
        <v>Sunday</v>
      </c>
      <c r="O122" s="20" t="str">
        <f>TEXT(B122,"mmmm")</f>
        <v>October</v>
      </c>
    </row>
    <row r="123" spans="1:15" x14ac:dyDescent="0.3">
      <c r="A123" s="18">
        <v>122</v>
      </c>
      <c r="B123" s="19">
        <v>45202</v>
      </c>
      <c r="C123" s="20" t="s">
        <v>130</v>
      </c>
      <c r="D123" s="20" t="s">
        <v>5</v>
      </c>
      <c r="E123" s="18">
        <v>64</v>
      </c>
      <c r="F123" s="18" t="str">
        <f t="shared" si="2"/>
        <v>Senior</v>
      </c>
      <c r="G123" s="20" t="s">
        <v>11</v>
      </c>
      <c r="H123" s="18">
        <v>4</v>
      </c>
      <c r="I123" s="18">
        <v>30</v>
      </c>
      <c r="J123" s="18">
        <v>120</v>
      </c>
      <c r="K123" s="21" t="str">
        <f t="shared" si="3"/>
        <v>Low</v>
      </c>
      <c r="L123" s="18">
        <f>YEAR(B123)</f>
        <v>2023</v>
      </c>
      <c r="M123" s="18">
        <f>ROUNDUP(MONTH(B123)/3,0)</f>
        <v>4</v>
      </c>
      <c r="N123" s="20" t="str">
        <f>TEXT(B123,"dddd")</f>
        <v>Tuesday</v>
      </c>
      <c r="O123" s="20" t="str">
        <f>TEXT(B123,"mmmm")</f>
        <v>October</v>
      </c>
    </row>
    <row r="124" spans="1:15" x14ac:dyDescent="0.3">
      <c r="A124" s="18">
        <v>123</v>
      </c>
      <c r="B124" s="19">
        <v>45061</v>
      </c>
      <c r="C124" s="20" t="s">
        <v>131</v>
      </c>
      <c r="D124" s="20" t="s">
        <v>8</v>
      </c>
      <c r="E124" s="18">
        <v>40</v>
      </c>
      <c r="F124" s="18" t="str">
        <f t="shared" si="2"/>
        <v>Adult</v>
      </c>
      <c r="G124" s="20" t="s">
        <v>11</v>
      </c>
      <c r="H124" s="18">
        <v>2</v>
      </c>
      <c r="I124" s="18">
        <v>30</v>
      </c>
      <c r="J124" s="18">
        <v>60</v>
      </c>
      <c r="K124" s="21" t="str">
        <f t="shared" si="3"/>
        <v>Low</v>
      </c>
      <c r="L124" s="18">
        <f>YEAR(B124)</f>
        <v>2023</v>
      </c>
      <c r="M124" s="18">
        <f>ROUNDUP(MONTH(B124)/3,0)</f>
        <v>2</v>
      </c>
      <c r="N124" s="20" t="str">
        <f>TEXT(B124,"dddd")</f>
        <v>Monday</v>
      </c>
      <c r="O124" s="20" t="str">
        <f>TEXT(B124,"mmmm")</f>
        <v>May</v>
      </c>
    </row>
    <row r="125" spans="1:15" x14ac:dyDescent="0.3">
      <c r="A125" s="18">
        <v>124</v>
      </c>
      <c r="B125" s="19">
        <v>45226</v>
      </c>
      <c r="C125" s="20" t="s">
        <v>132</v>
      </c>
      <c r="D125" s="20" t="s">
        <v>5</v>
      </c>
      <c r="E125" s="18">
        <v>33</v>
      </c>
      <c r="F125" s="18" t="str">
        <f t="shared" si="2"/>
        <v>Adult</v>
      </c>
      <c r="G125" s="20" t="s">
        <v>9</v>
      </c>
      <c r="H125" s="18">
        <v>4</v>
      </c>
      <c r="I125" s="18">
        <v>500</v>
      </c>
      <c r="J125" s="18">
        <v>2000</v>
      </c>
      <c r="K125" s="21" t="str">
        <f t="shared" si="3"/>
        <v>High</v>
      </c>
      <c r="L125" s="18">
        <f>YEAR(B125)</f>
        <v>2023</v>
      </c>
      <c r="M125" s="18">
        <f>ROUNDUP(MONTH(B125)/3,0)</f>
        <v>4</v>
      </c>
      <c r="N125" s="20" t="str">
        <f>TEXT(B125,"dddd")</f>
        <v>Friday</v>
      </c>
      <c r="O125" s="20" t="str">
        <f>TEXT(B125,"mmmm")</f>
        <v>October</v>
      </c>
    </row>
    <row r="126" spans="1:15" x14ac:dyDescent="0.3">
      <c r="A126" s="18">
        <v>125</v>
      </c>
      <c r="B126" s="19">
        <v>45146</v>
      </c>
      <c r="C126" s="20" t="s">
        <v>133</v>
      </c>
      <c r="D126" s="20" t="s">
        <v>5</v>
      </c>
      <c r="E126" s="18">
        <v>48</v>
      </c>
      <c r="F126" s="18" t="str">
        <f t="shared" si="2"/>
        <v>Adult</v>
      </c>
      <c r="G126" s="20" t="s">
        <v>9</v>
      </c>
      <c r="H126" s="18">
        <v>2</v>
      </c>
      <c r="I126" s="18">
        <v>50</v>
      </c>
      <c r="J126" s="18">
        <v>100</v>
      </c>
      <c r="K126" s="21" t="str">
        <f t="shared" si="3"/>
        <v>Low</v>
      </c>
      <c r="L126" s="18">
        <f>YEAR(B126)</f>
        <v>2023</v>
      </c>
      <c r="M126" s="18">
        <f>ROUNDUP(MONTH(B126)/3,0)</f>
        <v>3</v>
      </c>
      <c r="N126" s="20" t="str">
        <f>TEXT(B126,"dddd")</f>
        <v>Tuesday</v>
      </c>
      <c r="O126" s="20" t="str">
        <f>TEXT(B126,"mmmm")</f>
        <v>August</v>
      </c>
    </row>
    <row r="127" spans="1:15" x14ac:dyDescent="0.3">
      <c r="A127" s="18">
        <v>126</v>
      </c>
      <c r="B127" s="19">
        <v>45225</v>
      </c>
      <c r="C127" s="20" t="s">
        <v>134</v>
      </c>
      <c r="D127" s="20" t="s">
        <v>8</v>
      </c>
      <c r="E127" s="18">
        <v>28</v>
      </c>
      <c r="F127" s="18" t="str">
        <f t="shared" si="2"/>
        <v>Young</v>
      </c>
      <c r="G127" s="20" t="s">
        <v>9</v>
      </c>
      <c r="H127" s="18">
        <v>3</v>
      </c>
      <c r="I127" s="18">
        <v>30</v>
      </c>
      <c r="J127" s="18">
        <v>90</v>
      </c>
      <c r="K127" s="21" t="str">
        <f t="shared" si="3"/>
        <v>Low</v>
      </c>
      <c r="L127" s="18">
        <f>YEAR(B127)</f>
        <v>2023</v>
      </c>
      <c r="M127" s="18">
        <f>ROUNDUP(MONTH(B127)/3,0)</f>
        <v>4</v>
      </c>
      <c r="N127" s="20" t="str">
        <f>TEXT(B127,"dddd")</f>
        <v>Thursday</v>
      </c>
      <c r="O127" s="20" t="str">
        <f>TEXT(B127,"mmmm")</f>
        <v>October</v>
      </c>
    </row>
    <row r="128" spans="1:15" x14ac:dyDescent="0.3">
      <c r="A128" s="18">
        <v>127</v>
      </c>
      <c r="B128" s="19">
        <v>45131</v>
      </c>
      <c r="C128" s="20" t="s">
        <v>135</v>
      </c>
      <c r="D128" s="20" t="s">
        <v>8</v>
      </c>
      <c r="E128" s="18">
        <v>33</v>
      </c>
      <c r="F128" s="18" t="str">
        <f t="shared" si="2"/>
        <v>Adult</v>
      </c>
      <c r="G128" s="20" t="s">
        <v>9</v>
      </c>
      <c r="H128" s="18">
        <v>2</v>
      </c>
      <c r="I128" s="18">
        <v>25</v>
      </c>
      <c r="J128" s="18">
        <v>50</v>
      </c>
      <c r="K128" s="21" t="str">
        <f t="shared" si="3"/>
        <v>Low</v>
      </c>
      <c r="L128" s="18">
        <f>YEAR(B128)</f>
        <v>2023</v>
      </c>
      <c r="M128" s="18">
        <f>ROUNDUP(MONTH(B128)/3,0)</f>
        <v>3</v>
      </c>
      <c r="N128" s="20" t="str">
        <f>TEXT(B128,"dddd")</f>
        <v>Monday</v>
      </c>
      <c r="O128" s="20" t="str">
        <f>TEXT(B128,"mmmm")</f>
        <v>July</v>
      </c>
    </row>
    <row r="129" spans="1:15" x14ac:dyDescent="0.3">
      <c r="A129" s="18">
        <v>128</v>
      </c>
      <c r="B129" s="19">
        <v>45112</v>
      </c>
      <c r="C129" s="20" t="s">
        <v>136</v>
      </c>
      <c r="D129" s="20" t="s">
        <v>5</v>
      </c>
      <c r="E129" s="18">
        <v>25</v>
      </c>
      <c r="F129" s="18" t="str">
        <f t="shared" si="2"/>
        <v>Young</v>
      </c>
      <c r="G129" s="20" t="s">
        <v>6</v>
      </c>
      <c r="H129" s="18">
        <v>1</v>
      </c>
      <c r="I129" s="18">
        <v>500</v>
      </c>
      <c r="J129" s="18">
        <v>500</v>
      </c>
      <c r="K129" s="21" t="str">
        <f t="shared" si="3"/>
        <v>Low</v>
      </c>
      <c r="L129" s="18">
        <f>YEAR(B129)</f>
        <v>2023</v>
      </c>
      <c r="M129" s="18">
        <f>ROUNDUP(MONTH(B129)/3,0)</f>
        <v>3</v>
      </c>
      <c r="N129" s="20" t="str">
        <f>TEXT(B129,"dddd")</f>
        <v>Wednesday</v>
      </c>
      <c r="O129" s="20" t="str">
        <f>TEXT(B129,"mmmm")</f>
        <v>July</v>
      </c>
    </row>
    <row r="130" spans="1:15" x14ac:dyDescent="0.3">
      <c r="A130" s="18">
        <v>129</v>
      </c>
      <c r="B130" s="19">
        <v>45039</v>
      </c>
      <c r="C130" s="20" t="s">
        <v>137</v>
      </c>
      <c r="D130" s="20" t="s">
        <v>8</v>
      </c>
      <c r="E130" s="18">
        <v>21</v>
      </c>
      <c r="F130" s="18" t="str">
        <f t="shared" si="2"/>
        <v>Young</v>
      </c>
      <c r="G130" s="20" t="s">
        <v>6</v>
      </c>
      <c r="H130" s="18">
        <v>2</v>
      </c>
      <c r="I130" s="18">
        <v>300</v>
      </c>
      <c r="J130" s="18">
        <v>600</v>
      </c>
      <c r="K130" s="21" t="str">
        <f t="shared" si="3"/>
        <v>Medium</v>
      </c>
      <c r="L130" s="18">
        <f>YEAR(B130)</f>
        <v>2023</v>
      </c>
      <c r="M130" s="18">
        <f>ROUNDUP(MONTH(B130)/3,0)</f>
        <v>2</v>
      </c>
      <c r="N130" s="20" t="str">
        <f>TEXT(B130,"dddd")</f>
        <v>Sunday</v>
      </c>
      <c r="O130" s="20" t="str">
        <f>TEXT(B130,"mmmm")</f>
        <v>April</v>
      </c>
    </row>
    <row r="131" spans="1:15" x14ac:dyDescent="0.3">
      <c r="A131" s="18">
        <v>130</v>
      </c>
      <c r="B131" s="19">
        <v>44997</v>
      </c>
      <c r="C131" s="20" t="s">
        <v>138</v>
      </c>
      <c r="D131" s="20" t="s">
        <v>8</v>
      </c>
      <c r="E131" s="18">
        <v>57</v>
      </c>
      <c r="F131" s="18" t="str">
        <f t="shared" ref="F131:F194" si="4">IF(E131&gt;60,"Senior",IF(E131&gt;30,"Adult","Young"))</f>
        <v>Adult</v>
      </c>
      <c r="G131" s="20" t="s">
        <v>9</v>
      </c>
      <c r="H131" s="18">
        <v>1</v>
      </c>
      <c r="I131" s="18">
        <v>500</v>
      </c>
      <c r="J131" s="18">
        <v>500</v>
      </c>
      <c r="K131" s="21" t="str">
        <f t="shared" ref="K131:K194" si="5">IF(J131&gt;1500,"High",IF(J131&gt;500,"Medium","Low"))</f>
        <v>Low</v>
      </c>
      <c r="L131" s="18">
        <f>YEAR(B131)</f>
        <v>2023</v>
      </c>
      <c r="M131" s="18">
        <f>ROUNDUP(MONTH(B131)/3,0)</f>
        <v>1</v>
      </c>
      <c r="N131" s="20" t="str">
        <f>TEXT(B131,"dddd")</f>
        <v>Sunday</v>
      </c>
      <c r="O131" s="20" t="str">
        <f>TEXT(B131,"mmmm")</f>
        <v>March</v>
      </c>
    </row>
    <row r="132" spans="1:15" x14ac:dyDescent="0.3">
      <c r="A132" s="18">
        <v>131</v>
      </c>
      <c r="B132" s="19">
        <v>45187</v>
      </c>
      <c r="C132" s="20" t="s">
        <v>139</v>
      </c>
      <c r="D132" s="20" t="s">
        <v>8</v>
      </c>
      <c r="E132" s="18">
        <v>21</v>
      </c>
      <c r="F132" s="18" t="str">
        <f t="shared" si="4"/>
        <v>Young</v>
      </c>
      <c r="G132" s="20" t="s">
        <v>6</v>
      </c>
      <c r="H132" s="18">
        <v>2</v>
      </c>
      <c r="I132" s="18">
        <v>300</v>
      </c>
      <c r="J132" s="18">
        <v>600</v>
      </c>
      <c r="K132" s="21" t="str">
        <f t="shared" si="5"/>
        <v>Medium</v>
      </c>
      <c r="L132" s="18">
        <f>YEAR(B132)</f>
        <v>2023</v>
      </c>
      <c r="M132" s="18">
        <f>ROUNDUP(MONTH(B132)/3,0)</f>
        <v>3</v>
      </c>
      <c r="N132" s="20" t="str">
        <f>TEXT(B132,"dddd")</f>
        <v>Monday</v>
      </c>
      <c r="O132" s="20" t="str">
        <f>TEXT(B132,"mmmm")</f>
        <v>September</v>
      </c>
    </row>
    <row r="133" spans="1:15" x14ac:dyDescent="0.3">
      <c r="A133" s="18">
        <v>132</v>
      </c>
      <c r="B133" s="19">
        <v>45179</v>
      </c>
      <c r="C133" s="20" t="s">
        <v>140</v>
      </c>
      <c r="D133" s="20" t="s">
        <v>5</v>
      </c>
      <c r="E133" s="18">
        <v>42</v>
      </c>
      <c r="F133" s="18" t="str">
        <f t="shared" si="4"/>
        <v>Adult</v>
      </c>
      <c r="G133" s="20" t="s">
        <v>11</v>
      </c>
      <c r="H133" s="18">
        <v>4</v>
      </c>
      <c r="I133" s="18">
        <v>50</v>
      </c>
      <c r="J133" s="18">
        <v>200</v>
      </c>
      <c r="K133" s="21" t="str">
        <f t="shared" si="5"/>
        <v>Low</v>
      </c>
      <c r="L133" s="18">
        <f>YEAR(B133)</f>
        <v>2023</v>
      </c>
      <c r="M133" s="18">
        <f>ROUNDUP(MONTH(B133)/3,0)</f>
        <v>3</v>
      </c>
      <c r="N133" s="20" t="str">
        <f>TEXT(B133,"dddd")</f>
        <v>Sunday</v>
      </c>
      <c r="O133" s="20" t="str">
        <f>TEXT(B133,"mmmm")</f>
        <v>September</v>
      </c>
    </row>
    <row r="134" spans="1:15" x14ac:dyDescent="0.3">
      <c r="A134" s="18">
        <v>133</v>
      </c>
      <c r="B134" s="19">
        <v>44973</v>
      </c>
      <c r="C134" s="20" t="s">
        <v>141</v>
      </c>
      <c r="D134" s="20" t="s">
        <v>5</v>
      </c>
      <c r="E134" s="18">
        <v>20</v>
      </c>
      <c r="F134" s="18" t="str">
        <f t="shared" si="4"/>
        <v>Young</v>
      </c>
      <c r="G134" s="20" t="s">
        <v>11</v>
      </c>
      <c r="H134" s="18">
        <v>3</v>
      </c>
      <c r="I134" s="18">
        <v>300</v>
      </c>
      <c r="J134" s="18">
        <v>900</v>
      </c>
      <c r="K134" s="21" t="str">
        <f t="shared" si="5"/>
        <v>Medium</v>
      </c>
      <c r="L134" s="18">
        <f>YEAR(B134)</f>
        <v>2023</v>
      </c>
      <c r="M134" s="18">
        <f>ROUNDUP(MONTH(B134)/3,0)</f>
        <v>1</v>
      </c>
      <c r="N134" s="20" t="str">
        <f>TEXT(B134,"dddd")</f>
        <v>Thursday</v>
      </c>
      <c r="O134" s="20" t="str">
        <f>TEXT(B134,"mmmm")</f>
        <v>February</v>
      </c>
    </row>
    <row r="135" spans="1:15" x14ac:dyDescent="0.3">
      <c r="A135" s="18">
        <v>134</v>
      </c>
      <c r="B135" s="19">
        <v>44951</v>
      </c>
      <c r="C135" s="20" t="s">
        <v>142</v>
      </c>
      <c r="D135" s="20" t="s">
        <v>5</v>
      </c>
      <c r="E135" s="18">
        <v>49</v>
      </c>
      <c r="F135" s="18" t="str">
        <f t="shared" si="4"/>
        <v>Adult</v>
      </c>
      <c r="G135" s="20" t="s">
        <v>11</v>
      </c>
      <c r="H135" s="18">
        <v>1</v>
      </c>
      <c r="I135" s="18">
        <v>50</v>
      </c>
      <c r="J135" s="18">
        <v>50</v>
      </c>
      <c r="K135" s="21" t="str">
        <f t="shared" si="5"/>
        <v>Low</v>
      </c>
      <c r="L135" s="18">
        <f>YEAR(B135)</f>
        <v>2023</v>
      </c>
      <c r="M135" s="18">
        <f>ROUNDUP(MONTH(B135)/3,0)</f>
        <v>1</v>
      </c>
      <c r="N135" s="20" t="str">
        <f>TEXT(B135,"dddd")</f>
        <v>Wednesday</v>
      </c>
      <c r="O135" s="20" t="str">
        <f>TEXT(B135,"mmmm")</f>
        <v>January</v>
      </c>
    </row>
    <row r="136" spans="1:15" x14ac:dyDescent="0.3">
      <c r="A136" s="18">
        <v>135</v>
      </c>
      <c r="B136" s="19">
        <v>44983</v>
      </c>
      <c r="C136" s="20" t="s">
        <v>143</v>
      </c>
      <c r="D136" s="20" t="s">
        <v>5</v>
      </c>
      <c r="E136" s="18">
        <v>20</v>
      </c>
      <c r="F136" s="18" t="str">
        <f t="shared" si="4"/>
        <v>Young</v>
      </c>
      <c r="G136" s="20" t="s">
        <v>9</v>
      </c>
      <c r="H136" s="18">
        <v>2</v>
      </c>
      <c r="I136" s="18">
        <v>25</v>
      </c>
      <c r="J136" s="18">
        <v>50</v>
      </c>
      <c r="K136" s="21" t="str">
        <f t="shared" si="5"/>
        <v>Low</v>
      </c>
      <c r="L136" s="18">
        <f>YEAR(B136)</f>
        <v>2023</v>
      </c>
      <c r="M136" s="18">
        <f>ROUNDUP(MONTH(B136)/3,0)</f>
        <v>1</v>
      </c>
      <c r="N136" s="20" t="str">
        <f>TEXT(B136,"dddd")</f>
        <v>Sunday</v>
      </c>
      <c r="O136" s="20" t="str">
        <f>TEXT(B136,"mmmm")</f>
        <v>February</v>
      </c>
    </row>
    <row r="137" spans="1:15" x14ac:dyDescent="0.3">
      <c r="A137" s="18">
        <v>136</v>
      </c>
      <c r="B137" s="19">
        <v>45005</v>
      </c>
      <c r="C137" s="20" t="s">
        <v>144</v>
      </c>
      <c r="D137" s="20" t="s">
        <v>5</v>
      </c>
      <c r="E137" s="18">
        <v>44</v>
      </c>
      <c r="F137" s="18" t="str">
        <f t="shared" si="4"/>
        <v>Adult</v>
      </c>
      <c r="G137" s="20" t="s">
        <v>11</v>
      </c>
      <c r="H137" s="18">
        <v>2</v>
      </c>
      <c r="I137" s="18">
        <v>300</v>
      </c>
      <c r="J137" s="18">
        <v>600</v>
      </c>
      <c r="K137" s="21" t="str">
        <f t="shared" si="5"/>
        <v>Medium</v>
      </c>
      <c r="L137" s="18">
        <f>YEAR(B137)</f>
        <v>2023</v>
      </c>
      <c r="M137" s="18">
        <f>ROUNDUP(MONTH(B137)/3,0)</f>
        <v>1</v>
      </c>
      <c r="N137" s="20" t="str">
        <f>TEXT(B137,"dddd")</f>
        <v>Monday</v>
      </c>
      <c r="O137" s="20" t="str">
        <f>TEXT(B137,"mmmm")</f>
        <v>March</v>
      </c>
    </row>
    <row r="138" spans="1:15" x14ac:dyDescent="0.3">
      <c r="A138" s="18">
        <v>137</v>
      </c>
      <c r="B138" s="19">
        <v>45248</v>
      </c>
      <c r="C138" s="20" t="s">
        <v>145</v>
      </c>
      <c r="D138" s="20" t="s">
        <v>5</v>
      </c>
      <c r="E138" s="18">
        <v>46</v>
      </c>
      <c r="F138" s="18" t="str">
        <f t="shared" si="4"/>
        <v>Adult</v>
      </c>
      <c r="G138" s="20" t="s">
        <v>6</v>
      </c>
      <c r="H138" s="18">
        <v>2</v>
      </c>
      <c r="I138" s="18">
        <v>500</v>
      </c>
      <c r="J138" s="18">
        <v>1000</v>
      </c>
      <c r="K138" s="21" t="str">
        <f t="shared" si="5"/>
        <v>Medium</v>
      </c>
      <c r="L138" s="18">
        <f>YEAR(B138)</f>
        <v>2023</v>
      </c>
      <c r="M138" s="18">
        <f>ROUNDUP(MONTH(B138)/3,0)</f>
        <v>4</v>
      </c>
      <c r="N138" s="20" t="str">
        <f>TEXT(B138,"dddd")</f>
        <v>Saturday</v>
      </c>
      <c r="O138" s="20" t="str">
        <f>TEXT(B138,"mmmm")</f>
        <v>November</v>
      </c>
    </row>
    <row r="139" spans="1:15" x14ac:dyDescent="0.3">
      <c r="A139" s="18">
        <v>138</v>
      </c>
      <c r="B139" s="19">
        <v>45008</v>
      </c>
      <c r="C139" s="20" t="s">
        <v>146</v>
      </c>
      <c r="D139" s="20" t="s">
        <v>5</v>
      </c>
      <c r="E139" s="18">
        <v>49</v>
      </c>
      <c r="F139" s="18" t="str">
        <f t="shared" si="4"/>
        <v>Adult</v>
      </c>
      <c r="G139" s="20" t="s">
        <v>9</v>
      </c>
      <c r="H139" s="18">
        <v>4</v>
      </c>
      <c r="I139" s="18">
        <v>50</v>
      </c>
      <c r="J139" s="18">
        <v>200</v>
      </c>
      <c r="K139" s="21" t="str">
        <f t="shared" si="5"/>
        <v>Low</v>
      </c>
      <c r="L139" s="18">
        <f>YEAR(B139)</f>
        <v>2023</v>
      </c>
      <c r="M139" s="18">
        <f>ROUNDUP(MONTH(B139)/3,0)</f>
        <v>1</v>
      </c>
      <c r="N139" s="20" t="str">
        <f>TEXT(B139,"dddd")</f>
        <v>Thursday</v>
      </c>
      <c r="O139" s="20" t="str">
        <f>TEXT(B139,"mmmm")</f>
        <v>March</v>
      </c>
    </row>
    <row r="140" spans="1:15" x14ac:dyDescent="0.3">
      <c r="A140" s="18">
        <v>139</v>
      </c>
      <c r="B140" s="19">
        <v>45275</v>
      </c>
      <c r="C140" s="20" t="s">
        <v>147</v>
      </c>
      <c r="D140" s="20" t="s">
        <v>5</v>
      </c>
      <c r="E140" s="18">
        <v>36</v>
      </c>
      <c r="F140" s="18" t="str">
        <f t="shared" si="4"/>
        <v>Adult</v>
      </c>
      <c r="G140" s="20" t="s">
        <v>6</v>
      </c>
      <c r="H140" s="18">
        <v>4</v>
      </c>
      <c r="I140" s="18">
        <v>500</v>
      </c>
      <c r="J140" s="18">
        <v>2000</v>
      </c>
      <c r="K140" s="21" t="str">
        <f t="shared" si="5"/>
        <v>High</v>
      </c>
      <c r="L140" s="18">
        <f>YEAR(B140)</f>
        <v>2023</v>
      </c>
      <c r="M140" s="18">
        <f>ROUNDUP(MONTH(B140)/3,0)</f>
        <v>4</v>
      </c>
      <c r="N140" s="20" t="str">
        <f>TEXT(B140,"dddd")</f>
        <v>Friday</v>
      </c>
      <c r="O140" s="20" t="str">
        <f>TEXT(B140,"mmmm")</f>
        <v>December</v>
      </c>
    </row>
    <row r="141" spans="1:15" x14ac:dyDescent="0.3">
      <c r="A141" s="18">
        <v>140</v>
      </c>
      <c r="B141" s="19">
        <v>45143</v>
      </c>
      <c r="C141" s="20" t="s">
        <v>148</v>
      </c>
      <c r="D141" s="20" t="s">
        <v>5</v>
      </c>
      <c r="E141" s="18">
        <v>38</v>
      </c>
      <c r="F141" s="18" t="str">
        <f t="shared" si="4"/>
        <v>Adult</v>
      </c>
      <c r="G141" s="20" t="s">
        <v>11</v>
      </c>
      <c r="H141" s="18">
        <v>1</v>
      </c>
      <c r="I141" s="18">
        <v>30</v>
      </c>
      <c r="J141" s="18">
        <v>30</v>
      </c>
      <c r="K141" s="21" t="str">
        <f t="shared" si="5"/>
        <v>Low</v>
      </c>
      <c r="L141" s="18">
        <f>YEAR(B141)</f>
        <v>2023</v>
      </c>
      <c r="M141" s="18">
        <f>ROUNDUP(MONTH(B141)/3,0)</f>
        <v>3</v>
      </c>
      <c r="N141" s="20" t="str">
        <f>TEXT(B141,"dddd")</f>
        <v>Saturday</v>
      </c>
      <c r="O141" s="20" t="str">
        <f>TEXT(B141,"mmmm")</f>
        <v>August</v>
      </c>
    </row>
    <row r="142" spans="1:15" x14ac:dyDescent="0.3">
      <c r="A142" s="18">
        <v>141</v>
      </c>
      <c r="B142" s="19">
        <v>45232</v>
      </c>
      <c r="C142" s="20" t="s">
        <v>149</v>
      </c>
      <c r="D142" s="20" t="s">
        <v>8</v>
      </c>
      <c r="E142" s="18">
        <v>22</v>
      </c>
      <c r="F142" s="18" t="str">
        <f t="shared" si="4"/>
        <v>Young</v>
      </c>
      <c r="G142" s="20" t="s">
        <v>11</v>
      </c>
      <c r="H142" s="18">
        <v>1</v>
      </c>
      <c r="I142" s="18">
        <v>50</v>
      </c>
      <c r="J142" s="18">
        <v>50</v>
      </c>
      <c r="K142" s="21" t="str">
        <f t="shared" si="5"/>
        <v>Low</v>
      </c>
      <c r="L142" s="18">
        <f>YEAR(B142)</f>
        <v>2023</v>
      </c>
      <c r="M142" s="18">
        <f>ROUNDUP(MONTH(B142)/3,0)</f>
        <v>4</v>
      </c>
      <c r="N142" s="20" t="str">
        <f>TEXT(B142,"dddd")</f>
        <v>Thursday</v>
      </c>
      <c r="O142" s="20" t="str">
        <f>TEXT(B142,"mmmm")</f>
        <v>November</v>
      </c>
    </row>
    <row r="143" spans="1:15" x14ac:dyDescent="0.3">
      <c r="A143" s="18">
        <v>142</v>
      </c>
      <c r="B143" s="19">
        <v>44959</v>
      </c>
      <c r="C143" s="20" t="s">
        <v>150</v>
      </c>
      <c r="D143" s="20" t="s">
        <v>5</v>
      </c>
      <c r="E143" s="18">
        <v>35</v>
      </c>
      <c r="F143" s="18" t="str">
        <f t="shared" si="4"/>
        <v>Adult</v>
      </c>
      <c r="G143" s="20" t="s">
        <v>11</v>
      </c>
      <c r="H143" s="18">
        <v>4</v>
      </c>
      <c r="I143" s="18">
        <v>300</v>
      </c>
      <c r="J143" s="18">
        <v>1200</v>
      </c>
      <c r="K143" s="21" t="str">
        <f t="shared" si="5"/>
        <v>Medium</v>
      </c>
      <c r="L143" s="18">
        <f>YEAR(B143)</f>
        <v>2023</v>
      </c>
      <c r="M143" s="18">
        <f>ROUNDUP(MONTH(B143)/3,0)</f>
        <v>1</v>
      </c>
      <c r="N143" s="20" t="str">
        <f>TEXT(B143,"dddd")</f>
        <v>Thursday</v>
      </c>
      <c r="O143" s="20" t="str">
        <f>TEXT(B143,"mmmm")</f>
        <v>February</v>
      </c>
    </row>
    <row r="144" spans="1:15" x14ac:dyDescent="0.3">
      <c r="A144" s="18">
        <v>143</v>
      </c>
      <c r="B144" s="19">
        <v>45124</v>
      </c>
      <c r="C144" s="20" t="s">
        <v>151</v>
      </c>
      <c r="D144" s="20" t="s">
        <v>8</v>
      </c>
      <c r="E144" s="18">
        <v>45</v>
      </c>
      <c r="F144" s="18" t="str">
        <f t="shared" si="4"/>
        <v>Adult</v>
      </c>
      <c r="G144" s="20" t="s">
        <v>9</v>
      </c>
      <c r="H144" s="18">
        <v>1</v>
      </c>
      <c r="I144" s="18">
        <v>50</v>
      </c>
      <c r="J144" s="18">
        <v>50</v>
      </c>
      <c r="K144" s="21" t="str">
        <f t="shared" si="5"/>
        <v>Low</v>
      </c>
      <c r="L144" s="18">
        <f>YEAR(B144)</f>
        <v>2023</v>
      </c>
      <c r="M144" s="18">
        <f>ROUNDUP(MONTH(B144)/3,0)</f>
        <v>3</v>
      </c>
      <c r="N144" s="20" t="str">
        <f>TEXT(B144,"dddd")</f>
        <v>Monday</v>
      </c>
      <c r="O144" s="20" t="str">
        <f>TEXT(B144,"mmmm")</f>
        <v>July</v>
      </c>
    </row>
    <row r="145" spans="1:15" x14ac:dyDescent="0.3">
      <c r="A145" s="18">
        <v>144</v>
      </c>
      <c r="B145" s="19">
        <v>45122</v>
      </c>
      <c r="C145" s="20" t="s">
        <v>152</v>
      </c>
      <c r="D145" s="20" t="s">
        <v>8</v>
      </c>
      <c r="E145" s="18">
        <v>59</v>
      </c>
      <c r="F145" s="18" t="str">
        <f t="shared" si="4"/>
        <v>Adult</v>
      </c>
      <c r="G145" s="20" t="s">
        <v>6</v>
      </c>
      <c r="H145" s="18">
        <v>3</v>
      </c>
      <c r="I145" s="18">
        <v>500</v>
      </c>
      <c r="J145" s="18">
        <v>1500</v>
      </c>
      <c r="K145" s="21" t="str">
        <f t="shared" si="5"/>
        <v>Medium</v>
      </c>
      <c r="L145" s="18">
        <f>YEAR(B145)</f>
        <v>2023</v>
      </c>
      <c r="M145" s="18">
        <f>ROUNDUP(MONTH(B145)/3,0)</f>
        <v>3</v>
      </c>
      <c r="N145" s="20" t="str">
        <f>TEXT(B145,"dddd")</f>
        <v>Saturday</v>
      </c>
      <c r="O145" s="20" t="str">
        <f>TEXT(B145,"mmmm")</f>
        <v>July</v>
      </c>
    </row>
    <row r="146" spans="1:15" x14ac:dyDescent="0.3">
      <c r="A146" s="18">
        <v>145</v>
      </c>
      <c r="B146" s="19">
        <v>45232</v>
      </c>
      <c r="C146" s="20" t="s">
        <v>153</v>
      </c>
      <c r="D146" s="20" t="s">
        <v>8</v>
      </c>
      <c r="E146" s="18">
        <v>39</v>
      </c>
      <c r="F146" s="18" t="str">
        <f t="shared" si="4"/>
        <v>Adult</v>
      </c>
      <c r="G146" s="20" t="s">
        <v>9</v>
      </c>
      <c r="H146" s="18">
        <v>3</v>
      </c>
      <c r="I146" s="18">
        <v>25</v>
      </c>
      <c r="J146" s="18">
        <v>75</v>
      </c>
      <c r="K146" s="21" t="str">
        <f t="shared" si="5"/>
        <v>Low</v>
      </c>
      <c r="L146" s="18">
        <f>YEAR(B146)</f>
        <v>2023</v>
      </c>
      <c r="M146" s="18">
        <f>ROUNDUP(MONTH(B146)/3,0)</f>
        <v>4</v>
      </c>
      <c r="N146" s="20" t="str">
        <f>TEXT(B146,"dddd")</f>
        <v>Thursday</v>
      </c>
      <c r="O146" s="20" t="str">
        <f>TEXT(B146,"mmmm")</f>
        <v>November</v>
      </c>
    </row>
    <row r="147" spans="1:15" x14ac:dyDescent="0.3">
      <c r="A147" s="18">
        <v>146</v>
      </c>
      <c r="B147" s="19">
        <v>45166</v>
      </c>
      <c r="C147" s="20" t="s">
        <v>154</v>
      </c>
      <c r="D147" s="20" t="s">
        <v>5</v>
      </c>
      <c r="E147" s="18">
        <v>38</v>
      </c>
      <c r="F147" s="18" t="str">
        <f t="shared" si="4"/>
        <v>Adult</v>
      </c>
      <c r="G147" s="20" t="s">
        <v>9</v>
      </c>
      <c r="H147" s="18">
        <v>4</v>
      </c>
      <c r="I147" s="18">
        <v>50</v>
      </c>
      <c r="J147" s="18">
        <v>200</v>
      </c>
      <c r="K147" s="21" t="str">
        <f t="shared" si="5"/>
        <v>Low</v>
      </c>
      <c r="L147" s="18">
        <f>YEAR(B147)</f>
        <v>2023</v>
      </c>
      <c r="M147" s="18">
        <f>ROUNDUP(MONTH(B147)/3,0)</f>
        <v>3</v>
      </c>
      <c r="N147" s="20" t="str">
        <f>TEXT(B147,"dddd")</f>
        <v>Monday</v>
      </c>
      <c r="O147" s="20" t="str">
        <f>TEXT(B147,"mmmm")</f>
        <v>August</v>
      </c>
    </row>
    <row r="148" spans="1:15" x14ac:dyDescent="0.3">
      <c r="A148" s="18">
        <v>147</v>
      </c>
      <c r="B148" s="19">
        <v>45197</v>
      </c>
      <c r="C148" s="20" t="s">
        <v>155</v>
      </c>
      <c r="D148" s="20" t="s">
        <v>5</v>
      </c>
      <c r="E148" s="18">
        <v>23</v>
      </c>
      <c r="F148" s="18" t="str">
        <f t="shared" si="4"/>
        <v>Young</v>
      </c>
      <c r="G148" s="20" t="s">
        <v>11</v>
      </c>
      <c r="H148" s="18">
        <v>1</v>
      </c>
      <c r="I148" s="18">
        <v>300</v>
      </c>
      <c r="J148" s="18">
        <v>300</v>
      </c>
      <c r="K148" s="21" t="str">
        <f t="shared" si="5"/>
        <v>Low</v>
      </c>
      <c r="L148" s="18">
        <f>YEAR(B148)</f>
        <v>2023</v>
      </c>
      <c r="M148" s="18">
        <f>ROUNDUP(MONTH(B148)/3,0)</f>
        <v>3</v>
      </c>
      <c r="N148" s="20" t="str">
        <f>TEXT(B148,"dddd")</f>
        <v>Thursday</v>
      </c>
      <c r="O148" s="20" t="str">
        <f>TEXT(B148,"mmmm")</f>
        <v>September</v>
      </c>
    </row>
    <row r="149" spans="1:15" x14ac:dyDescent="0.3">
      <c r="A149" s="18">
        <v>148</v>
      </c>
      <c r="B149" s="19">
        <v>45055</v>
      </c>
      <c r="C149" s="20" t="s">
        <v>156</v>
      </c>
      <c r="D149" s="20" t="s">
        <v>5</v>
      </c>
      <c r="E149" s="18">
        <v>18</v>
      </c>
      <c r="F149" s="18" t="str">
        <f t="shared" si="4"/>
        <v>Young</v>
      </c>
      <c r="G149" s="20" t="s">
        <v>9</v>
      </c>
      <c r="H149" s="18">
        <v>2</v>
      </c>
      <c r="I149" s="18">
        <v>30</v>
      </c>
      <c r="J149" s="18">
        <v>60</v>
      </c>
      <c r="K149" s="21" t="str">
        <f t="shared" si="5"/>
        <v>Low</v>
      </c>
      <c r="L149" s="18">
        <f>YEAR(B149)</f>
        <v>2023</v>
      </c>
      <c r="M149" s="18">
        <f>ROUNDUP(MONTH(B149)/3,0)</f>
        <v>2</v>
      </c>
      <c r="N149" s="20" t="str">
        <f>TEXT(B149,"dddd")</f>
        <v>Tuesday</v>
      </c>
      <c r="O149" s="20" t="str">
        <f>TEXT(B149,"mmmm")</f>
        <v>May</v>
      </c>
    </row>
    <row r="150" spans="1:15" x14ac:dyDescent="0.3">
      <c r="A150" s="18">
        <v>149</v>
      </c>
      <c r="B150" s="19">
        <v>45210</v>
      </c>
      <c r="C150" s="20" t="s">
        <v>157</v>
      </c>
      <c r="D150" s="20" t="s">
        <v>5</v>
      </c>
      <c r="E150" s="18">
        <v>22</v>
      </c>
      <c r="F150" s="18" t="str">
        <f t="shared" si="4"/>
        <v>Young</v>
      </c>
      <c r="G150" s="20" t="s">
        <v>9</v>
      </c>
      <c r="H150" s="18">
        <v>3</v>
      </c>
      <c r="I150" s="18">
        <v>25</v>
      </c>
      <c r="J150" s="18">
        <v>75</v>
      </c>
      <c r="K150" s="21" t="str">
        <f t="shared" si="5"/>
        <v>Low</v>
      </c>
      <c r="L150" s="18">
        <f>YEAR(B150)</f>
        <v>2023</v>
      </c>
      <c r="M150" s="18">
        <f>ROUNDUP(MONTH(B150)/3,0)</f>
        <v>4</v>
      </c>
      <c r="N150" s="20" t="str">
        <f>TEXT(B150,"dddd")</f>
        <v>Wednesday</v>
      </c>
      <c r="O150" s="20" t="str">
        <f>TEXT(B150,"mmmm")</f>
        <v>October</v>
      </c>
    </row>
    <row r="151" spans="1:15" x14ac:dyDescent="0.3">
      <c r="A151" s="18">
        <v>150</v>
      </c>
      <c r="B151" s="19">
        <v>44932</v>
      </c>
      <c r="C151" s="20" t="s">
        <v>158</v>
      </c>
      <c r="D151" s="20" t="s">
        <v>8</v>
      </c>
      <c r="E151" s="18">
        <v>58</v>
      </c>
      <c r="F151" s="18" t="str">
        <f t="shared" si="4"/>
        <v>Adult</v>
      </c>
      <c r="G151" s="20" t="s">
        <v>11</v>
      </c>
      <c r="H151" s="18">
        <v>4</v>
      </c>
      <c r="I151" s="18">
        <v>30</v>
      </c>
      <c r="J151" s="18">
        <v>120</v>
      </c>
      <c r="K151" s="21" t="str">
        <f t="shared" si="5"/>
        <v>Low</v>
      </c>
      <c r="L151" s="18">
        <f>YEAR(B151)</f>
        <v>2023</v>
      </c>
      <c r="M151" s="18">
        <f>ROUNDUP(MONTH(B151)/3,0)</f>
        <v>1</v>
      </c>
      <c r="N151" s="20" t="str">
        <f>TEXT(B151,"dddd")</f>
        <v>Friday</v>
      </c>
      <c r="O151" s="20" t="str">
        <f>TEXT(B151,"mmmm")</f>
        <v>January</v>
      </c>
    </row>
    <row r="152" spans="1:15" x14ac:dyDescent="0.3">
      <c r="A152" s="18">
        <v>151</v>
      </c>
      <c r="B152" s="19">
        <v>45275</v>
      </c>
      <c r="C152" s="20" t="s">
        <v>159</v>
      </c>
      <c r="D152" s="20" t="s">
        <v>5</v>
      </c>
      <c r="E152" s="18">
        <v>29</v>
      </c>
      <c r="F152" s="18" t="str">
        <f t="shared" si="4"/>
        <v>Young</v>
      </c>
      <c r="G152" s="20" t="s">
        <v>9</v>
      </c>
      <c r="H152" s="18">
        <v>1</v>
      </c>
      <c r="I152" s="18">
        <v>50</v>
      </c>
      <c r="J152" s="18">
        <v>50</v>
      </c>
      <c r="K152" s="21" t="str">
        <f t="shared" si="5"/>
        <v>Low</v>
      </c>
      <c r="L152" s="18">
        <f>YEAR(B152)</f>
        <v>2023</v>
      </c>
      <c r="M152" s="18">
        <f>ROUNDUP(MONTH(B152)/3,0)</f>
        <v>4</v>
      </c>
      <c r="N152" s="20" t="str">
        <f>TEXT(B152,"dddd")</f>
        <v>Friday</v>
      </c>
      <c r="O152" s="20" t="str">
        <f>TEXT(B152,"mmmm")</f>
        <v>December</v>
      </c>
    </row>
    <row r="153" spans="1:15" x14ac:dyDescent="0.3">
      <c r="A153" s="18">
        <v>152</v>
      </c>
      <c r="B153" s="19">
        <v>44985</v>
      </c>
      <c r="C153" s="20" t="s">
        <v>160</v>
      </c>
      <c r="D153" s="20" t="s">
        <v>5</v>
      </c>
      <c r="E153" s="18">
        <v>43</v>
      </c>
      <c r="F153" s="18" t="str">
        <f t="shared" si="4"/>
        <v>Adult</v>
      </c>
      <c r="G153" s="20" t="s">
        <v>11</v>
      </c>
      <c r="H153" s="18">
        <v>4</v>
      </c>
      <c r="I153" s="18">
        <v>500</v>
      </c>
      <c r="J153" s="18">
        <v>2000</v>
      </c>
      <c r="K153" s="21" t="str">
        <f t="shared" si="5"/>
        <v>High</v>
      </c>
      <c r="L153" s="18">
        <f>YEAR(B153)</f>
        <v>2023</v>
      </c>
      <c r="M153" s="18">
        <f>ROUNDUP(MONTH(B153)/3,0)</f>
        <v>1</v>
      </c>
      <c r="N153" s="20" t="str">
        <f>TEXT(B153,"dddd")</f>
        <v>Tuesday</v>
      </c>
      <c r="O153" s="20" t="str">
        <f>TEXT(B153,"mmmm")</f>
        <v>February</v>
      </c>
    </row>
    <row r="154" spans="1:15" x14ac:dyDescent="0.3">
      <c r="A154" s="18">
        <v>153</v>
      </c>
      <c r="B154" s="19">
        <v>45276</v>
      </c>
      <c r="C154" s="20" t="s">
        <v>161</v>
      </c>
      <c r="D154" s="20" t="s">
        <v>5</v>
      </c>
      <c r="E154" s="18">
        <v>63</v>
      </c>
      <c r="F154" s="18" t="str">
        <f t="shared" si="4"/>
        <v>Senior</v>
      </c>
      <c r="G154" s="20" t="s">
        <v>11</v>
      </c>
      <c r="H154" s="18">
        <v>2</v>
      </c>
      <c r="I154" s="18">
        <v>500</v>
      </c>
      <c r="J154" s="18">
        <v>1000</v>
      </c>
      <c r="K154" s="21" t="str">
        <f t="shared" si="5"/>
        <v>Medium</v>
      </c>
      <c r="L154" s="18">
        <f>YEAR(B154)</f>
        <v>2023</v>
      </c>
      <c r="M154" s="18">
        <f>ROUNDUP(MONTH(B154)/3,0)</f>
        <v>4</v>
      </c>
      <c r="N154" s="20" t="str">
        <f>TEXT(B154,"dddd")</f>
        <v>Saturday</v>
      </c>
      <c r="O154" s="20" t="str">
        <f>TEXT(B154,"mmmm")</f>
        <v>December</v>
      </c>
    </row>
    <row r="155" spans="1:15" x14ac:dyDescent="0.3">
      <c r="A155" s="18">
        <v>154</v>
      </c>
      <c r="B155" s="19">
        <v>45201</v>
      </c>
      <c r="C155" s="20" t="s">
        <v>162</v>
      </c>
      <c r="D155" s="20" t="s">
        <v>5</v>
      </c>
      <c r="E155" s="18">
        <v>51</v>
      </c>
      <c r="F155" s="18" t="str">
        <f t="shared" si="4"/>
        <v>Adult</v>
      </c>
      <c r="G155" s="20" t="s">
        <v>11</v>
      </c>
      <c r="H155" s="18">
        <v>3</v>
      </c>
      <c r="I155" s="18">
        <v>300</v>
      </c>
      <c r="J155" s="18">
        <v>900</v>
      </c>
      <c r="K155" s="21" t="str">
        <f t="shared" si="5"/>
        <v>Medium</v>
      </c>
      <c r="L155" s="18">
        <f>YEAR(B155)</f>
        <v>2023</v>
      </c>
      <c r="M155" s="18">
        <f>ROUNDUP(MONTH(B155)/3,0)</f>
        <v>4</v>
      </c>
      <c r="N155" s="20" t="str">
        <f>TEXT(B155,"dddd")</f>
        <v>Monday</v>
      </c>
      <c r="O155" s="20" t="str">
        <f>TEXT(B155,"mmmm")</f>
        <v>October</v>
      </c>
    </row>
    <row r="156" spans="1:15" x14ac:dyDescent="0.3">
      <c r="A156" s="18">
        <v>155</v>
      </c>
      <c r="B156" s="19">
        <v>45063</v>
      </c>
      <c r="C156" s="20" t="s">
        <v>163</v>
      </c>
      <c r="D156" s="20" t="s">
        <v>5</v>
      </c>
      <c r="E156" s="18">
        <v>31</v>
      </c>
      <c r="F156" s="18" t="str">
        <f t="shared" si="4"/>
        <v>Adult</v>
      </c>
      <c r="G156" s="20" t="s">
        <v>11</v>
      </c>
      <c r="H156" s="18">
        <v>4</v>
      </c>
      <c r="I156" s="18">
        <v>500</v>
      </c>
      <c r="J156" s="18">
        <v>2000</v>
      </c>
      <c r="K156" s="21" t="str">
        <f t="shared" si="5"/>
        <v>High</v>
      </c>
      <c r="L156" s="18">
        <f>YEAR(B156)</f>
        <v>2023</v>
      </c>
      <c r="M156" s="18">
        <f>ROUNDUP(MONTH(B156)/3,0)</f>
        <v>2</v>
      </c>
      <c r="N156" s="20" t="str">
        <f>TEXT(B156,"dddd")</f>
        <v>Wednesday</v>
      </c>
      <c r="O156" s="20" t="str">
        <f>TEXT(B156,"mmmm")</f>
        <v>May</v>
      </c>
    </row>
    <row r="157" spans="1:15" x14ac:dyDescent="0.3">
      <c r="A157" s="18">
        <v>156</v>
      </c>
      <c r="B157" s="19">
        <v>45255</v>
      </c>
      <c r="C157" s="20" t="s">
        <v>164</v>
      </c>
      <c r="D157" s="20" t="s">
        <v>8</v>
      </c>
      <c r="E157" s="18">
        <v>43</v>
      </c>
      <c r="F157" s="18" t="str">
        <f t="shared" si="4"/>
        <v>Adult</v>
      </c>
      <c r="G157" s="20" t="s">
        <v>9</v>
      </c>
      <c r="H157" s="18">
        <v>4</v>
      </c>
      <c r="I157" s="18">
        <v>25</v>
      </c>
      <c r="J157" s="18">
        <v>100</v>
      </c>
      <c r="K157" s="21" t="str">
        <f t="shared" si="5"/>
        <v>Low</v>
      </c>
      <c r="L157" s="18">
        <f>YEAR(B157)</f>
        <v>2023</v>
      </c>
      <c r="M157" s="18">
        <f>ROUNDUP(MONTH(B157)/3,0)</f>
        <v>4</v>
      </c>
      <c r="N157" s="20" t="str">
        <f>TEXT(B157,"dddd")</f>
        <v>Saturday</v>
      </c>
      <c r="O157" s="20" t="str">
        <f>TEXT(B157,"mmmm")</f>
        <v>November</v>
      </c>
    </row>
    <row r="158" spans="1:15" x14ac:dyDescent="0.3">
      <c r="A158" s="18">
        <v>157</v>
      </c>
      <c r="B158" s="19">
        <v>45101</v>
      </c>
      <c r="C158" s="20" t="s">
        <v>165</v>
      </c>
      <c r="D158" s="20" t="s">
        <v>5</v>
      </c>
      <c r="E158" s="18">
        <v>62</v>
      </c>
      <c r="F158" s="18" t="str">
        <f t="shared" si="4"/>
        <v>Senior</v>
      </c>
      <c r="G158" s="20" t="s">
        <v>11</v>
      </c>
      <c r="H158" s="18">
        <v>4</v>
      </c>
      <c r="I158" s="18">
        <v>500</v>
      </c>
      <c r="J158" s="18">
        <v>2000</v>
      </c>
      <c r="K158" s="21" t="str">
        <f t="shared" si="5"/>
        <v>High</v>
      </c>
      <c r="L158" s="18">
        <f>YEAR(B158)</f>
        <v>2023</v>
      </c>
      <c r="M158" s="18">
        <f>ROUNDUP(MONTH(B158)/3,0)</f>
        <v>2</v>
      </c>
      <c r="N158" s="20" t="str">
        <f>TEXT(B158,"dddd")</f>
        <v>Saturday</v>
      </c>
      <c r="O158" s="20" t="str">
        <f>TEXT(B158,"mmmm")</f>
        <v>June</v>
      </c>
    </row>
    <row r="159" spans="1:15" x14ac:dyDescent="0.3">
      <c r="A159" s="18">
        <v>158</v>
      </c>
      <c r="B159" s="19">
        <v>44984</v>
      </c>
      <c r="C159" s="20" t="s">
        <v>166</v>
      </c>
      <c r="D159" s="20" t="s">
        <v>8</v>
      </c>
      <c r="E159" s="18">
        <v>44</v>
      </c>
      <c r="F159" s="18" t="str">
        <f t="shared" si="4"/>
        <v>Adult</v>
      </c>
      <c r="G159" s="20" t="s">
        <v>11</v>
      </c>
      <c r="H159" s="18">
        <v>2</v>
      </c>
      <c r="I159" s="18">
        <v>300</v>
      </c>
      <c r="J159" s="18">
        <v>600</v>
      </c>
      <c r="K159" s="21" t="str">
        <f t="shared" si="5"/>
        <v>Medium</v>
      </c>
      <c r="L159" s="18">
        <f>YEAR(B159)</f>
        <v>2023</v>
      </c>
      <c r="M159" s="18">
        <f>ROUNDUP(MONTH(B159)/3,0)</f>
        <v>1</v>
      </c>
      <c r="N159" s="20" t="str">
        <f>TEXT(B159,"dddd")</f>
        <v>Monday</v>
      </c>
      <c r="O159" s="20" t="str">
        <f>TEXT(B159,"mmmm")</f>
        <v>February</v>
      </c>
    </row>
    <row r="160" spans="1:15" x14ac:dyDescent="0.3">
      <c r="A160" s="18">
        <v>159</v>
      </c>
      <c r="B160" s="19">
        <v>45077</v>
      </c>
      <c r="C160" s="20" t="s">
        <v>167</v>
      </c>
      <c r="D160" s="20" t="s">
        <v>5</v>
      </c>
      <c r="E160" s="18">
        <v>26</v>
      </c>
      <c r="F160" s="18" t="str">
        <f t="shared" si="4"/>
        <v>Young</v>
      </c>
      <c r="G160" s="20" t="s">
        <v>9</v>
      </c>
      <c r="H160" s="18">
        <v>4</v>
      </c>
      <c r="I160" s="18">
        <v>50</v>
      </c>
      <c r="J160" s="18">
        <v>200</v>
      </c>
      <c r="K160" s="21" t="str">
        <f t="shared" si="5"/>
        <v>Low</v>
      </c>
      <c r="L160" s="18">
        <f>YEAR(B160)</f>
        <v>2023</v>
      </c>
      <c r="M160" s="18">
        <f>ROUNDUP(MONTH(B160)/3,0)</f>
        <v>2</v>
      </c>
      <c r="N160" s="20" t="str">
        <f>TEXT(B160,"dddd")</f>
        <v>Wednesday</v>
      </c>
      <c r="O160" s="20" t="str">
        <f>TEXT(B160,"mmmm")</f>
        <v>May</v>
      </c>
    </row>
    <row r="161" spans="1:15" x14ac:dyDescent="0.3">
      <c r="A161" s="18">
        <v>160</v>
      </c>
      <c r="B161" s="19">
        <v>45149</v>
      </c>
      <c r="C161" s="20" t="s">
        <v>168</v>
      </c>
      <c r="D161" s="20" t="s">
        <v>8</v>
      </c>
      <c r="E161" s="18">
        <v>43</v>
      </c>
      <c r="F161" s="18" t="str">
        <f t="shared" si="4"/>
        <v>Adult</v>
      </c>
      <c r="G161" s="20" t="s">
        <v>9</v>
      </c>
      <c r="H161" s="18">
        <v>2</v>
      </c>
      <c r="I161" s="18">
        <v>50</v>
      </c>
      <c r="J161" s="18">
        <v>100</v>
      </c>
      <c r="K161" s="21" t="str">
        <f t="shared" si="5"/>
        <v>Low</v>
      </c>
      <c r="L161" s="18">
        <f>YEAR(B161)</f>
        <v>2023</v>
      </c>
      <c r="M161" s="18">
        <f>ROUNDUP(MONTH(B161)/3,0)</f>
        <v>3</v>
      </c>
      <c r="N161" s="20" t="str">
        <f>TEXT(B161,"dddd")</f>
        <v>Friday</v>
      </c>
      <c r="O161" s="20" t="str">
        <f>TEXT(B161,"mmmm")</f>
        <v>August</v>
      </c>
    </row>
    <row r="162" spans="1:15" x14ac:dyDescent="0.3">
      <c r="A162" s="18">
        <v>161</v>
      </c>
      <c r="B162" s="19">
        <v>45007</v>
      </c>
      <c r="C162" s="20" t="s">
        <v>169</v>
      </c>
      <c r="D162" s="20" t="s">
        <v>5</v>
      </c>
      <c r="E162" s="18">
        <v>64</v>
      </c>
      <c r="F162" s="18" t="str">
        <f t="shared" si="4"/>
        <v>Senior</v>
      </c>
      <c r="G162" s="20" t="s">
        <v>6</v>
      </c>
      <c r="H162" s="18">
        <v>2</v>
      </c>
      <c r="I162" s="18">
        <v>500</v>
      </c>
      <c r="J162" s="18">
        <v>1000</v>
      </c>
      <c r="K162" s="21" t="str">
        <f t="shared" si="5"/>
        <v>Medium</v>
      </c>
      <c r="L162" s="18">
        <f>YEAR(B162)</f>
        <v>2023</v>
      </c>
      <c r="M162" s="18">
        <f>ROUNDUP(MONTH(B162)/3,0)</f>
        <v>1</v>
      </c>
      <c r="N162" s="20" t="str">
        <f>TEXT(B162,"dddd")</f>
        <v>Wednesday</v>
      </c>
      <c r="O162" s="20" t="str">
        <f>TEXT(B162,"mmmm")</f>
        <v>March</v>
      </c>
    </row>
    <row r="163" spans="1:15" x14ac:dyDescent="0.3">
      <c r="A163" s="18">
        <v>162</v>
      </c>
      <c r="B163" s="19">
        <v>45159</v>
      </c>
      <c r="C163" s="20" t="s">
        <v>170</v>
      </c>
      <c r="D163" s="20" t="s">
        <v>5</v>
      </c>
      <c r="E163" s="18">
        <v>39</v>
      </c>
      <c r="F163" s="18" t="str">
        <f t="shared" si="4"/>
        <v>Adult</v>
      </c>
      <c r="G163" s="20" t="s">
        <v>9</v>
      </c>
      <c r="H163" s="18">
        <v>2</v>
      </c>
      <c r="I163" s="18">
        <v>30</v>
      </c>
      <c r="J163" s="18">
        <v>60</v>
      </c>
      <c r="K163" s="21" t="str">
        <f t="shared" si="5"/>
        <v>Low</v>
      </c>
      <c r="L163" s="18">
        <f>YEAR(B163)</f>
        <v>2023</v>
      </c>
      <c r="M163" s="18">
        <f>ROUNDUP(MONTH(B163)/3,0)</f>
        <v>3</v>
      </c>
      <c r="N163" s="20" t="str">
        <f>TEXT(B163,"dddd")</f>
        <v>Monday</v>
      </c>
      <c r="O163" s="20" t="str">
        <f>TEXT(B163,"mmmm")</f>
        <v>August</v>
      </c>
    </row>
    <row r="164" spans="1:15" x14ac:dyDescent="0.3">
      <c r="A164" s="18">
        <v>163</v>
      </c>
      <c r="B164" s="19">
        <v>44928</v>
      </c>
      <c r="C164" s="20" t="s">
        <v>171</v>
      </c>
      <c r="D164" s="20" t="s">
        <v>8</v>
      </c>
      <c r="E164" s="18">
        <v>64</v>
      </c>
      <c r="F164" s="18" t="str">
        <f t="shared" si="4"/>
        <v>Senior</v>
      </c>
      <c r="G164" s="20" t="s">
        <v>9</v>
      </c>
      <c r="H164" s="18">
        <v>3</v>
      </c>
      <c r="I164" s="18">
        <v>50</v>
      </c>
      <c r="J164" s="18">
        <v>150</v>
      </c>
      <c r="K164" s="21" t="str">
        <f t="shared" si="5"/>
        <v>Low</v>
      </c>
      <c r="L164" s="18">
        <f>YEAR(B164)</f>
        <v>2023</v>
      </c>
      <c r="M164" s="18">
        <f>ROUNDUP(MONTH(B164)/3,0)</f>
        <v>1</v>
      </c>
      <c r="N164" s="20" t="str">
        <f>TEXT(B164,"dddd")</f>
        <v>Monday</v>
      </c>
      <c r="O164" s="20" t="str">
        <f>TEXT(B164,"mmmm")</f>
        <v>January</v>
      </c>
    </row>
    <row r="165" spans="1:15" x14ac:dyDescent="0.3">
      <c r="A165" s="18">
        <v>164</v>
      </c>
      <c r="B165" s="19">
        <v>45061</v>
      </c>
      <c r="C165" s="20" t="s">
        <v>172</v>
      </c>
      <c r="D165" s="20" t="s">
        <v>8</v>
      </c>
      <c r="E165" s="18">
        <v>47</v>
      </c>
      <c r="F165" s="18" t="str">
        <f t="shared" si="4"/>
        <v>Adult</v>
      </c>
      <c r="G165" s="20" t="s">
        <v>6</v>
      </c>
      <c r="H165" s="18">
        <v>3</v>
      </c>
      <c r="I165" s="18">
        <v>500</v>
      </c>
      <c r="J165" s="18">
        <v>1500</v>
      </c>
      <c r="K165" s="21" t="str">
        <f t="shared" si="5"/>
        <v>Medium</v>
      </c>
      <c r="L165" s="18">
        <f>YEAR(B165)</f>
        <v>2023</v>
      </c>
      <c r="M165" s="18">
        <f>ROUNDUP(MONTH(B165)/3,0)</f>
        <v>2</v>
      </c>
      <c r="N165" s="20" t="str">
        <f>TEXT(B165,"dddd")</f>
        <v>Monday</v>
      </c>
      <c r="O165" s="20" t="str">
        <f>TEXT(B165,"mmmm")</f>
        <v>May</v>
      </c>
    </row>
    <row r="166" spans="1:15" x14ac:dyDescent="0.3">
      <c r="A166" s="18">
        <v>165</v>
      </c>
      <c r="B166" s="19">
        <v>45183</v>
      </c>
      <c r="C166" s="20" t="s">
        <v>173</v>
      </c>
      <c r="D166" s="20" t="s">
        <v>8</v>
      </c>
      <c r="E166" s="18">
        <v>60</v>
      </c>
      <c r="F166" s="18" t="str">
        <f t="shared" si="4"/>
        <v>Adult</v>
      </c>
      <c r="G166" s="20" t="s">
        <v>9</v>
      </c>
      <c r="H166" s="18">
        <v>4</v>
      </c>
      <c r="I166" s="18">
        <v>300</v>
      </c>
      <c r="J166" s="18">
        <v>1200</v>
      </c>
      <c r="K166" s="21" t="str">
        <f t="shared" si="5"/>
        <v>Medium</v>
      </c>
      <c r="L166" s="18">
        <f>YEAR(B166)</f>
        <v>2023</v>
      </c>
      <c r="M166" s="18">
        <f>ROUNDUP(MONTH(B166)/3,0)</f>
        <v>3</v>
      </c>
      <c r="N166" s="20" t="str">
        <f>TEXT(B166,"dddd")</f>
        <v>Thursday</v>
      </c>
      <c r="O166" s="20" t="str">
        <f>TEXT(B166,"mmmm")</f>
        <v>September</v>
      </c>
    </row>
    <row r="167" spans="1:15" x14ac:dyDescent="0.3">
      <c r="A167" s="18">
        <v>166</v>
      </c>
      <c r="B167" s="19">
        <v>45018</v>
      </c>
      <c r="C167" s="20" t="s">
        <v>174</v>
      </c>
      <c r="D167" s="20" t="s">
        <v>5</v>
      </c>
      <c r="E167" s="18">
        <v>34</v>
      </c>
      <c r="F167" s="18" t="str">
        <f t="shared" si="4"/>
        <v>Adult</v>
      </c>
      <c r="G167" s="20" t="s">
        <v>9</v>
      </c>
      <c r="H167" s="18">
        <v>4</v>
      </c>
      <c r="I167" s="18">
        <v>500</v>
      </c>
      <c r="J167" s="18">
        <v>2000</v>
      </c>
      <c r="K167" s="21" t="str">
        <f t="shared" si="5"/>
        <v>High</v>
      </c>
      <c r="L167" s="18">
        <f>YEAR(B167)</f>
        <v>2023</v>
      </c>
      <c r="M167" s="18">
        <f>ROUNDUP(MONTH(B167)/3,0)</f>
        <v>2</v>
      </c>
      <c r="N167" s="20" t="str">
        <f>TEXT(B167,"dddd")</f>
        <v>Sunday</v>
      </c>
      <c r="O167" s="20" t="str">
        <f>TEXT(B167,"mmmm")</f>
        <v>April</v>
      </c>
    </row>
    <row r="168" spans="1:15" x14ac:dyDescent="0.3">
      <c r="A168" s="18">
        <v>167</v>
      </c>
      <c r="B168" s="19">
        <v>45186</v>
      </c>
      <c r="C168" s="20" t="s">
        <v>175</v>
      </c>
      <c r="D168" s="20" t="s">
        <v>8</v>
      </c>
      <c r="E168" s="18">
        <v>43</v>
      </c>
      <c r="F168" s="18" t="str">
        <f t="shared" si="4"/>
        <v>Adult</v>
      </c>
      <c r="G168" s="20" t="s">
        <v>9</v>
      </c>
      <c r="H168" s="18">
        <v>3</v>
      </c>
      <c r="I168" s="18">
        <v>50</v>
      </c>
      <c r="J168" s="18">
        <v>150</v>
      </c>
      <c r="K168" s="21" t="str">
        <f t="shared" si="5"/>
        <v>Low</v>
      </c>
      <c r="L168" s="18">
        <f>YEAR(B168)</f>
        <v>2023</v>
      </c>
      <c r="M168" s="18">
        <f>ROUNDUP(MONTH(B168)/3,0)</f>
        <v>3</v>
      </c>
      <c r="N168" s="20" t="str">
        <f>TEXT(B168,"dddd")</f>
        <v>Sunday</v>
      </c>
      <c r="O168" s="20" t="str">
        <f>TEXT(B168,"mmmm")</f>
        <v>September</v>
      </c>
    </row>
    <row r="169" spans="1:15" x14ac:dyDescent="0.3">
      <c r="A169" s="18">
        <v>168</v>
      </c>
      <c r="B169" s="19">
        <v>44981</v>
      </c>
      <c r="C169" s="20" t="s">
        <v>176</v>
      </c>
      <c r="D169" s="20" t="s">
        <v>5</v>
      </c>
      <c r="E169" s="18">
        <v>53</v>
      </c>
      <c r="F169" s="18" t="str">
        <f t="shared" si="4"/>
        <v>Adult</v>
      </c>
      <c r="G169" s="20" t="s">
        <v>9</v>
      </c>
      <c r="H169" s="18">
        <v>1</v>
      </c>
      <c r="I169" s="18">
        <v>300</v>
      </c>
      <c r="J169" s="18">
        <v>300</v>
      </c>
      <c r="K169" s="21" t="str">
        <f t="shared" si="5"/>
        <v>Low</v>
      </c>
      <c r="L169" s="18">
        <f>YEAR(B169)</f>
        <v>2023</v>
      </c>
      <c r="M169" s="18">
        <f>ROUNDUP(MONTH(B169)/3,0)</f>
        <v>1</v>
      </c>
      <c r="N169" s="20" t="str">
        <f>TEXT(B169,"dddd")</f>
        <v>Friday</v>
      </c>
      <c r="O169" s="20" t="str">
        <f>TEXT(B169,"mmmm")</f>
        <v>February</v>
      </c>
    </row>
    <row r="170" spans="1:15" x14ac:dyDescent="0.3">
      <c r="A170" s="18">
        <v>169</v>
      </c>
      <c r="B170" s="19">
        <v>45247</v>
      </c>
      <c r="C170" s="20" t="s">
        <v>177</v>
      </c>
      <c r="D170" s="20" t="s">
        <v>5</v>
      </c>
      <c r="E170" s="18">
        <v>18</v>
      </c>
      <c r="F170" s="18" t="str">
        <f t="shared" si="4"/>
        <v>Young</v>
      </c>
      <c r="G170" s="20" t="s">
        <v>6</v>
      </c>
      <c r="H170" s="18">
        <v>3</v>
      </c>
      <c r="I170" s="18">
        <v>500</v>
      </c>
      <c r="J170" s="18">
        <v>1500</v>
      </c>
      <c r="K170" s="21" t="str">
        <f t="shared" si="5"/>
        <v>Medium</v>
      </c>
      <c r="L170" s="18">
        <f>YEAR(B170)</f>
        <v>2023</v>
      </c>
      <c r="M170" s="18">
        <f>ROUNDUP(MONTH(B170)/3,0)</f>
        <v>4</v>
      </c>
      <c r="N170" s="20" t="str">
        <f>TEXT(B170,"dddd")</f>
        <v>Friday</v>
      </c>
      <c r="O170" s="20" t="str">
        <f>TEXT(B170,"mmmm")</f>
        <v>November</v>
      </c>
    </row>
    <row r="171" spans="1:15" x14ac:dyDescent="0.3">
      <c r="A171" s="18">
        <v>170</v>
      </c>
      <c r="B171" s="19">
        <v>45079</v>
      </c>
      <c r="C171" s="20" t="s">
        <v>178</v>
      </c>
      <c r="D171" s="20" t="s">
        <v>8</v>
      </c>
      <c r="E171" s="18">
        <v>25</v>
      </c>
      <c r="F171" s="18" t="str">
        <f t="shared" si="4"/>
        <v>Young</v>
      </c>
      <c r="G171" s="20" t="s">
        <v>9</v>
      </c>
      <c r="H171" s="18">
        <v>2</v>
      </c>
      <c r="I171" s="18">
        <v>25</v>
      </c>
      <c r="J171" s="18">
        <v>50</v>
      </c>
      <c r="K171" s="21" t="str">
        <f t="shared" si="5"/>
        <v>Low</v>
      </c>
      <c r="L171" s="18">
        <f>YEAR(B171)</f>
        <v>2023</v>
      </c>
      <c r="M171" s="18">
        <f>ROUNDUP(MONTH(B171)/3,0)</f>
        <v>2</v>
      </c>
      <c r="N171" s="20" t="str">
        <f>TEXT(B171,"dddd")</f>
        <v>Friday</v>
      </c>
      <c r="O171" s="20" t="str">
        <f>TEXT(B171,"mmmm")</f>
        <v>June</v>
      </c>
    </row>
    <row r="172" spans="1:15" x14ac:dyDescent="0.3">
      <c r="A172" s="18">
        <v>171</v>
      </c>
      <c r="B172" s="19">
        <v>45254</v>
      </c>
      <c r="C172" s="20" t="s">
        <v>179</v>
      </c>
      <c r="D172" s="20" t="s">
        <v>8</v>
      </c>
      <c r="E172" s="18">
        <v>52</v>
      </c>
      <c r="F172" s="18" t="str">
        <f t="shared" si="4"/>
        <v>Adult</v>
      </c>
      <c r="G172" s="20" t="s">
        <v>9</v>
      </c>
      <c r="H172" s="18">
        <v>3</v>
      </c>
      <c r="I172" s="18">
        <v>300</v>
      </c>
      <c r="J172" s="18">
        <v>900</v>
      </c>
      <c r="K172" s="21" t="str">
        <f t="shared" si="5"/>
        <v>Medium</v>
      </c>
      <c r="L172" s="18">
        <f>YEAR(B172)</f>
        <v>2023</v>
      </c>
      <c r="M172" s="18">
        <f>ROUNDUP(MONTH(B172)/3,0)</f>
        <v>4</v>
      </c>
      <c r="N172" s="20" t="str">
        <f>TEXT(B172,"dddd")</f>
        <v>Friday</v>
      </c>
      <c r="O172" s="20" t="str">
        <f>TEXT(B172,"mmmm")</f>
        <v>November</v>
      </c>
    </row>
    <row r="173" spans="1:15" x14ac:dyDescent="0.3">
      <c r="A173" s="18">
        <v>172</v>
      </c>
      <c r="B173" s="19">
        <v>45186</v>
      </c>
      <c r="C173" s="20" t="s">
        <v>180</v>
      </c>
      <c r="D173" s="20" t="s">
        <v>5</v>
      </c>
      <c r="E173" s="18">
        <v>32</v>
      </c>
      <c r="F173" s="18" t="str">
        <f t="shared" si="4"/>
        <v>Adult</v>
      </c>
      <c r="G173" s="20" t="s">
        <v>6</v>
      </c>
      <c r="H173" s="18">
        <v>2</v>
      </c>
      <c r="I173" s="18">
        <v>25</v>
      </c>
      <c r="J173" s="18">
        <v>50</v>
      </c>
      <c r="K173" s="21" t="str">
        <f t="shared" si="5"/>
        <v>Low</v>
      </c>
      <c r="L173" s="18">
        <f>YEAR(B173)</f>
        <v>2023</v>
      </c>
      <c r="M173" s="18">
        <f>ROUNDUP(MONTH(B173)/3,0)</f>
        <v>3</v>
      </c>
      <c r="N173" s="20" t="str">
        <f>TEXT(B173,"dddd")</f>
        <v>Sunday</v>
      </c>
      <c r="O173" s="20" t="str">
        <f>TEXT(B173,"mmmm")</f>
        <v>September</v>
      </c>
    </row>
    <row r="174" spans="1:15" x14ac:dyDescent="0.3">
      <c r="A174" s="18">
        <v>173</v>
      </c>
      <c r="B174" s="19">
        <v>45238</v>
      </c>
      <c r="C174" s="20" t="s">
        <v>181</v>
      </c>
      <c r="D174" s="20" t="s">
        <v>5</v>
      </c>
      <c r="E174" s="18">
        <v>64</v>
      </c>
      <c r="F174" s="18" t="str">
        <f t="shared" si="4"/>
        <v>Senior</v>
      </c>
      <c r="G174" s="20" t="s">
        <v>11</v>
      </c>
      <c r="H174" s="18">
        <v>4</v>
      </c>
      <c r="I174" s="18">
        <v>30</v>
      </c>
      <c r="J174" s="18">
        <v>120</v>
      </c>
      <c r="K174" s="21" t="str">
        <f t="shared" si="5"/>
        <v>Low</v>
      </c>
      <c r="L174" s="18">
        <f>YEAR(B174)</f>
        <v>2023</v>
      </c>
      <c r="M174" s="18">
        <f>ROUNDUP(MONTH(B174)/3,0)</f>
        <v>4</v>
      </c>
      <c r="N174" s="20" t="str">
        <f>TEXT(B174,"dddd")</f>
        <v>Wednesday</v>
      </c>
      <c r="O174" s="20" t="str">
        <f>TEXT(B174,"mmmm")</f>
        <v>November</v>
      </c>
    </row>
    <row r="175" spans="1:15" x14ac:dyDescent="0.3">
      <c r="A175" s="18">
        <v>174</v>
      </c>
      <c r="B175" s="19">
        <v>45028</v>
      </c>
      <c r="C175" s="20" t="s">
        <v>182</v>
      </c>
      <c r="D175" s="20" t="s">
        <v>8</v>
      </c>
      <c r="E175" s="18">
        <v>39</v>
      </c>
      <c r="F175" s="18" t="str">
        <f t="shared" si="4"/>
        <v>Adult</v>
      </c>
      <c r="G175" s="20" t="s">
        <v>6</v>
      </c>
      <c r="H175" s="18">
        <v>1</v>
      </c>
      <c r="I175" s="18">
        <v>300</v>
      </c>
      <c r="J175" s="18">
        <v>300</v>
      </c>
      <c r="K175" s="21" t="str">
        <f t="shared" si="5"/>
        <v>Low</v>
      </c>
      <c r="L175" s="18">
        <f>YEAR(B175)</f>
        <v>2023</v>
      </c>
      <c r="M175" s="18">
        <f>ROUNDUP(MONTH(B175)/3,0)</f>
        <v>2</v>
      </c>
      <c r="N175" s="20" t="str">
        <f>TEXT(B175,"dddd")</f>
        <v>Wednesday</v>
      </c>
      <c r="O175" s="20" t="str">
        <f>TEXT(B175,"mmmm")</f>
        <v>April</v>
      </c>
    </row>
    <row r="176" spans="1:15" x14ac:dyDescent="0.3">
      <c r="A176" s="18">
        <v>175</v>
      </c>
      <c r="B176" s="19">
        <v>45005</v>
      </c>
      <c r="C176" s="20" t="s">
        <v>183</v>
      </c>
      <c r="D176" s="20" t="s">
        <v>8</v>
      </c>
      <c r="E176" s="18">
        <v>31</v>
      </c>
      <c r="F176" s="18" t="str">
        <f t="shared" si="4"/>
        <v>Adult</v>
      </c>
      <c r="G176" s="20" t="s">
        <v>11</v>
      </c>
      <c r="H176" s="18">
        <v>4</v>
      </c>
      <c r="I176" s="18">
        <v>25</v>
      </c>
      <c r="J176" s="18">
        <v>100</v>
      </c>
      <c r="K176" s="21" t="str">
        <f t="shared" si="5"/>
        <v>Low</v>
      </c>
      <c r="L176" s="18">
        <f>YEAR(B176)</f>
        <v>2023</v>
      </c>
      <c r="M176" s="18">
        <f>ROUNDUP(MONTH(B176)/3,0)</f>
        <v>1</v>
      </c>
      <c r="N176" s="20" t="str">
        <f>TEXT(B176,"dddd")</f>
        <v>Monday</v>
      </c>
      <c r="O176" s="20" t="str">
        <f>TEXT(B176,"mmmm")</f>
        <v>March</v>
      </c>
    </row>
    <row r="177" spans="1:15" x14ac:dyDescent="0.3">
      <c r="A177" s="18">
        <v>176</v>
      </c>
      <c r="B177" s="19">
        <v>45118</v>
      </c>
      <c r="C177" s="20" t="s">
        <v>184</v>
      </c>
      <c r="D177" s="20" t="s">
        <v>8</v>
      </c>
      <c r="E177" s="18">
        <v>43</v>
      </c>
      <c r="F177" s="18" t="str">
        <f t="shared" si="4"/>
        <v>Adult</v>
      </c>
      <c r="G177" s="20" t="s">
        <v>6</v>
      </c>
      <c r="H177" s="18">
        <v>2</v>
      </c>
      <c r="I177" s="18">
        <v>50</v>
      </c>
      <c r="J177" s="18">
        <v>100</v>
      </c>
      <c r="K177" s="21" t="str">
        <f t="shared" si="5"/>
        <v>Low</v>
      </c>
      <c r="L177" s="18">
        <f>YEAR(B177)</f>
        <v>2023</v>
      </c>
      <c r="M177" s="18">
        <f>ROUNDUP(MONTH(B177)/3,0)</f>
        <v>3</v>
      </c>
      <c r="N177" s="20" t="str">
        <f>TEXT(B177,"dddd")</f>
        <v>Tuesday</v>
      </c>
      <c r="O177" s="20" t="str">
        <f>TEXT(B177,"mmmm")</f>
        <v>July</v>
      </c>
    </row>
    <row r="178" spans="1:15" x14ac:dyDescent="0.3">
      <c r="A178" s="18">
        <v>177</v>
      </c>
      <c r="B178" s="19">
        <v>45009</v>
      </c>
      <c r="C178" s="20" t="s">
        <v>185</v>
      </c>
      <c r="D178" s="20" t="s">
        <v>5</v>
      </c>
      <c r="E178" s="18">
        <v>45</v>
      </c>
      <c r="F178" s="18" t="str">
        <f t="shared" si="4"/>
        <v>Adult</v>
      </c>
      <c r="G178" s="20" t="s">
        <v>6</v>
      </c>
      <c r="H178" s="18">
        <v>2</v>
      </c>
      <c r="I178" s="18">
        <v>50</v>
      </c>
      <c r="J178" s="18">
        <v>100</v>
      </c>
      <c r="K178" s="21" t="str">
        <f t="shared" si="5"/>
        <v>Low</v>
      </c>
      <c r="L178" s="18">
        <f>YEAR(B178)</f>
        <v>2023</v>
      </c>
      <c r="M178" s="18">
        <f>ROUNDUP(MONTH(B178)/3,0)</f>
        <v>1</v>
      </c>
      <c r="N178" s="20" t="str">
        <f>TEXT(B178,"dddd")</f>
        <v>Friday</v>
      </c>
      <c r="O178" s="20" t="str">
        <f>TEXT(B178,"mmmm")</f>
        <v>March</v>
      </c>
    </row>
    <row r="179" spans="1:15" x14ac:dyDescent="0.3">
      <c r="A179" s="18">
        <v>178</v>
      </c>
      <c r="B179" s="19">
        <v>45203</v>
      </c>
      <c r="C179" s="20" t="s">
        <v>186</v>
      </c>
      <c r="D179" s="20" t="s">
        <v>5</v>
      </c>
      <c r="E179" s="18">
        <v>40</v>
      </c>
      <c r="F179" s="18" t="str">
        <f t="shared" si="4"/>
        <v>Adult</v>
      </c>
      <c r="G179" s="20" t="s">
        <v>9</v>
      </c>
      <c r="H179" s="18">
        <v>2</v>
      </c>
      <c r="I179" s="18">
        <v>30</v>
      </c>
      <c r="J179" s="18">
        <v>60</v>
      </c>
      <c r="K179" s="21" t="str">
        <f t="shared" si="5"/>
        <v>Low</v>
      </c>
      <c r="L179" s="18">
        <f>YEAR(B179)</f>
        <v>2023</v>
      </c>
      <c r="M179" s="18">
        <f>ROUNDUP(MONTH(B179)/3,0)</f>
        <v>4</v>
      </c>
      <c r="N179" s="20" t="str">
        <f>TEXT(B179,"dddd")</f>
        <v>Wednesday</v>
      </c>
      <c r="O179" s="20" t="str">
        <f>TEXT(B179,"mmmm")</f>
        <v>October</v>
      </c>
    </row>
    <row r="180" spans="1:15" x14ac:dyDescent="0.3">
      <c r="A180" s="18">
        <v>179</v>
      </c>
      <c r="B180" s="19">
        <v>45198</v>
      </c>
      <c r="C180" s="20" t="s">
        <v>187</v>
      </c>
      <c r="D180" s="20" t="s">
        <v>5</v>
      </c>
      <c r="E180" s="18">
        <v>31</v>
      </c>
      <c r="F180" s="18" t="str">
        <f t="shared" si="4"/>
        <v>Adult</v>
      </c>
      <c r="G180" s="20" t="s">
        <v>11</v>
      </c>
      <c r="H180" s="18">
        <v>1</v>
      </c>
      <c r="I180" s="18">
        <v>300</v>
      </c>
      <c r="J180" s="18">
        <v>300</v>
      </c>
      <c r="K180" s="21" t="str">
        <f t="shared" si="5"/>
        <v>Low</v>
      </c>
      <c r="L180" s="18">
        <f>YEAR(B180)</f>
        <v>2023</v>
      </c>
      <c r="M180" s="18">
        <f>ROUNDUP(MONTH(B180)/3,0)</f>
        <v>3</v>
      </c>
      <c r="N180" s="20" t="str">
        <f>TEXT(B180,"dddd")</f>
        <v>Friday</v>
      </c>
      <c r="O180" s="20" t="str">
        <f>TEXT(B180,"mmmm")</f>
        <v>September</v>
      </c>
    </row>
    <row r="181" spans="1:15" x14ac:dyDescent="0.3">
      <c r="A181" s="18">
        <v>180</v>
      </c>
      <c r="B181" s="19">
        <v>44927</v>
      </c>
      <c r="C181" s="20" t="s">
        <v>188</v>
      </c>
      <c r="D181" s="20" t="s">
        <v>5</v>
      </c>
      <c r="E181" s="18">
        <v>41</v>
      </c>
      <c r="F181" s="18" t="str">
        <f t="shared" si="4"/>
        <v>Adult</v>
      </c>
      <c r="G181" s="20" t="s">
        <v>9</v>
      </c>
      <c r="H181" s="18">
        <v>3</v>
      </c>
      <c r="I181" s="18">
        <v>300</v>
      </c>
      <c r="J181" s="18">
        <v>900</v>
      </c>
      <c r="K181" s="21" t="str">
        <f t="shared" si="5"/>
        <v>Medium</v>
      </c>
      <c r="L181" s="18">
        <f>YEAR(B181)</f>
        <v>2023</v>
      </c>
      <c r="M181" s="18">
        <f>ROUNDUP(MONTH(B181)/3,0)</f>
        <v>1</v>
      </c>
      <c r="N181" s="20" t="str">
        <f>TEXT(B181,"dddd")</f>
        <v>Sunday</v>
      </c>
      <c r="O181" s="20" t="str">
        <f>TEXT(B181,"mmmm")</f>
        <v>January</v>
      </c>
    </row>
    <row r="182" spans="1:15" x14ac:dyDescent="0.3">
      <c r="A182" s="18">
        <v>181</v>
      </c>
      <c r="B182" s="19">
        <v>45233</v>
      </c>
      <c r="C182" s="20" t="s">
        <v>189</v>
      </c>
      <c r="D182" s="20" t="s">
        <v>5</v>
      </c>
      <c r="E182" s="18">
        <v>19</v>
      </c>
      <c r="F182" s="18" t="str">
        <f t="shared" si="4"/>
        <v>Young</v>
      </c>
      <c r="G182" s="20" t="s">
        <v>11</v>
      </c>
      <c r="H182" s="18">
        <v>4</v>
      </c>
      <c r="I182" s="18">
        <v>300</v>
      </c>
      <c r="J182" s="18">
        <v>1200</v>
      </c>
      <c r="K182" s="21" t="str">
        <f t="shared" si="5"/>
        <v>Medium</v>
      </c>
      <c r="L182" s="18">
        <f>YEAR(B182)</f>
        <v>2023</v>
      </c>
      <c r="M182" s="18">
        <f>ROUNDUP(MONTH(B182)/3,0)</f>
        <v>4</v>
      </c>
      <c r="N182" s="20" t="str">
        <f>TEXT(B182,"dddd")</f>
        <v>Friday</v>
      </c>
      <c r="O182" s="20" t="str">
        <f>TEXT(B182,"mmmm")</f>
        <v>November</v>
      </c>
    </row>
    <row r="183" spans="1:15" x14ac:dyDescent="0.3">
      <c r="A183" s="18">
        <v>182</v>
      </c>
      <c r="B183" s="19">
        <v>45092</v>
      </c>
      <c r="C183" s="20" t="s">
        <v>190</v>
      </c>
      <c r="D183" s="20" t="s">
        <v>5</v>
      </c>
      <c r="E183" s="18">
        <v>62</v>
      </c>
      <c r="F183" s="18" t="str">
        <f t="shared" si="4"/>
        <v>Senior</v>
      </c>
      <c r="G183" s="20" t="s">
        <v>6</v>
      </c>
      <c r="H183" s="18">
        <v>4</v>
      </c>
      <c r="I183" s="18">
        <v>30</v>
      </c>
      <c r="J183" s="18">
        <v>120</v>
      </c>
      <c r="K183" s="21" t="str">
        <f t="shared" si="5"/>
        <v>Low</v>
      </c>
      <c r="L183" s="18">
        <f>YEAR(B183)</f>
        <v>2023</v>
      </c>
      <c r="M183" s="18">
        <f>ROUNDUP(MONTH(B183)/3,0)</f>
        <v>2</v>
      </c>
      <c r="N183" s="20" t="str">
        <f>TEXT(B183,"dddd")</f>
        <v>Thursday</v>
      </c>
      <c r="O183" s="20" t="str">
        <f>TEXT(B183,"mmmm")</f>
        <v>June</v>
      </c>
    </row>
    <row r="184" spans="1:15" x14ac:dyDescent="0.3">
      <c r="A184" s="18">
        <v>183</v>
      </c>
      <c r="B184" s="19">
        <v>45177</v>
      </c>
      <c r="C184" s="20" t="s">
        <v>191</v>
      </c>
      <c r="D184" s="20" t="s">
        <v>8</v>
      </c>
      <c r="E184" s="18">
        <v>43</v>
      </c>
      <c r="F184" s="18" t="str">
        <f t="shared" si="4"/>
        <v>Adult</v>
      </c>
      <c r="G184" s="20" t="s">
        <v>6</v>
      </c>
      <c r="H184" s="18">
        <v>3</v>
      </c>
      <c r="I184" s="18">
        <v>300</v>
      </c>
      <c r="J184" s="18">
        <v>900</v>
      </c>
      <c r="K184" s="21" t="str">
        <f t="shared" si="5"/>
        <v>Medium</v>
      </c>
      <c r="L184" s="18">
        <f>YEAR(B184)</f>
        <v>2023</v>
      </c>
      <c r="M184" s="18">
        <f>ROUNDUP(MONTH(B184)/3,0)</f>
        <v>3</v>
      </c>
      <c r="N184" s="20" t="str">
        <f>TEXT(B184,"dddd")</f>
        <v>Friday</v>
      </c>
      <c r="O184" s="20" t="str">
        <f>TEXT(B184,"mmmm")</f>
        <v>September</v>
      </c>
    </row>
    <row r="185" spans="1:15" x14ac:dyDescent="0.3">
      <c r="A185" s="18">
        <v>184</v>
      </c>
      <c r="B185" s="19">
        <v>44936</v>
      </c>
      <c r="C185" s="20" t="s">
        <v>192</v>
      </c>
      <c r="D185" s="20" t="s">
        <v>5</v>
      </c>
      <c r="E185" s="18">
        <v>31</v>
      </c>
      <c r="F185" s="18" t="str">
        <f t="shared" si="4"/>
        <v>Adult</v>
      </c>
      <c r="G185" s="20" t="s">
        <v>11</v>
      </c>
      <c r="H185" s="18">
        <v>4</v>
      </c>
      <c r="I185" s="18">
        <v>50</v>
      </c>
      <c r="J185" s="18">
        <v>200</v>
      </c>
      <c r="K185" s="21" t="str">
        <f t="shared" si="5"/>
        <v>Low</v>
      </c>
      <c r="L185" s="18">
        <f>YEAR(B185)</f>
        <v>2023</v>
      </c>
      <c r="M185" s="18">
        <f>ROUNDUP(MONTH(B185)/3,0)</f>
        <v>1</v>
      </c>
      <c r="N185" s="20" t="str">
        <f>TEXT(B185,"dddd")</f>
        <v>Tuesday</v>
      </c>
      <c r="O185" s="20" t="str">
        <f>TEXT(B185,"mmmm")</f>
        <v>January</v>
      </c>
    </row>
    <row r="186" spans="1:15" x14ac:dyDescent="0.3">
      <c r="A186" s="18">
        <v>185</v>
      </c>
      <c r="B186" s="19">
        <v>44984</v>
      </c>
      <c r="C186" s="20" t="s">
        <v>193</v>
      </c>
      <c r="D186" s="20" t="s">
        <v>5</v>
      </c>
      <c r="E186" s="18">
        <v>24</v>
      </c>
      <c r="F186" s="18" t="str">
        <f t="shared" si="4"/>
        <v>Young</v>
      </c>
      <c r="G186" s="20" t="s">
        <v>9</v>
      </c>
      <c r="H186" s="18">
        <v>1</v>
      </c>
      <c r="I186" s="18">
        <v>25</v>
      </c>
      <c r="J186" s="18">
        <v>25</v>
      </c>
      <c r="K186" s="21" t="str">
        <f t="shared" si="5"/>
        <v>Low</v>
      </c>
      <c r="L186" s="18">
        <f>YEAR(B186)</f>
        <v>2023</v>
      </c>
      <c r="M186" s="18">
        <f>ROUNDUP(MONTH(B186)/3,0)</f>
        <v>1</v>
      </c>
      <c r="N186" s="20" t="str">
        <f>TEXT(B186,"dddd")</f>
        <v>Monday</v>
      </c>
      <c r="O186" s="20" t="str">
        <f>TEXT(B186,"mmmm")</f>
        <v>February</v>
      </c>
    </row>
    <row r="187" spans="1:15" x14ac:dyDescent="0.3">
      <c r="A187" s="18">
        <v>186</v>
      </c>
      <c r="B187" s="19">
        <v>45112</v>
      </c>
      <c r="C187" s="20" t="s">
        <v>194</v>
      </c>
      <c r="D187" s="20" t="s">
        <v>5</v>
      </c>
      <c r="E187" s="18">
        <v>20</v>
      </c>
      <c r="F187" s="18" t="str">
        <f t="shared" si="4"/>
        <v>Young</v>
      </c>
      <c r="G187" s="20" t="s">
        <v>9</v>
      </c>
      <c r="H187" s="18">
        <v>4</v>
      </c>
      <c r="I187" s="18">
        <v>50</v>
      </c>
      <c r="J187" s="18">
        <v>200</v>
      </c>
      <c r="K187" s="21" t="str">
        <f t="shared" si="5"/>
        <v>Low</v>
      </c>
      <c r="L187" s="18">
        <f>YEAR(B187)</f>
        <v>2023</v>
      </c>
      <c r="M187" s="18">
        <f>ROUNDUP(MONTH(B187)/3,0)</f>
        <v>3</v>
      </c>
      <c r="N187" s="20" t="str">
        <f>TEXT(B187,"dddd")</f>
        <v>Wednesday</v>
      </c>
      <c r="O187" s="20" t="str">
        <f>TEXT(B187,"mmmm")</f>
        <v>July</v>
      </c>
    </row>
    <row r="188" spans="1:15" x14ac:dyDescent="0.3">
      <c r="A188" s="18">
        <v>187</v>
      </c>
      <c r="B188" s="19">
        <v>45084</v>
      </c>
      <c r="C188" s="20" t="s">
        <v>195</v>
      </c>
      <c r="D188" s="20" t="s">
        <v>8</v>
      </c>
      <c r="E188" s="18">
        <v>64</v>
      </c>
      <c r="F188" s="18" t="str">
        <f t="shared" si="4"/>
        <v>Senior</v>
      </c>
      <c r="G188" s="20" t="s">
        <v>9</v>
      </c>
      <c r="H188" s="18">
        <v>2</v>
      </c>
      <c r="I188" s="18">
        <v>50</v>
      </c>
      <c r="J188" s="18">
        <v>100</v>
      </c>
      <c r="K188" s="21" t="str">
        <f t="shared" si="5"/>
        <v>Low</v>
      </c>
      <c r="L188" s="18">
        <f>YEAR(B188)</f>
        <v>2023</v>
      </c>
      <c r="M188" s="18">
        <f>ROUNDUP(MONTH(B188)/3,0)</f>
        <v>2</v>
      </c>
      <c r="N188" s="20" t="str">
        <f>TEXT(B188,"dddd")</f>
        <v>Wednesday</v>
      </c>
      <c r="O188" s="20" t="str">
        <f>TEXT(B188,"mmmm")</f>
        <v>June</v>
      </c>
    </row>
    <row r="189" spans="1:15" x14ac:dyDescent="0.3">
      <c r="A189" s="18">
        <v>188</v>
      </c>
      <c r="B189" s="19">
        <v>45049</v>
      </c>
      <c r="C189" s="20" t="s">
        <v>196</v>
      </c>
      <c r="D189" s="20" t="s">
        <v>5</v>
      </c>
      <c r="E189" s="18">
        <v>40</v>
      </c>
      <c r="F189" s="18" t="str">
        <f t="shared" si="4"/>
        <v>Adult</v>
      </c>
      <c r="G189" s="20" t="s">
        <v>9</v>
      </c>
      <c r="H189" s="18">
        <v>3</v>
      </c>
      <c r="I189" s="18">
        <v>25</v>
      </c>
      <c r="J189" s="18">
        <v>75</v>
      </c>
      <c r="K189" s="21" t="str">
        <f t="shared" si="5"/>
        <v>Low</v>
      </c>
      <c r="L189" s="18">
        <f>YEAR(B189)</f>
        <v>2023</v>
      </c>
      <c r="M189" s="18">
        <f>ROUNDUP(MONTH(B189)/3,0)</f>
        <v>2</v>
      </c>
      <c r="N189" s="20" t="str">
        <f>TEXT(B189,"dddd")</f>
        <v>Wednesday</v>
      </c>
      <c r="O189" s="20" t="str">
        <f>TEXT(B189,"mmmm")</f>
        <v>May</v>
      </c>
    </row>
    <row r="190" spans="1:15" x14ac:dyDescent="0.3">
      <c r="A190" s="18">
        <v>189</v>
      </c>
      <c r="B190" s="19">
        <v>44956</v>
      </c>
      <c r="C190" s="20" t="s">
        <v>197</v>
      </c>
      <c r="D190" s="20" t="s">
        <v>5</v>
      </c>
      <c r="E190" s="18">
        <v>63</v>
      </c>
      <c r="F190" s="18" t="str">
        <f t="shared" si="4"/>
        <v>Senior</v>
      </c>
      <c r="G190" s="20" t="s">
        <v>6</v>
      </c>
      <c r="H190" s="18">
        <v>1</v>
      </c>
      <c r="I190" s="18">
        <v>50</v>
      </c>
      <c r="J190" s="18">
        <v>50</v>
      </c>
      <c r="K190" s="21" t="str">
        <f t="shared" si="5"/>
        <v>Low</v>
      </c>
      <c r="L190" s="18">
        <f>YEAR(B190)</f>
        <v>2023</v>
      </c>
      <c r="M190" s="18">
        <f>ROUNDUP(MONTH(B190)/3,0)</f>
        <v>1</v>
      </c>
      <c r="N190" s="20" t="str">
        <f>TEXT(B190,"dddd")</f>
        <v>Monday</v>
      </c>
      <c r="O190" s="20" t="str">
        <f>TEXT(B190,"mmmm")</f>
        <v>January</v>
      </c>
    </row>
    <row r="191" spans="1:15" x14ac:dyDescent="0.3">
      <c r="A191" s="18">
        <v>190</v>
      </c>
      <c r="B191" s="19">
        <v>45050</v>
      </c>
      <c r="C191" s="20" t="s">
        <v>198</v>
      </c>
      <c r="D191" s="20" t="s">
        <v>8</v>
      </c>
      <c r="E191" s="18">
        <v>60</v>
      </c>
      <c r="F191" s="18" t="str">
        <f t="shared" si="4"/>
        <v>Adult</v>
      </c>
      <c r="G191" s="20" t="s">
        <v>6</v>
      </c>
      <c r="H191" s="18">
        <v>3</v>
      </c>
      <c r="I191" s="18">
        <v>30</v>
      </c>
      <c r="J191" s="18">
        <v>90</v>
      </c>
      <c r="K191" s="21" t="str">
        <f t="shared" si="5"/>
        <v>Low</v>
      </c>
      <c r="L191" s="18">
        <f>YEAR(B191)</f>
        <v>2023</v>
      </c>
      <c r="M191" s="18">
        <f>ROUNDUP(MONTH(B191)/3,0)</f>
        <v>2</v>
      </c>
      <c r="N191" s="20" t="str">
        <f>TEXT(B191,"dddd")</f>
        <v>Thursday</v>
      </c>
      <c r="O191" s="20" t="str">
        <f>TEXT(B191,"mmmm")</f>
        <v>May</v>
      </c>
    </row>
    <row r="192" spans="1:15" x14ac:dyDescent="0.3">
      <c r="A192" s="18">
        <v>191</v>
      </c>
      <c r="B192" s="19">
        <v>45217</v>
      </c>
      <c r="C192" s="20" t="s">
        <v>199</v>
      </c>
      <c r="D192" s="20" t="s">
        <v>5</v>
      </c>
      <c r="E192" s="18">
        <v>64</v>
      </c>
      <c r="F192" s="18" t="str">
        <f t="shared" si="4"/>
        <v>Senior</v>
      </c>
      <c r="G192" s="20" t="s">
        <v>6</v>
      </c>
      <c r="H192" s="18">
        <v>1</v>
      </c>
      <c r="I192" s="18">
        <v>25</v>
      </c>
      <c r="J192" s="18">
        <v>25</v>
      </c>
      <c r="K192" s="21" t="str">
        <f t="shared" si="5"/>
        <v>Low</v>
      </c>
      <c r="L192" s="18">
        <f>YEAR(B192)</f>
        <v>2023</v>
      </c>
      <c r="M192" s="18">
        <f>ROUNDUP(MONTH(B192)/3,0)</f>
        <v>4</v>
      </c>
      <c r="N192" s="20" t="str">
        <f>TEXT(B192,"dddd")</f>
        <v>Wednesday</v>
      </c>
      <c r="O192" s="20" t="str">
        <f>TEXT(B192,"mmmm")</f>
        <v>October</v>
      </c>
    </row>
    <row r="193" spans="1:15" x14ac:dyDescent="0.3">
      <c r="A193" s="18">
        <v>192</v>
      </c>
      <c r="B193" s="19">
        <v>44967</v>
      </c>
      <c r="C193" s="20" t="s">
        <v>200</v>
      </c>
      <c r="D193" s="20" t="s">
        <v>5</v>
      </c>
      <c r="E193" s="18">
        <v>62</v>
      </c>
      <c r="F193" s="18" t="str">
        <f t="shared" si="4"/>
        <v>Senior</v>
      </c>
      <c r="G193" s="20" t="s">
        <v>6</v>
      </c>
      <c r="H193" s="18">
        <v>2</v>
      </c>
      <c r="I193" s="18">
        <v>50</v>
      </c>
      <c r="J193" s="18">
        <v>100</v>
      </c>
      <c r="K193" s="21" t="str">
        <f t="shared" si="5"/>
        <v>Low</v>
      </c>
      <c r="L193" s="18">
        <f>YEAR(B193)</f>
        <v>2023</v>
      </c>
      <c r="M193" s="18">
        <f>ROUNDUP(MONTH(B193)/3,0)</f>
        <v>1</v>
      </c>
      <c r="N193" s="20" t="str">
        <f>TEXT(B193,"dddd")</f>
        <v>Friday</v>
      </c>
      <c r="O193" s="20" t="str">
        <f>TEXT(B193,"mmmm")</f>
        <v>February</v>
      </c>
    </row>
    <row r="194" spans="1:15" x14ac:dyDescent="0.3">
      <c r="A194" s="18">
        <v>193</v>
      </c>
      <c r="B194" s="19">
        <v>44970</v>
      </c>
      <c r="C194" s="20" t="s">
        <v>201</v>
      </c>
      <c r="D194" s="20" t="s">
        <v>5</v>
      </c>
      <c r="E194" s="18">
        <v>35</v>
      </c>
      <c r="F194" s="18" t="str">
        <f t="shared" si="4"/>
        <v>Adult</v>
      </c>
      <c r="G194" s="20" t="s">
        <v>6</v>
      </c>
      <c r="H194" s="18">
        <v>3</v>
      </c>
      <c r="I194" s="18">
        <v>500</v>
      </c>
      <c r="J194" s="18">
        <v>1500</v>
      </c>
      <c r="K194" s="21" t="str">
        <f t="shared" si="5"/>
        <v>Medium</v>
      </c>
      <c r="L194" s="18">
        <f>YEAR(B194)</f>
        <v>2023</v>
      </c>
      <c r="M194" s="18">
        <f>ROUNDUP(MONTH(B194)/3,0)</f>
        <v>1</v>
      </c>
      <c r="N194" s="20" t="str">
        <f>TEXT(B194,"dddd")</f>
        <v>Monday</v>
      </c>
      <c r="O194" s="20" t="str">
        <f>TEXT(B194,"mmmm")</f>
        <v>February</v>
      </c>
    </row>
    <row r="195" spans="1:15" x14ac:dyDescent="0.3">
      <c r="A195" s="18">
        <v>194</v>
      </c>
      <c r="B195" s="19">
        <v>45175</v>
      </c>
      <c r="C195" s="20" t="s">
        <v>202</v>
      </c>
      <c r="D195" s="20" t="s">
        <v>5</v>
      </c>
      <c r="E195" s="18">
        <v>55</v>
      </c>
      <c r="F195" s="18" t="str">
        <f t="shared" ref="F195:F258" si="6">IF(E195&gt;60,"Senior",IF(E195&gt;30,"Adult","Young"))</f>
        <v>Adult</v>
      </c>
      <c r="G195" s="20" t="s">
        <v>9</v>
      </c>
      <c r="H195" s="18">
        <v>4</v>
      </c>
      <c r="I195" s="18">
        <v>50</v>
      </c>
      <c r="J195" s="18">
        <v>200</v>
      </c>
      <c r="K195" s="21" t="str">
        <f t="shared" ref="K195:K258" si="7">IF(J195&gt;1500,"High",IF(J195&gt;500,"Medium","Low"))</f>
        <v>Low</v>
      </c>
      <c r="L195" s="18">
        <f>YEAR(B195)</f>
        <v>2023</v>
      </c>
      <c r="M195" s="18">
        <f>ROUNDUP(MONTH(B195)/3,0)</f>
        <v>3</v>
      </c>
      <c r="N195" s="20" t="str">
        <f>TEXT(B195,"dddd")</f>
        <v>Wednesday</v>
      </c>
      <c r="O195" s="20" t="str">
        <f>TEXT(B195,"mmmm")</f>
        <v>September</v>
      </c>
    </row>
    <row r="196" spans="1:15" x14ac:dyDescent="0.3">
      <c r="A196" s="18">
        <v>195</v>
      </c>
      <c r="B196" s="19">
        <v>44962</v>
      </c>
      <c r="C196" s="20" t="s">
        <v>203</v>
      </c>
      <c r="D196" s="20" t="s">
        <v>5</v>
      </c>
      <c r="E196" s="18">
        <v>52</v>
      </c>
      <c r="F196" s="18" t="str">
        <f t="shared" si="6"/>
        <v>Adult</v>
      </c>
      <c r="G196" s="20" t="s">
        <v>9</v>
      </c>
      <c r="H196" s="18">
        <v>1</v>
      </c>
      <c r="I196" s="18">
        <v>30</v>
      </c>
      <c r="J196" s="18">
        <v>30</v>
      </c>
      <c r="K196" s="21" t="str">
        <f t="shared" si="7"/>
        <v>Low</v>
      </c>
      <c r="L196" s="18">
        <f>YEAR(B196)</f>
        <v>2023</v>
      </c>
      <c r="M196" s="18">
        <f>ROUNDUP(MONTH(B196)/3,0)</f>
        <v>1</v>
      </c>
      <c r="N196" s="20" t="str">
        <f>TEXT(B196,"dddd")</f>
        <v>Sunday</v>
      </c>
      <c r="O196" s="20" t="str">
        <f>TEXT(B196,"mmmm")</f>
        <v>February</v>
      </c>
    </row>
    <row r="197" spans="1:15" x14ac:dyDescent="0.3">
      <c r="A197" s="18">
        <v>196</v>
      </c>
      <c r="B197" s="19">
        <v>45199</v>
      </c>
      <c r="C197" s="20" t="s">
        <v>204</v>
      </c>
      <c r="D197" s="20" t="s">
        <v>8</v>
      </c>
      <c r="E197" s="18">
        <v>32</v>
      </c>
      <c r="F197" s="18" t="str">
        <f t="shared" si="6"/>
        <v>Adult</v>
      </c>
      <c r="G197" s="20" t="s">
        <v>9</v>
      </c>
      <c r="H197" s="18">
        <v>3</v>
      </c>
      <c r="I197" s="18">
        <v>300</v>
      </c>
      <c r="J197" s="18">
        <v>900</v>
      </c>
      <c r="K197" s="21" t="str">
        <f t="shared" si="7"/>
        <v>Medium</v>
      </c>
      <c r="L197" s="18">
        <f>YEAR(B197)</f>
        <v>2023</v>
      </c>
      <c r="M197" s="18">
        <f>ROUNDUP(MONTH(B197)/3,0)</f>
        <v>3</v>
      </c>
      <c r="N197" s="20" t="str">
        <f>TEXT(B197,"dddd")</f>
        <v>Saturday</v>
      </c>
      <c r="O197" s="20" t="str">
        <f>TEXT(B197,"mmmm")</f>
        <v>September</v>
      </c>
    </row>
    <row r="198" spans="1:15" x14ac:dyDescent="0.3">
      <c r="A198" s="18">
        <v>197</v>
      </c>
      <c r="B198" s="19">
        <v>44991</v>
      </c>
      <c r="C198" s="20" t="s">
        <v>205</v>
      </c>
      <c r="D198" s="20" t="s">
        <v>8</v>
      </c>
      <c r="E198" s="18">
        <v>42</v>
      </c>
      <c r="F198" s="18" t="str">
        <f t="shared" si="6"/>
        <v>Adult</v>
      </c>
      <c r="G198" s="20" t="s">
        <v>9</v>
      </c>
      <c r="H198" s="18">
        <v>4</v>
      </c>
      <c r="I198" s="18">
        <v>50</v>
      </c>
      <c r="J198" s="18">
        <v>200</v>
      </c>
      <c r="K198" s="21" t="str">
        <f t="shared" si="7"/>
        <v>Low</v>
      </c>
      <c r="L198" s="18">
        <f>YEAR(B198)</f>
        <v>2023</v>
      </c>
      <c r="M198" s="18">
        <f>ROUNDUP(MONTH(B198)/3,0)</f>
        <v>1</v>
      </c>
      <c r="N198" s="20" t="str">
        <f>TEXT(B198,"dddd")</f>
        <v>Monday</v>
      </c>
      <c r="O198" s="20" t="str">
        <f>TEXT(B198,"mmmm")</f>
        <v>March</v>
      </c>
    </row>
    <row r="199" spans="1:15" x14ac:dyDescent="0.3">
      <c r="A199" s="18">
        <v>198</v>
      </c>
      <c r="B199" s="19">
        <v>44992</v>
      </c>
      <c r="C199" s="20" t="s">
        <v>206</v>
      </c>
      <c r="D199" s="20" t="s">
        <v>8</v>
      </c>
      <c r="E199" s="18">
        <v>54</v>
      </c>
      <c r="F199" s="18" t="str">
        <f t="shared" si="6"/>
        <v>Adult</v>
      </c>
      <c r="G199" s="20" t="s">
        <v>6</v>
      </c>
      <c r="H199" s="18">
        <v>3</v>
      </c>
      <c r="I199" s="18">
        <v>300</v>
      </c>
      <c r="J199" s="18">
        <v>900</v>
      </c>
      <c r="K199" s="21" t="str">
        <f t="shared" si="7"/>
        <v>Medium</v>
      </c>
      <c r="L199" s="18">
        <f>YEAR(B199)</f>
        <v>2023</v>
      </c>
      <c r="M199" s="18">
        <f>ROUNDUP(MONTH(B199)/3,0)</f>
        <v>1</v>
      </c>
      <c r="N199" s="20" t="str">
        <f>TEXT(B199,"dddd")</f>
        <v>Tuesday</v>
      </c>
      <c r="O199" s="20" t="str">
        <f>TEXT(B199,"mmmm")</f>
        <v>March</v>
      </c>
    </row>
    <row r="200" spans="1:15" x14ac:dyDescent="0.3">
      <c r="A200" s="18">
        <v>199</v>
      </c>
      <c r="B200" s="19">
        <v>45264</v>
      </c>
      <c r="C200" s="20" t="s">
        <v>207</v>
      </c>
      <c r="D200" s="20" t="s">
        <v>5</v>
      </c>
      <c r="E200" s="18">
        <v>45</v>
      </c>
      <c r="F200" s="18" t="str">
        <f t="shared" si="6"/>
        <v>Adult</v>
      </c>
      <c r="G200" s="20" t="s">
        <v>6</v>
      </c>
      <c r="H200" s="18">
        <v>3</v>
      </c>
      <c r="I200" s="18">
        <v>500</v>
      </c>
      <c r="J200" s="18">
        <v>1500</v>
      </c>
      <c r="K200" s="21" t="str">
        <f t="shared" si="7"/>
        <v>Medium</v>
      </c>
      <c r="L200" s="18">
        <f>YEAR(B200)</f>
        <v>2023</v>
      </c>
      <c r="M200" s="18">
        <f>ROUNDUP(MONTH(B200)/3,0)</f>
        <v>4</v>
      </c>
      <c r="N200" s="20" t="str">
        <f>TEXT(B200,"dddd")</f>
        <v>Monday</v>
      </c>
      <c r="O200" s="20" t="str">
        <f>TEXT(B200,"mmmm")</f>
        <v>December</v>
      </c>
    </row>
    <row r="201" spans="1:15" x14ac:dyDescent="0.3">
      <c r="A201" s="18">
        <v>200</v>
      </c>
      <c r="B201" s="19">
        <v>45170</v>
      </c>
      <c r="C201" s="20" t="s">
        <v>208</v>
      </c>
      <c r="D201" s="20" t="s">
        <v>5</v>
      </c>
      <c r="E201" s="18">
        <v>27</v>
      </c>
      <c r="F201" s="18" t="str">
        <f t="shared" si="6"/>
        <v>Young</v>
      </c>
      <c r="G201" s="20" t="s">
        <v>6</v>
      </c>
      <c r="H201" s="18">
        <v>3</v>
      </c>
      <c r="I201" s="18">
        <v>50</v>
      </c>
      <c r="J201" s="18">
        <v>150</v>
      </c>
      <c r="K201" s="21" t="str">
        <f t="shared" si="7"/>
        <v>Low</v>
      </c>
      <c r="L201" s="18">
        <f>YEAR(B201)</f>
        <v>2023</v>
      </c>
      <c r="M201" s="18">
        <f>ROUNDUP(MONTH(B201)/3,0)</f>
        <v>3</v>
      </c>
      <c r="N201" s="20" t="str">
        <f>TEXT(B201,"dddd")</f>
        <v>Friday</v>
      </c>
      <c r="O201" s="20" t="str">
        <f>TEXT(B201,"mmmm")</f>
        <v>September</v>
      </c>
    </row>
    <row r="202" spans="1:15" x14ac:dyDescent="0.3">
      <c r="A202" s="18">
        <v>201</v>
      </c>
      <c r="B202" s="19">
        <v>45208</v>
      </c>
      <c r="C202" s="20" t="s">
        <v>209</v>
      </c>
      <c r="D202" s="20" t="s">
        <v>5</v>
      </c>
      <c r="E202" s="18">
        <v>56</v>
      </c>
      <c r="F202" s="18" t="str">
        <f t="shared" si="6"/>
        <v>Adult</v>
      </c>
      <c r="G202" s="20" t="s">
        <v>11</v>
      </c>
      <c r="H202" s="18">
        <v>1</v>
      </c>
      <c r="I202" s="18">
        <v>25</v>
      </c>
      <c r="J202" s="18">
        <v>25</v>
      </c>
      <c r="K202" s="21" t="str">
        <f t="shared" si="7"/>
        <v>Low</v>
      </c>
      <c r="L202" s="18">
        <f>YEAR(B202)</f>
        <v>2023</v>
      </c>
      <c r="M202" s="18">
        <f>ROUNDUP(MONTH(B202)/3,0)</f>
        <v>4</v>
      </c>
      <c r="N202" s="20" t="str">
        <f>TEXT(B202,"dddd")</f>
        <v>Monday</v>
      </c>
      <c r="O202" s="20" t="str">
        <f>TEXT(B202,"mmmm")</f>
        <v>October</v>
      </c>
    </row>
    <row r="203" spans="1:15" x14ac:dyDescent="0.3">
      <c r="A203" s="18">
        <v>202</v>
      </c>
      <c r="B203" s="19">
        <v>45011</v>
      </c>
      <c r="C203" s="20" t="s">
        <v>210</v>
      </c>
      <c r="D203" s="20" t="s">
        <v>8</v>
      </c>
      <c r="E203" s="18">
        <v>34</v>
      </c>
      <c r="F203" s="18" t="str">
        <f t="shared" si="6"/>
        <v>Adult</v>
      </c>
      <c r="G203" s="20" t="s">
        <v>9</v>
      </c>
      <c r="H203" s="18">
        <v>4</v>
      </c>
      <c r="I203" s="18">
        <v>300</v>
      </c>
      <c r="J203" s="18">
        <v>1200</v>
      </c>
      <c r="K203" s="21" t="str">
        <f t="shared" si="7"/>
        <v>Medium</v>
      </c>
      <c r="L203" s="18">
        <f>YEAR(B203)</f>
        <v>2023</v>
      </c>
      <c r="M203" s="18">
        <f>ROUNDUP(MONTH(B203)/3,0)</f>
        <v>1</v>
      </c>
      <c r="N203" s="20" t="str">
        <f>TEXT(B203,"dddd")</f>
        <v>Sunday</v>
      </c>
      <c r="O203" s="20" t="str">
        <f>TEXT(B203,"mmmm")</f>
        <v>March</v>
      </c>
    </row>
    <row r="204" spans="1:15" x14ac:dyDescent="0.3">
      <c r="A204" s="18">
        <v>203</v>
      </c>
      <c r="B204" s="19">
        <v>45062</v>
      </c>
      <c r="C204" s="20" t="s">
        <v>211</v>
      </c>
      <c r="D204" s="20" t="s">
        <v>5</v>
      </c>
      <c r="E204" s="18">
        <v>56</v>
      </c>
      <c r="F204" s="18" t="str">
        <f t="shared" si="6"/>
        <v>Adult</v>
      </c>
      <c r="G204" s="20" t="s">
        <v>9</v>
      </c>
      <c r="H204" s="18">
        <v>2</v>
      </c>
      <c r="I204" s="18">
        <v>500</v>
      </c>
      <c r="J204" s="18">
        <v>1000</v>
      </c>
      <c r="K204" s="21" t="str">
        <f t="shared" si="7"/>
        <v>Medium</v>
      </c>
      <c r="L204" s="18">
        <f>YEAR(B204)</f>
        <v>2023</v>
      </c>
      <c r="M204" s="18">
        <f>ROUNDUP(MONTH(B204)/3,0)</f>
        <v>2</v>
      </c>
      <c r="N204" s="20" t="str">
        <f>TEXT(B204,"dddd")</f>
        <v>Tuesday</v>
      </c>
      <c r="O204" s="20" t="str">
        <f>TEXT(B204,"mmmm")</f>
        <v>May</v>
      </c>
    </row>
    <row r="205" spans="1:15" x14ac:dyDescent="0.3">
      <c r="A205" s="18">
        <v>204</v>
      </c>
      <c r="B205" s="19">
        <v>45197</v>
      </c>
      <c r="C205" s="20" t="s">
        <v>212</v>
      </c>
      <c r="D205" s="20" t="s">
        <v>5</v>
      </c>
      <c r="E205" s="18">
        <v>39</v>
      </c>
      <c r="F205" s="18" t="str">
        <f t="shared" si="6"/>
        <v>Adult</v>
      </c>
      <c r="G205" s="20" t="s">
        <v>6</v>
      </c>
      <c r="H205" s="18">
        <v>1</v>
      </c>
      <c r="I205" s="18">
        <v>25</v>
      </c>
      <c r="J205" s="18">
        <v>25</v>
      </c>
      <c r="K205" s="21" t="str">
        <f t="shared" si="7"/>
        <v>Low</v>
      </c>
      <c r="L205" s="18">
        <f>YEAR(B205)</f>
        <v>2023</v>
      </c>
      <c r="M205" s="18">
        <f>ROUNDUP(MONTH(B205)/3,0)</f>
        <v>3</v>
      </c>
      <c r="N205" s="20" t="str">
        <f>TEXT(B205,"dddd")</f>
        <v>Thursday</v>
      </c>
      <c r="O205" s="20" t="str">
        <f>TEXT(B205,"mmmm")</f>
        <v>September</v>
      </c>
    </row>
    <row r="206" spans="1:15" x14ac:dyDescent="0.3">
      <c r="A206" s="18">
        <v>205</v>
      </c>
      <c r="B206" s="19">
        <v>45237</v>
      </c>
      <c r="C206" s="20" t="s">
        <v>213</v>
      </c>
      <c r="D206" s="20" t="s">
        <v>8</v>
      </c>
      <c r="E206" s="18">
        <v>43</v>
      </c>
      <c r="F206" s="18" t="str">
        <f t="shared" si="6"/>
        <v>Adult</v>
      </c>
      <c r="G206" s="20" t="s">
        <v>9</v>
      </c>
      <c r="H206" s="18">
        <v>1</v>
      </c>
      <c r="I206" s="18">
        <v>25</v>
      </c>
      <c r="J206" s="18">
        <v>25</v>
      </c>
      <c r="K206" s="21" t="str">
        <f t="shared" si="7"/>
        <v>Low</v>
      </c>
      <c r="L206" s="18">
        <f>YEAR(B206)</f>
        <v>2023</v>
      </c>
      <c r="M206" s="18">
        <f>ROUNDUP(MONTH(B206)/3,0)</f>
        <v>4</v>
      </c>
      <c r="N206" s="20" t="str">
        <f>TEXT(B206,"dddd")</f>
        <v>Tuesday</v>
      </c>
      <c r="O206" s="20" t="str">
        <f>TEXT(B206,"mmmm")</f>
        <v>November</v>
      </c>
    </row>
    <row r="207" spans="1:15" x14ac:dyDescent="0.3">
      <c r="A207" s="18">
        <v>206</v>
      </c>
      <c r="B207" s="19">
        <v>45143</v>
      </c>
      <c r="C207" s="20" t="s">
        <v>214</v>
      </c>
      <c r="D207" s="20" t="s">
        <v>5</v>
      </c>
      <c r="E207" s="18">
        <v>61</v>
      </c>
      <c r="F207" s="18" t="str">
        <f t="shared" si="6"/>
        <v>Senior</v>
      </c>
      <c r="G207" s="20" t="s">
        <v>9</v>
      </c>
      <c r="H207" s="18">
        <v>1</v>
      </c>
      <c r="I207" s="18">
        <v>25</v>
      </c>
      <c r="J207" s="18">
        <v>25</v>
      </c>
      <c r="K207" s="21" t="str">
        <f t="shared" si="7"/>
        <v>Low</v>
      </c>
      <c r="L207" s="18">
        <f>YEAR(B207)</f>
        <v>2023</v>
      </c>
      <c r="M207" s="18">
        <f>ROUNDUP(MONTH(B207)/3,0)</f>
        <v>3</v>
      </c>
      <c r="N207" s="20" t="str">
        <f>TEXT(B207,"dddd")</f>
        <v>Saturday</v>
      </c>
      <c r="O207" s="20" t="str">
        <f>TEXT(B207,"mmmm")</f>
        <v>August</v>
      </c>
    </row>
    <row r="208" spans="1:15" x14ac:dyDescent="0.3">
      <c r="A208" s="18">
        <v>207</v>
      </c>
      <c r="B208" s="19">
        <v>45035</v>
      </c>
      <c r="C208" s="20" t="s">
        <v>215</v>
      </c>
      <c r="D208" s="20" t="s">
        <v>8</v>
      </c>
      <c r="E208" s="18">
        <v>42</v>
      </c>
      <c r="F208" s="18" t="str">
        <f t="shared" si="6"/>
        <v>Adult</v>
      </c>
      <c r="G208" s="20" t="s">
        <v>6</v>
      </c>
      <c r="H208" s="18">
        <v>2</v>
      </c>
      <c r="I208" s="18">
        <v>25</v>
      </c>
      <c r="J208" s="18">
        <v>50</v>
      </c>
      <c r="K208" s="21" t="str">
        <f t="shared" si="7"/>
        <v>Low</v>
      </c>
      <c r="L208" s="18">
        <f>YEAR(B208)</f>
        <v>2023</v>
      </c>
      <c r="M208" s="18">
        <f>ROUNDUP(MONTH(B208)/3,0)</f>
        <v>2</v>
      </c>
      <c r="N208" s="20" t="str">
        <f>TEXT(B208,"dddd")</f>
        <v>Wednesday</v>
      </c>
      <c r="O208" s="20" t="str">
        <f>TEXT(B208,"mmmm")</f>
        <v>April</v>
      </c>
    </row>
    <row r="209" spans="1:15" x14ac:dyDescent="0.3">
      <c r="A209" s="18">
        <v>208</v>
      </c>
      <c r="B209" s="19">
        <v>45203</v>
      </c>
      <c r="C209" s="20" t="s">
        <v>216</v>
      </c>
      <c r="D209" s="20" t="s">
        <v>8</v>
      </c>
      <c r="E209" s="18">
        <v>34</v>
      </c>
      <c r="F209" s="18" t="str">
        <f t="shared" si="6"/>
        <v>Adult</v>
      </c>
      <c r="G209" s="20" t="s">
        <v>11</v>
      </c>
      <c r="H209" s="18">
        <v>4</v>
      </c>
      <c r="I209" s="18">
        <v>50</v>
      </c>
      <c r="J209" s="18">
        <v>200</v>
      </c>
      <c r="K209" s="21" t="str">
        <f t="shared" si="7"/>
        <v>Low</v>
      </c>
      <c r="L209" s="18">
        <f>YEAR(B209)</f>
        <v>2023</v>
      </c>
      <c r="M209" s="18">
        <f>ROUNDUP(MONTH(B209)/3,0)</f>
        <v>4</v>
      </c>
      <c r="N209" s="20" t="str">
        <f>TEXT(B209,"dddd")</f>
        <v>Wednesday</v>
      </c>
      <c r="O209" s="20" t="str">
        <f>TEXT(B209,"mmmm")</f>
        <v>October</v>
      </c>
    </row>
    <row r="210" spans="1:15" x14ac:dyDescent="0.3">
      <c r="A210" s="18">
        <v>209</v>
      </c>
      <c r="B210" s="19">
        <v>45280</v>
      </c>
      <c r="C210" s="20" t="s">
        <v>217</v>
      </c>
      <c r="D210" s="20" t="s">
        <v>8</v>
      </c>
      <c r="E210" s="18">
        <v>30</v>
      </c>
      <c r="F210" s="18" t="str">
        <f t="shared" si="6"/>
        <v>Young</v>
      </c>
      <c r="G210" s="20" t="s">
        <v>11</v>
      </c>
      <c r="H210" s="18">
        <v>4</v>
      </c>
      <c r="I210" s="18">
        <v>50</v>
      </c>
      <c r="J210" s="18">
        <v>200</v>
      </c>
      <c r="K210" s="21" t="str">
        <f t="shared" si="7"/>
        <v>Low</v>
      </c>
      <c r="L210" s="18">
        <f>YEAR(B210)</f>
        <v>2023</v>
      </c>
      <c r="M210" s="18">
        <f>ROUNDUP(MONTH(B210)/3,0)</f>
        <v>4</v>
      </c>
      <c r="N210" s="20" t="str">
        <f>TEXT(B210,"dddd")</f>
        <v>Wednesday</v>
      </c>
      <c r="O210" s="20" t="str">
        <f>TEXT(B210,"mmmm")</f>
        <v>December</v>
      </c>
    </row>
    <row r="211" spans="1:15" x14ac:dyDescent="0.3">
      <c r="A211" s="18">
        <v>210</v>
      </c>
      <c r="B211" s="19">
        <v>45029</v>
      </c>
      <c r="C211" s="20" t="s">
        <v>218</v>
      </c>
      <c r="D211" s="20" t="s">
        <v>5</v>
      </c>
      <c r="E211" s="18">
        <v>37</v>
      </c>
      <c r="F211" s="18" t="str">
        <f t="shared" si="6"/>
        <v>Adult</v>
      </c>
      <c r="G211" s="20" t="s">
        <v>11</v>
      </c>
      <c r="H211" s="18">
        <v>4</v>
      </c>
      <c r="I211" s="18">
        <v>50</v>
      </c>
      <c r="J211" s="18">
        <v>200</v>
      </c>
      <c r="K211" s="21" t="str">
        <f t="shared" si="7"/>
        <v>Low</v>
      </c>
      <c r="L211" s="18">
        <f>YEAR(B211)</f>
        <v>2023</v>
      </c>
      <c r="M211" s="18">
        <f>ROUNDUP(MONTH(B211)/3,0)</f>
        <v>2</v>
      </c>
      <c r="N211" s="20" t="str">
        <f>TEXT(B211,"dddd")</f>
        <v>Thursday</v>
      </c>
      <c r="O211" s="20" t="str">
        <f>TEXT(B211,"mmmm")</f>
        <v>April</v>
      </c>
    </row>
    <row r="212" spans="1:15" x14ac:dyDescent="0.3">
      <c r="A212" s="18">
        <v>211</v>
      </c>
      <c r="B212" s="19">
        <v>45292</v>
      </c>
      <c r="C212" s="20" t="s">
        <v>219</v>
      </c>
      <c r="D212" s="20" t="s">
        <v>5</v>
      </c>
      <c r="E212" s="18">
        <v>42</v>
      </c>
      <c r="F212" s="18" t="str">
        <f t="shared" si="6"/>
        <v>Adult</v>
      </c>
      <c r="G212" s="20" t="s">
        <v>6</v>
      </c>
      <c r="H212" s="18">
        <v>3</v>
      </c>
      <c r="I212" s="18">
        <v>500</v>
      </c>
      <c r="J212" s="18">
        <v>1500</v>
      </c>
      <c r="K212" s="21" t="str">
        <f t="shared" si="7"/>
        <v>Medium</v>
      </c>
      <c r="L212" s="18">
        <f>YEAR(B212)</f>
        <v>2024</v>
      </c>
      <c r="M212" s="18">
        <f>ROUNDUP(MONTH(B212)/3,0)</f>
        <v>1</v>
      </c>
      <c r="N212" s="20" t="str">
        <f>TEXT(B212,"dddd")</f>
        <v>Monday</v>
      </c>
      <c r="O212" s="20" t="str">
        <f>TEXT(B212,"mmmm")</f>
        <v>January</v>
      </c>
    </row>
    <row r="213" spans="1:15" x14ac:dyDescent="0.3">
      <c r="A213" s="18">
        <v>212</v>
      </c>
      <c r="B213" s="19">
        <v>45086</v>
      </c>
      <c r="C213" s="20" t="s">
        <v>220</v>
      </c>
      <c r="D213" s="20" t="s">
        <v>5</v>
      </c>
      <c r="E213" s="18">
        <v>21</v>
      </c>
      <c r="F213" s="18" t="str">
        <f t="shared" si="6"/>
        <v>Young</v>
      </c>
      <c r="G213" s="20" t="s">
        <v>9</v>
      </c>
      <c r="H213" s="18">
        <v>3</v>
      </c>
      <c r="I213" s="18">
        <v>500</v>
      </c>
      <c r="J213" s="18">
        <v>1500</v>
      </c>
      <c r="K213" s="21" t="str">
        <f t="shared" si="7"/>
        <v>Medium</v>
      </c>
      <c r="L213" s="18">
        <f>YEAR(B213)</f>
        <v>2023</v>
      </c>
      <c r="M213" s="18">
        <f>ROUNDUP(MONTH(B213)/3,0)</f>
        <v>2</v>
      </c>
      <c r="N213" s="20" t="str">
        <f>TEXT(B213,"dddd")</f>
        <v>Friday</v>
      </c>
      <c r="O213" s="20" t="str">
        <f>TEXT(B213,"mmmm")</f>
        <v>June</v>
      </c>
    </row>
    <row r="214" spans="1:15" x14ac:dyDescent="0.3">
      <c r="A214" s="18">
        <v>213</v>
      </c>
      <c r="B214" s="19">
        <v>45131</v>
      </c>
      <c r="C214" s="20" t="s">
        <v>221</v>
      </c>
      <c r="D214" s="20" t="s">
        <v>5</v>
      </c>
      <c r="E214" s="18">
        <v>27</v>
      </c>
      <c r="F214" s="18" t="str">
        <f t="shared" si="6"/>
        <v>Young</v>
      </c>
      <c r="G214" s="20" t="s">
        <v>6</v>
      </c>
      <c r="H214" s="18">
        <v>3</v>
      </c>
      <c r="I214" s="18">
        <v>500</v>
      </c>
      <c r="J214" s="18">
        <v>1500</v>
      </c>
      <c r="K214" s="21" t="str">
        <f t="shared" si="7"/>
        <v>Medium</v>
      </c>
      <c r="L214" s="18">
        <f>YEAR(B214)</f>
        <v>2023</v>
      </c>
      <c r="M214" s="18">
        <f>ROUNDUP(MONTH(B214)/3,0)</f>
        <v>3</v>
      </c>
      <c r="N214" s="20" t="str">
        <f>TEXT(B214,"dddd")</f>
        <v>Monday</v>
      </c>
      <c r="O214" s="20" t="str">
        <f>TEXT(B214,"mmmm")</f>
        <v>July</v>
      </c>
    </row>
    <row r="215" spans="1:15" x14ac:dyDescent="0.3">
      <c r="A215" s="18">
        <v>214</v>
      </c>
      <c r="B215" s="19">
        <v>45270</v>
      </c>
      <c r="C215" s="20" t="s">
        <v>222</v>
      </c>
      <c r="D215" s="20" t="s">
        <v>5</v>
      </c>
      <c r="E215" s="18">
        <v>20</v>
      </c>
      <c r="F215" s="18" t="str">
        <f t="shared" si="6"/>
        <v>Young</v>
      </c>
      <c r="G215" s="20" t="s">
        <v>6</v>
      </c>
      <c r="H215" s="18">
        <v>2</v>
      </c>
      <c r="I215" s="18">
        <v>30</v>
      </c>
      <c r="J215" s="18">
        <v>60</v>
      </c>
      <c r="K215" s="21" t="str">
        <f t="shared" si="7"/>
        <v>Low</v>
      </c>
      <c r="L215" s="18">
        <f>YEAR(B215)</f>
        <v>2023</v>
      </c>
      <c r="M215" s="18">
        <f>ROUNDUP(MONTH(B215)/3,0)</f>
        <v>4</v>
      </c>
      <c r="N215" s="20" t="str">
        <f>TEXT(B215,"dddd")</f>
        <v>Sunday</v>
      </c>
      <c r="O215" s="20" t="str">
        <f>TEXT(B215,"mmmm")</f>
        <v>December</v>
      </c>
    </row>
    <row r="216" spans="1:15" x14ac:dyDescent="0.3">
      <c r="A216" s="18">
        <v>215</v>
      </c>
      <c r="B216" s="19">
        <v>45259</v>
      </c>
      <c r="C216" s="20" t="s">
        <v>223</v>
      </c>
      <c r="D216" s="20" t="s">
        <v>5</v>
      </c>
      <c r="E216" s="18">
        <v>58</v>
      </c>
      <c r="F216" s="18" t="str">
        <f t="shared" si="6"/>
        <v>Adult</v>
      </c>
      <c r="G216" s="20" t="s">
        <v>9</v>
      </c>
      <c r="H216" s="18">
        <v>3</v>
      </c>
      <c r="I216" s="18">
        <v>500</v>
      </c>
      <c r="J216" s="18">
        <v>1500</v>
      </c>
      <c r="K216" s="21" t="str">
        <f t="shared" si="7"/>
        <v>Medium</v>
      </c>
      <c r="L216" s="18">
        <f>YEAR(B216)</f>
        <v>2023</v>
      </c>
      <c r="M216" s="18">
        <f>ROUNDUP(MONTH(B216)/3,0)</f>
        <v>4</v>
      </c>
      <c r="N216" s="20" t="str">
        <f>TEXT(B216,"dddd")</f>
        <v>Wednesday</v>
      </c>
      <c r="O216" s="20" t="str">
        <f>TEXT(B216,"mmmm")</f>
        <v>November</v>
      </c>
    </row>
    <row r="217" spans="1:15" x14ac:dyDescent="0.3">
      <c r="A217" s="18">
        <v>216</v>
      </c>
      <c r="B217" s="19">
        <v>45118</v>
      </c>
      <c r="C217" s="20" t="s">
        <v>224</v>
      </c>
      <c r="D217" s="20" t="s">
        <v>5</v>
      </c>
      <c r="E217" s="18">
        <v>62</v>
      </c>
      <c r="F217" s="18" t="str">
        <f t="shared" si="6"/>
        <v>Senior</v>
      </c>
      <c r="G217" s="20" t="s">
        <v>11</v>
      </c>
      <c r="H217" s="18">
        <v>2</v>
      </c>
      <c r="I217" s="18">
        <v>50</v>
      </c>
      <c r="J217" s="18">
        <v>100</v>
      </c>
      <c r="K217" s="21" t="str">
        <f t="shared" si="7"/>
        <v>Low</v>
      </c>
      <c r="L217" s="18">
        <f>YEAR(B217)</f>
        <v>2023</v>
      </c>
      <c r="M217" s="18">
        <f>ROUNDUP(MONTH(B217)/3,0)</f>
        <v>3</v>
      </c>
      <c r="N217" s="20" t="str">
        <f>TEXT(B217,"dddd")</f>
        <v>Tuesday</v>
      </c>
      <c r="O217" s="20" t="str">
        <f>TEXT(B217,"mmmm")</f>
        <v>July</v>
      </c>
    </row>
    <row r="218" spans="1:15" x14ac:dyDescent="0.3">
      <c r="A218" s="18">
        <v>217</v>
      </c>
      <c r="B218" s="19">
        <v>45151</v>
      </c>
      <c r="C218" s="20" t="s">
        <v>225</v>
      </c>
      <c r="D218" s="20" t="s">
        <v>8</v>
      </c>
      <c r="E218" s="18">
        <v>35</v>
      </c>
      <c r="F218" s="18" t="str">
        <f t="shared" si="6"/>
        <v>Adult</v>
      </c>
      <c r="G218" s="20" t="s">
        <v>11</v>
      </c>
      <c r="H218" s="18">
        <v>4</v>
      </c>
      <c r="I218" s="18">
        <v>50</v>
      </c>
      <c r="J218" s="18">
        <v>200</v>
      </c>
      <c r="K218" s="21" t="str">
        <f t="shared" si="7"/>
        <v>Low</v>
      </c>
      <c r="L218" s="18">
        <f>YEAR(B218)</f>
        <v>2023</v>
      </c>
      <c r="M218" s="18">
        <f>ROUNDUP(MONTH(B218)/3,0)</f>
        <v>3</v>
      </c>
      <c r="N218" s="20" t="str">
        <f>TEXT(B218,"dddd")</f>
        <v>Sunday</v>
      </c>
      <c r="O218" s="20" t="str">
        <f>TEXT(B218,"mmmm")</f>
        <v>August</v>
      </c>
    </row>
    <row r="219" spans="1:15" x14ac:dyDescent="0.3">
      <c r="A219" s="18">
        <v>218</v>
      </c>
      <c r="B219" s="19">
        <v>45191</v>
      </c>
      <c r="C219" s="20" t="s">
        <v>226</v>
      </c>
      <c r="D219" s="20" t="s">
        <v>5</v>
      </c>
      <c r="E219" s="18">
        <v>64</v>
      </c>
      <c r="F219" s="18" t="str">
        <f t="shared" si="6"/>
        <v>Senior</v>
      </c>
      <c r="G219" s="20" t="s">
        <v>6</v>
      </c>
      <c r="H219" s="18">
        <v>3</v>
      </c>
      <c r="I219" s="18">
        <v>30</v>
      </c>
      <c r="J219" s="18">
        <v>90</v>
      </c>
      <c r="K219" s="21" t="str">
        <f t="shared" si="7"/>
        <v>Low</v>
      </c>
      <c r="L219" s="18">
        <f>YEAR(B219)</f>
        <v>2023</v>
      </c>
      <c r="M219" s="18">
        <f>ROUNDUP(MONTH(B219)/3,0)</f>
        <v>3</v>
      </c>
      <c r="N219" s="20" t="str">
        <f>TEXT(B219,"dddd")</f>
        <v>Friday</v>
      </c>
      <c r="O219" s="20" t="str">
        <f>TEXT(B219,"mmmm")</f>
        <v>September</v>
      </c>
    </row>
    <row r="220" spans="1:15" x14ac:dyDescent="0.3">
      <c r="A220" s="18">
        <v>219</v>
      </c>
      <c r="B220" s="19">
        <v>45158</v>
      </c>
      <c r="C220" s="20" t="s">
        <v>227</v>
      </c>
      <c r="D220" s="20" t="s">
        <v>8</v>
      </c>
      <c r="E220" s="18">
        <v>53</v>
      </c>
      <c r="F220" s="18" t="str">
        <f t="shared" si="6"/>
        <v>Adult</v>
      </c>
      <c r="G220" s="20" t="s">
        <v>11</v>
      </c>
      <c r="H220" s="18">
        <v>3</v>
      </c>
      <c r="I220" s="18">
        <v>30</v>
      </c>
      <c r="J220" s="18">
        <v>90</v>
      </c>
      <c r="K220" s="21" t="str">
        <f t="shared" si="7"/>
        <v>Low</v>
      </c>
      <c r="L220" s="18">
        <f>YEAR(B220)</f>
        <v>2023</v>
      </c>
      <c r="M220" s="18">
        <f>ROUNDUP(MONTH(B220)/3,0)</f>
        <v>3</v>
      </c>
      <c r="N220" s="20" t="str">
        <f>TEXT(B220,"dddd")</f>
        <v>Sunday</v>
      </c>
      <c r="O220" s="20" t="str">
        <f>TEXT(B220,"mmmm")</f>
        <v>August</v>
      </c>
    </row>
    <row r="221" spans="1:15" x14ac:dyDescent="0.3">
      <c r="A221" s="18">
        <v>220</v>
      </c>
      <c r="B221" s="19">
        <v>44988</v>
      </c>
      <c r="C221" s="20" t="s">
        <v>228</v>
      </c>
      <c r="D221" s="20" t="s">
        <v>5</v>
      </c>
      <c r="E221" s="18">
        <v>64</v>
      </c>
      <c r="F221" s="18" t="str">
        <f t="shared" si="6"/>
        <v>Senior</v>
      </c>
      <c r="G221" s="20" t="s">
        <v>6</v>
      </c>
      <c r="H221" s="18">
        <v>1</v>
      </c>
      <c r="I221" s="18">
        <v>500</v>
      </c>
      <c r="J221" s="18">
        <v>500</v>
      </c>
      <c r="K221" s="21" t="str">
        <f t="shared" si="7"/>
        <v>Low</v>
      </c>
      <c r="L221" s="18">
        <f>YEAR(B221)</f>
        <v>2023</v>
      </c>
      <c r="M221" s="18">
        <f>ROUNDUP(MONTH(B221)/3,0)</f>
        <v>1</v>
      </c>
      <c r="N221" s="20" t="str">
        <f>TEXT(B221,"dddd")</f>
        <v>Friday</v>
      </c>
      <c r="O221" s="20" t="str">
        <f>TEXT(B221,"mmmm")</f>
        <v>March</v>
      </c>
    </row>
    <row r="222" spans="1:15" x14ac:dyDescent="0.3">
      <c r="A222" s="18">
        <v>221</v>
      </c>
      <c r="B222" s="19">
        <v>45053</v>
      </c>
      <c r="C222" s="20" t="s">
        <v>229</v>
      </c>
      <c r="D222" s="20" t="s">
        <v>5</v>
      </c>
      <c r="E222" s="18">
        <v>39</v>
      </c>
      <c r="F222" s="18" t="str">
        <f t="shared" si="6"/>
        <v>Adult</v>
      </c>
      <c r="G222" s="20" t="s">
        <v>6</v>
      </c>
      <c r="H222" s="18">
        <v>2</v>
      </c>
      <c r="I222" s="18">
        <v>300</v>
      </c>
      <c r="J222" s="18">
        <v>600</v>
      </c>
      <c r="K222" s="21" t="str">
        <f t="shared" si="7"/>
        <v>Medium</v>
      </c>
      <c r="L222" s="18">
        <f>YEAR(B222)</f>
        <v>2023</v>
      </c>
      <c r="M222" s="18">
        <f>ROUNDUP(MONTH(B222)/3,0)</f>
        <v>2</v>
      </c>
      <c r="N222" s="20" t="str">
        <f>TEXT(B222,"dddd")</f>
        <v>Sunday</v>
      </c>
      <c r="O222" s="20" t="str">
        <f>TEXT(B222,"mmmm")</f>
        <v>May</v>
      </c>
    </row>
    <row r="223" spans="1:15" x14ac:dyDescent="0.3">
      <c r="A223" s="18">
        <v>222</v>
      </c>
      <c r="B223" s="19">
        <v>45042</v>
      </c>
      <c r="C223" s="20" t="s">
        <v>230</v>
      </c>
      <c r="D223" s="20" t="s">
        <v>5</v>
      </c>
      <c r="E223" s="18">
        <v>51</v>
      </c>
      <c r="F223" s="18" t="str">
        <f t="shared" si="6"/>
        <v>Adult</v>
      </c>
      <c r="G223" s="20" t="s">
        <v>9</v>
      </c>
      <c r="H223" s="18">
        <v>4</v>
      </c>
      <c r="I223" s="18">
        <v>30</v>
      </c>
      <c r="J223" s="18">
        <v>120</v>
      </c>
      <c r="K223" s="21" t="str">
        <f t="shared" si="7"/>
        <v>Low</v>
      </c>
      <c r="L223" s="18">
        <f>YEAR(B223)</f>
        <v>2023</v>
      </c>
      <c r="M223" s="18">
        <f>ROUNDUP(MONTH(B223)/3,0)</f>
        <v>2</v>
      </c>
      <c r="N223" s="20" t="str">
        <f>TEXT(B223,"dddd")</f>
        <v>Wednesday</v>
      </c>
      <c r="O223" s="20" t="str">
        <f>TEXT(B223,"mmmm")</f>
        <v>April</v>
      </c>
    </row>
    <row r="224" spans="1:15" x14ac:dyDescent="0.3">
      <c r="A224" s="18">
        <v>223</v>
      </c>
      <c r="B224" s="19">
        <v>44959</v>
      </c>
      <c r="C224" s="20" t="s">
        <v>231</v>
      </c>
      <c r="D224" s="20" t="s">
        <v>8</v>
      </c>
      <c r="E224" s="18">
        <v>64</v>
      </c>
      <c r="F224" s="18" t="str">
        <f t="shared" si="6"/>
        <v>Senior</v>
      </c>
      <c r="G224" s="20" t="s">
        <v>9</v>
      </c>
      <c r="H224" s="18">
        <v>1</v>
      </c>
      <c r="I224" s="18">
        <v>25</v>
      </c>
      <c r="J224" s="18">
        <v>25</v>
      </c>
      <c r="K224" s="21" t="str">
        <f t="shared" si="7"/>
        <v>Low</v>
      </c>
      <c r="L224" s="18">
        <f>YEAR(B224)</f>
        <v>2023</v>
      </c>
      <c r="M224" s="18">
        <f>ROUNDUP(MONTH(B224)/3,0)</f>
        <v>1</v>
      </c>
      <c r="N224" s="20" t="str">
        <f>TEXT(B224,"dddd")</f>
        <v>Thursday</v>
      </c>
      <c r="O224" s="20" t="str">
        <f>TEXT(B224,"mmmm")</f>
        <v>February</v>
      </c>
    </row>
    <row r="225" spans="1:15" x14ac:dyDescent="0.3">
      <c r="A225" s="18">
        <v>224</v>
      </c>
      <c r="B225" s="19">
        <v>45100</v>
      </c>
      <c r="C225" s="20" t="s">
        <v>232</v>
      </c>
      <c r="D225" s="20" t="s">
        <v>8</v>
      </c>
      <c r="E225" s="18">
        <v>25</v>
      </c>
      <c r="F225" s="18" t="str">
        <f t="shared" si="6"/>
        <v>Young</v>
      </c>
      <c r="G225" s="20" t="s">
        <v>9</v>
      </c>
      <c r="H225" s="18">
        <v>1</v>
      </c>
      <c r="I225" s="18">
        <v>50</v>
      </c>
      <c r="J225" s="18">
        <v>50</v>
      </c>
      <c r="K225" s="21" t="str">
        <f t="shared" si="7"/>
        <v>Low</v>
      </c>
      <c r="L225" s="18">
        <f>YEAR(B225)</f>
        <v>2023</v>
      </c>
      <c r="M225" s="18">
        <f>ROUNDUP(MONTH(B225)/3,0)</f>
        <v>2</v>
      </c>
      <c r="N225" s="20" t="str">
        <f>TEXT(B225,"dddd")</f>
        <v>Friday</v>
      </c>
      <c r="O225" s="20" t="str">
        <f>TEXT(B225,"mmmm")</f>
        <v>June</v>
      </c>
    </row>
    <row r="226" spans="1:15" x14ac:dyDescent="0.3">
      <c r="A226" s="18">
        <v>225</v>
      </c>
      <c r="B226" s="19">
        <v>44937</v>
      </c>
      <c r="C226" s="20" t="s">
        <v>233</v>
      </c>
      <c r="D226" s="20" t="s">
        <v>8</v>
      </c>
      <c r="E226" s="18">
        <v>57</v>
      </c>
      <c r="F226" s="18" t="str">
        <f t="shared" si="6"/>
        <v>Adult</v>
      </c>
      <c r="G226" s="20" t="s">
        <v>6</v>
      </c>
      <c r="H226" s="18">
        <v>4</v>
      </c>
      <c r="I226" s="18">
        <v>25</v>
      </c>
      <c r="J226" s="18">
        <v>100</v>
      </c>
      <c r="K226" s="21" t="str">
        <f t="shared" si="7"/>
        <v>Low</v>
      </c>
      <c r="L226" s="18">
        <f>YEAR(B226)</f>
        <v>2023</v>
      </c>
      <c r="M226" s="18">
        <f>ROUNDUP(MONTH(B226)/3,0)</f>
        <v>1</v>
      </c>
      <c r="N226" s="20" t="str">
        <f>TEXT(B226,"dddd")</f>
        <v>Wednesday</v>
      </c>
      <c r="O226" s="20" t="str">
        <f>TEXT(B226,"mmmm")</f>
        <v>January</v>
      </c>
    </row>
    <row r="227" spans="1:15" x14ac:dyDescent="0.3">
      <c r="A227" s="18">
        <v>226</v>
      </c>
      <c r="B227" s="19">
        <v>45228</v>
      </c>
      <c r="C227" s="20" t="s">
        <v>234</v>
      </c>
      <c r="D227" s="20" t="s">
        <v>8</v>
      </c>
      <c r="E227" s="18">
        <v>61</v>
      </c>
      <c r="F227" s="18" t="str">
        <f t="shared" si="6"/>
        <v>Senior</v>
      </c>
      <c r="G227" s="20" t="s">
        <v>9</v>
      </c>
      <c r="H227" s="18">
        <v>1</v>
      </c>
      <c r="I227" s="18">
        <v>50</v>
      </c>
      <c r="J227" s="18">
        <v>50</v>
      </c>
      <c r="K227" s="21" t="str">
        <f t="shared" si="7"/>
        <v>Low</v>
      </c>
      <c r="L227" s="18">
        <f>YEAR(B227)</f>
        <v>2023</v>
      </c>
      <c r="M227" s="18">
        <f>ROUNDUP(MONTH(B227)/3,0)</f>
        <v>4</v>
      </c>
      <c r="N227" s="20" t="str">
        <f>TEXT(B227,"dddd")</f>
        <v>Sunday</v>
      </c>
      <c r="O227" s="20" t="str">
        <f>TEXT(B227,"mmmm")</f>
        <v>October</v>
      </c>
    </row>
    <row r="228" spans="1:15" x14ac:dyDescent="0.3">
      <c r="A228" s="18">
        <v>227</v>
      </c>
      <c r="B228" s="19">
        <v>45210</v>
      </c>
      <c r="C228" s="20" t="s">
        <v>235</v>
      </c>
      <c r="D228" s="20" t="s">
        <v>5</v>
      </c>
      <c r="E228" s="18">
        <v>36</v>
      </c>
      <c r="F228" s="18" t="str">
        <f t="shared" si="6"/>
        <v>Adult</v>
      </c>
      <c r="G228" s="20" t="s">
        <v>11</v>
      </c>
      <c r="H228" s="18">
        <v>2</v>
      </c>
      <c r="I228" s="18">
        <v>50</v>
      </c>
      <c r="J228" s="18">
        <v>100</v>
      </c>
      <c r="K228" s="21" t="str">
        <f t="shared" si="7"/>
        <v>Low</v>
      </c>
      <c r="L228" s="18">
        <f>YEAR(B228)</f>
        <v>2023</v>
      </c>
      <c r="M228" s="18">
        <f>ROUNDUP(MONTH(B228)/3,0)</f>
        <v>4</v>
      </c>
      <c r="N228" s="20" t="str">
        <f>TEXT(B228,"dddd")</f>
        <v>Wednesday</v>
      </c>
      <c r="O228" s="20" t="str">
        <f>TEXT(B228,"mmmm")</f>
        <v>October</v>
      </c>
    </row>
    <row r="229" spans="1:15" x14ac:dyDescent="0.3">
      <c r="A229" s="18">
        <v>228</v>
      </c>
      <c r="B229" s="19">
        <v>45044</v>
      </c>
      <c r="C229" s="20" t="s">
        <v>236</v>
      </c>
      <c r="D229" s="20" t="s">
        <v>8</v>
      </c>
      <c r="E229" s="18">
        <v>59</v>
      </c>
      <c r="F229" s="18" t="str">
        <f t="shared" si="6"/>
        <v>Adult</v>
      </c>
      <c r="G229" s="20" t="s">
        <v>11</v>
      </c>
      <c r="H229" s="18">
        <v>2</v>
      </c>
      <c r="I229" s="18">
        <v>30</v>
      </c>
      <c r="J229" s="18">
        <v>60</v>
      </c>
      <c r="K229" s="21" t="str">
        <f t="shared" si="7"/>
        <v>Low</v>
      </c>
      <c r="L229" s="18">
        <f>YEAR(B229)</f>
        <v>2023</v>
      </c>
      <c r="M229" s="18">
        <f>ROUNDUP(MONTH(B229)/3,0)</f>
        <v>2</v>
      </c>
      <c r="N229" s="20" t="str">
        <f>TEXT(B229,"dddd")</f>
        <v>Friday</v>
      </c>
      <c r="O229" s="20" t="str">
        <f>TEXT(B229,"mmmm")</f>
        <v>April</v>
      </c>
    </row>
    <row r="230" spans="1:15" x14ac:dyDescent="0.3">
      <c r="A230" s="18">
        <v>229</v>
      </c>
      <c r="B230" s="19">
        <v>45228</v>
      </c>
      <c r="C230" s="20" t="s">
        <v>237</v>
      </c>
      <c r="D230" s="20" t="s">
        <v>5</v>
      </c>
      <c r="E230" s="18">
        <v>58</v>
      </c>
      <c r="F230" s="18" t="str">
        <f t="shared" si="6"/>
        <v>Adult</v>
      </c>
      <c r="G230" s="20" t="s">
        <v>6</v>
      </c>
      <c r="H230" s="18">
        <v>3</v>
      </c>
      <c r="I230" s="18">
        <v>30</v>
      </c>
      <c r="J230" s="18">
        <v>90</v>
      </c>
      <c r="K230" s="21" t="str">
        <f t="shared" si="7"/>
        <v>Low</v>
      </c>
      <c r="L230" s="18">
        <f>YEAR(B230)</f>
        <v>2023</v>
      </c>
      <c r="M230" s="18">
        <f>ROUNDUP(MONTH(B230)/3,0)</f>
        <v>4</v>
      </c>
      <c r="N230" s="20" t="str">
        <f>TEXT(B230,"dddd")</f>
        <v>Sunday</v>
      </c>
      <c r="O230" s="20" t="str">
        <f>TEXT(B230,"mmmm")</f>
        <v>October</v>
      </c>
    </row>
    <row r="231" spans="1:15" x14ac:dyDescent="0.3">
      <c r="A231" s="18">
        <v>230</v>
      </c>
      <c r="B231" s="19">
        <v>45039</v>
      </c>
      <c r="C231" s="20" t="s">
        <v>238</v>
      </c>
      <c r="D231" s="20" t="s">
        <v>5</v>
      </c>
      <c r="E231" s="18">
        <v>54</v>
      </c>
      <c r="F231" s="18" t="str">
        <f t="shared" si="6"/>
        <v>Adult</v>
      </c>
      <c r="G231" s="20" t="s">
        <v>6</v>
      </c>
      <c r="H231" s="18">
        <v>1</v>
      </c>
      <c r="I231" s="18">
        <v>25</v>
      </c>
      <c r="J231" s="18">
        <v>25</v>
      </c>
      <c r="K231" s="21" t="str">
        <f t="shared" si="7"/>
        <v>Low</v>
      </c>
      <c r="L231" s="18">
        <f>YEAR(B231)</f>
        <v>2023</v>
      </c>
      <c r="M231" s="18">
        <f>ROUNDUP(MONTH(B231)/3,0)</f>
        <v>2</v>
      </c>
      <c r="N231" s="20" t="str">
        <f>TEXT(B231,"dddd")</f>
        <v>Sunday</v>
      </c>
      <c r="O231" s="20" t="str">
        <f>TEXT(B231,"mmmm")</f>
        <v>April</v>
      </c>
    </row>
    <row r="232" spans="1:15" x14ac:dyDescent="0.3">
      <c r="A232" s="18">
        <v>231</v>
      </c>
      <c r="B232" s="19">
        <v>44930</v>
      </c>
      <c r="C232" s="20" t="s">
        <v>239</v>
      </c>
      <c r="D232" s="20" t="s">
        <v>8</v>
      </c>
      <c r="E232" s="18">
        <v>23</v>
      </c>
      <c r="F232" s="18" t="str">
        <f t="shared" si="6"/>
        <v>Young</v>
      </c>
      <c r="G232" s="20" t="s">
        <v>9</v>
      </c>
      <c r="H232" s="18">
        <v>3</v>
      </c>
      <c r="I232" s="18">
        <v>50</v>
      </c>
      <c r="J232" s="18">
        <v>150</v>
      </c>
      <c r="K232" s="21" t="str">
        <f t="shared" si="7"/>
        <v>Low</v>
      </c>
      <c r="L232" s="18">
        <f>YEAR(B232)</f>
        <v>2023</v>
      </c>
      <c r="M232" s="18">
        <f>ROUNDUP(MONTH(B232)/3,0)</f>
        <v>1</v>
      </c>
      <c r="N232" s="20" t="str">
        <f>TEXT(B232,"dddd")</f>
        <v>Wednesday</v>
      </c>
      <c r="O232" s="20" t="str">
        <f>TEXT(B232,"mmmm")</f>
        <v>January</v>
      </c>
    </row>
    <row r="233" spans="1:15" x14ac:dyDescent="0.3">
      <c r="A233" s="18">
        <v>232</v>
      </c>
      <c r="B233" s="19">
        <v>44963</v>
      </c>
      <c r="C233" s="20" t="s">
        <v>240</v>
      </c>
      <c r="D233" s="20" t="s">
        <v>8</v>
      </c>
      <c r="E233" s="18">
        <v>43</v>
      </c>
      <c r="F233" s="18" t="str">
        <f t="shared" si="6"/>
        <v>Adult</v>
      </c>
      <c r="G233" s="20" t="s">
        <v>6</v>
      </c>
      <c r="H233" s="18">
        <v>1</v>
      </c>
      <c r="I233" s="18">
        <v>25</v>
      </c>
      <c r="J233" s="18">
        <v>25</v>
      </c>
      <c r="K233" s="21" t="str">
        <f t="shared" si="7"/>
        <v>Low</v>
      </c>
      <c r="L233" s="18">
        <f>YEAR(B233)</f>
        <v>2023</v>
      </c>
      <c r="M233" s="18">
        <f>ROUNDUP(MONTH(B233)/3,0)</f>
        <v>1</v>
      </c>
      <c r="N233" s="20" t="str">
        <f>TEXT(B233,"dddd")</f>
        <v>Monday</v>
      </c>
      <c r="O233" s="20" t="str">
        <f>TEXT(B233,"mmmm")</f>
        <v>February</v>
      </c>
    </row>
    <row r="234" spans="1:15" x14ac:dyDescent="0.3">
      <c r="A234" s="18">
        <v>233</v>
      </c>
      <c r="B234" s="19">
        <v>45289</v>
      </c>
      <c r="C234" s="20" t="s">
        <v>241</v>
      </c>
      <c r="D234" s="20" t="s">
        <v>8</v>
      </c>
      <c r="E234" s="18">
        <v>51</v>
      </c>
      <c r="F234" s="18" t="str">
        <f t="shared" si="6"/>
        <v>Adult</v>
      </c>
      <c r="G234" s="20" t="s">
        <v>6</v>
      </c>
      <c r="H234" s="18">
        <v>2</v>
      </c>
      <c r="I234" s="18">
        <v>300</v>
      </c>
      <c r="J234" s="18">
        <v>600</v>
      </c>
      <c r="K234" s="21" t="str">
        <f t="shared" si="7"/>
        <v>Medium</v>
      </c>
      <c r="L234" s="18">
        <f>YEAR(B234)</f>
        <v>2023</v>
      </c>
      <c r="M234" s="18">
        <f>ROUNDUP(MONTH(B234)/3,0)</f>
        <v>4</v>
      </c>
      <c r="N234" s="20" t="str">
        <f>TEXT(B234,"dddd")</f>
        <v>Friday</v>
      </c>
      <c r="O234" s="20" t="str">
        <f>TEXT(B234,"mmmm")</f>
        <v>December</v>
      </c>
    </row>
    <row r="235" spans="1:15" x14ac:dyDescent="0.3">
      <c r="A235" s="18">
        <v>234</v>
      </c>
      <c r="B235" s="19">
        <v>45250</v>
      </c>
      <c r="C235" s="20" t="s">
        <v>242</v>
      </c>
      <c r="D235" s="20" t="s">
        <v>8</v>
      </c>
      <c r="E235" s="18">
        <v>62</v>
      </c>
      <c r="F235" s="18" t="str">
        <f t="shared" si="6"/>
        <v>Senior</v>
      </c>
      <c r="G235" s="20" t="s">
        <v>11</v>
      </c>
      <c r="H235" s="18">
        <v>2</v>
      </c>
      <c r="I235" s="18">
        <v>25</v>
      </c>
      <c r="J235" s="18">
        <v>50</v>
      </c>
      <c r="K235" s="21" t="str">
        <f t="shared" si="7"/>
        <v>Low</v>
      </c>
      <c r="L235" s="18">
        <f>YEAR(B235)</f>
        <v>2023</v>
      </c>
      <c r="M235" s="18">
        <f>ROUNDUP(MONTH(B235)/3,0)</f>
        <v>4</v>
      </c>
      <c r="N235" s="20" t="str">
        <f>TEXT(B235,"dddd")</f>
        <v>Monday</v>
      </c>
      <c r="O235" s="20" t="str">
        <f>TEXT(B235,"mmmm")</f>
        <v>November</v>
      </c>
    </row>
    <row r="236" spans="1:15" x14ac:dyDescent="0.3">
      <c r="A236" s="18">
        <v>235</v>
      </c>
      <c r="B236" s="19">
        <v>44957</v>
      </c>
      <c r="C236" s="20" t="s">
        <v>243</v>
      </c>
      <c r="D236" s="20" t="s">
        <v>8</v>
      </c>
      <c r="E236" s="18">
        <v>23</v>
      </c>
      <c r="F236" s="18" t="str">
        <f t="shared" si="6"/>
        <v>Young</v>
      </c>
      <c r="G236" s="20" t="s">
        <v>11</v>
      </c>
      <c r="H236" s="18">
        <v>2</v>
      </c>
      <c r="I236" s="18">
        <v>500</v>
      </c>
      <c r="J236" s="18">
        <v>1000</v>
      </c>
      <c r="K236" s="21" t="str">
        <f t="shared" si="7"/>
        <v>Medium</v>
      </c>
      <c r="L236" s="18">
        <f>YEAR(B236)</f>
        <v>2023</v>
      </c>
      <c r="M236" s="18">
        <f>ROUNDUP(MONTH(B236)/3,0)</f>
        <v>1</v>
      </c>
      <c r="N236" s="20" t="str">
        <f>TEXT(B236,"dddd")</f>
        <v>Tuesday</v>
      </c>
      <c r="O236" s="20" t="str">
        <f>TEXT(B236,"mmmm")</f>
        <v>January</v>
      </c>
    </row>
    <row r="237" spans="1:15" x14ac:dyDescent="0.3">
      <c r="A237" s="18">
        <v>236</v>
      </c>
      <c r="B237" s="19">
        <v>45044</v>
      </c>
      <c r="C237" s="20" t="s">
        <v>244</v>
      </c>
      <c r="D237" s="20" t="s">
        <v>8</v>
      </c>
      <c r="E237" s="18">
        <v>54</v>
      </c>
      <c r="F237" s="18" t="str">
        <f t="shared" si="6"/>
        <v>Adult</v>
      </c>
      <c r="G237" s="20" t="s">
        <v>9</v>
      </c>
      <c r="H237" s="18">
        <v>1</v>
      </c>
      <c r="I237" s="18">
        <v>25</v>
      </c>
      <c r="J237" s="18">
        <v>25</v>
      </c>
      <c r="K237" s="21" t="str">
        <f t="shared" si="7"/>
        <v>Low</v>
      </c>
      <c r="L237" s="18">
        <f>YEAR(B237)</f>
        <v>2023</v>
      </c>
      <c r="M237" s="18">
        <f>ROUNDUP(MONTH(B237)/3,0)</f>
        <v>2</v>
      </c>
      <c r="N237" s="20" t="str">
        <f>TEXT(B237,"dddd")</f>
        <v>Friday</v>
      </c>
      <c r="O237" s="20" t="str">
        <f>TEXT(B237,"mmmm")</f>
        <v>April</v>
      </c>
    </row>
    <row r="238" spans="1:15" x14ac:dyDescent="0.3">
      <c r="A238" s="18">
        <v>237</v>
      </c>
      <c r="B238" s="19">
        <v>44961</v>
      </c>
      <c r="C238" s="20" t="s">
        <v>245</v>
      </c>
      <c r="D238" s="20" t="s">
        <v>8</v>
      </c>
      <c r="E238" s="18">
        <v>50</v>
      </c>
      <c r="F238" s="18" t="str">
        <f t="shared" si="6"/>
        <v>Adult</v>
      </c>
      <c r="G238" s="20" t="s">
        <v>6</v>
      </c>
      <c r="H238" s="18">
        <v>2</v>
      </c>
      <c r="I238" s="18">
        <v>500</v>
      </c>
      <c r="J238" s="18">
        <v>1000</v>
      </c>
      <c r="K238" s="21" t="str">
        <f t="shared" si="7"/>
        <v>Medium</v>
      </c>
      <c r="L238" s="18">
        <f>YEAR(B238)</f>
        <v>2023</v>
      </c>
      <c r="M238" s="18">
        <f>ROUNDUP(MONTH(B238)/3,0)</f>
        <v>1</v>
      </c>
      <c r="N238" s="20" t="str">
        <f>TEXT(B238,"dddd")</f>
        <v>Saturday</v>
      </c>
      <c r="O238" s="20" t="str">
        <f>TEXT(B238,"mmmm")</f>
        <v>February</v>
      </c>
    </row>
    <row r="239" spans="1:15" x14ac:dyDescent="0.3">
      <c r="A239" s="18">
        <v>238</v>
      </c>
      <c r="B239" s="19">
        <v>44943</v>
      </c>
      <c r="C239" s="20" t="s">
        <v>246</v>
      </c>
      <c r="D239" s="20" t="s">
        <v>8</v>
      </c>
      <c r="E239" s="18">
        <v>39</v>
      </c>
      <c r="F239" s="18" t="str">
        <f t="shared" si="6"/>
        <v>Adult</v>
      </c>
      <c r="G239" s="20" t="s">
        <v>6</v>
      </c>
      <c r="H239" s="18">
        <v>1</v>
      </c>
      <c r="I239" s="18">
        <v>500</v>
      </c>
      <c r="J239" s="18">
        <v>500</v>
      </c>
      <c r="K239" s="21" t="str">
        <f t="shared" si="7"/>
        <v>Low</v>
      </c>
      <c r="L239" s="18">
        <f>YEAR(B239)</f>
        <v>2023</v>
      </c>
      <c r="M239" s="18">
        <f>ROUNDUP(MONTH(B239)/3,0)</f>
        <v>1</v>
      </c>
      <c r="N239" s="20" t="str">
        <f>TEXT(B239,"dddd")</f>
        <v>Tuesday</v>
      </c>
      <c r="O239" s="20" t="str">
        <f>TEXT(B239,"mmmm")</f>
        <v>January</v>
      </c>
    </row>
    <row r="240" spans="1:15" x14ac:dyDescent="0.3">
      <c r="A240" s="18">
        <v>239</v>
      </c>
      <c r="B240" s="19">
        <v>45096</v>
      </c>
      <c r="C240" s="20" t="s">
        <v>247</v>
      </c>
      <c r="D240" s="20" t="s">
        <v>5</v>
      </c>
      <c r="E240" s="18">
        <v>38</v>
      </c>
      <c r="F240" s="18" t="str">
        <f t="shared" si="6"/>
        <v>Adult</v>
      </c>
      <c r="G240" s="20" t="s">
        <v>11</v>
      </c>
      <c r="H240" s="18">
        <v>3</v>
      </c>
      <c r="I240" s="18">
        <v>500</v>
      </c>
      <c r="J240" s="18">
        <v>1500</v>
      </c>
      <c r="K240" s="21" t="str">
        <f t="shared" si="7"/>
        <v>Medium</v>
      </c>
      <c r="L240" s="18">
        <f>YEAR(B240)</f>
        <v>2023</v>
      </c>
      <c r="M240" s="18">
        <f>ROUNDUP(MONTH(B240)/3,0)</f>
        <v>2</v>
      </c>
      <c r="N240" s="20" t="str">
        <f>TEXT(B240,"dddd")</f>
        <v>Monday</v>
      </c>
      <c r="O240" s="20" t="str">
        <f>TEXT(B240,"mmmm")</f>
        <v>June</v>
      </c>
    </row>
    <row r="241" spans="1:15" x14ac:dyDescent="0.3">
      <c r="A241" s="18">
        <v>240</v>
      </c>
      <c r="B241" s="19">
        <v>44963</v>
      </c>
      <c r="C241" s="20" t="s">
        <v>248</v>
      </c>
      <c r="D241" s="20" t="s">
        <v>8</v>
      </c>
      <c r="E241" s="18">
        <v>23</v>
      </c>
      <c r="F241" s="18" t="str">
        <f t="shared" si="6"/>
        <v>Young</v>
      </c>
      <c r="G241" s="20" t="s">
        <v>6</v>
      </c>
      <c r="H241" s="18">
        <v>1</v>
      </c>
      <c r="I241" s="18">
        <v>300</v>
      </c>
      <c r="J241" s="18">
        <v>300</v>
      </c>
      <c r="K241" s="21" t="str">
        <f t="shared" si="7"/>
        <v>Low</v>
      </c>
      <c r="L241" s="18">
        <f>YEAR(B241)</f>
        <v>2023</v>
      </c>
      <c r="M241" s="18">
        <f>ROUNDUP(MONTH(B241)/3,0)</f>
        <v>1</v>
      </c>
      <c r="N241" s="20" t="str">
        <f>TEXT(B241,"dddd")</f>
        <v>Monday</v>
      </c>
      <c r="O241" s="20" t="str">
        <f>TEXT(B241,"mmmm")</f>
        <v>February</v>
      </c>
    </row>
    <row r="242" spans="1:15" x14ac:dyDescent="0.3">
      <c r="A242" s="18">
        <v>241</v>
      </c>
      <c r="B242" s="19">
        <v>45190</v>
      </c>
      <c r="C242" s="20" t="s">
        <v>249</v>
      </c>
      <c r="D242" s="20" t="s">
        <v>8</v>
      </c>
      <c r="E242" s="18">
        <v>23</v>
      </c>
      <c r="F242" s="18" t="str">
        <f t="shared" si="6"/>
        <v>Young</v>
      </c>
      <c r="G242" s="20" t="s">
        <v>11</v>
      </c>
      <c r="H242" s="18">
        <v>3</v>
      </c>
      <c r="I242" s="18">
        <v>25</v>
      </c>
      <c r="J242" s="18">
        <v>75</v>
      </c>
      <c r="K242" s="21" t="str">
        <f t="shared" si="7"/>
        <v>Low</v>
      </c>
      <c r="L242" s="18">
        <f>YEAR(B242)</f>
        <v>2023</v>
      </c>
      <c r="M242" s="18">
        <f>ROUNDUP(MONTH(B242)/3,0)</f>
        <v>3</v>
      </c>
      <c r="N242" s="20" t="str">
        <f>TEXT(B242,"dddd")</f>
        <v>Thursday</v>
      </c>
      <c r="O242" s="20" t="str">
        <f>TEXT(B242,"mmmm")</f>
        <v>September</v>
      </c>
    </row>
    <row r="243" spans="1:15" x14ac:dyDescent="0.3">
      <c r="A243" s="18">
        <v>242</v>
      </c>
      <c r="B243" s="19">
        <v>45048</v>
      </c>
      <c r="C243" s="20" t="s">
        <v>250</v>
      </c>
      <c r="D243" s="20" t="s">
        <v>5</v>
      </c>
      <c r="E243" s="18">
        <v>21</v>
      </c>
      <c r="F243" s="18" t="str">
        <f t="shared" si="6"/>
        <v>Young</v>
      </c>
      <c r="G243" s="20" t="s">
        <v>9</v>
      </c>
      <c r="H243" s="18">
        <v>1</v>
      </c>
      <c r="I243" s="18">
        <v>25</v>
      </c>
      <c r="J243" s="18">
        <v>25</v>
      </c>
      <c r="K243" s="21" t="str">
        <f t="shared" si="7"/>
        <v>Low</v>
      </c>
      <c r="L243" s="18">
        <f>YEAR(B243)</f>
        <v>2023</v>
      </c>
      <c r="M243" s="18">
        <f>ROUNDUP(MONTH(B243)/3,0)</f>
        <v>2</v>
      </c>
      <c r="N243" s="20" t="str">
        <f>TEXT(B243,"dddd")</f>
        <v>Tuesday</v>
      </c>
      <c r="O243" s="20" t="str">
        <f>TEXT(B243,"mmmm")</f>
        <v>May</v>
      </c>
    </row>
    <row r="244" spans="1:15" x14ac:dyDescent="0.3">
      <c r="A244" s="18">
        <v>243</v>
      </c>
      <c r="B244" s="19">
        <v>45069</v>
      </c>
      <c r="C244" s="20" t="s">
        <v>251</v>
      </c>
      <c r="D244" s="20" t="s">
        <v>8</v>
      </c>
      <c r="E244" s="18">
        <v>47</v>
      </c>
      <c r="F244" s="18" t="str">
        <f t="shared" si="6"/>
        <v>Adult</v>
      </c>
      <c r="G244" s="20" t="s">
        <v>11</v>
      </c>
      <c r="H244" s="18">
        <v>3</v>
      </c>
      <c r="I244" s="18">
        <v>300</v>
      </c>
      <c r="J244" s="18">
        <v>900</v>
      </c>
      <c r="K244" s="21" t="str">
        <f t="shared" si="7"/>
        <v>Medium</v>
      </c>
      <c r="L244" s="18">
        <f>YEAR(B244)</f>
        <v>2023</v>
      </c>
      <c r="M244" s="18">
        <f>ROUNDUP(MONTH(B244)/3,0)</f>
        <v>2</v>
      </c>
      <c r="N244" s="20" t="str">
        <f>TEXT(B244,"dddd")</f>
        <v>Tuesday</v>
      </c>
      <c r="O244" s="20" t="str">
        <f>TEXT(B244,"mmmm")</f>
        <v>May</v>
      </c>
    </row>
    <row r="245" spans="1:15" x14ac:dyDescent="0.3">
      <c r="A245" s="18">
        <v>244</v>
      </c>
      <c r="B245" s="19">
        <v>45269</v>
      </c>
      <c r="C245" s="20" t="s">
        <v>252</v>
      </c>
      <c r="D245" s="20" t="s">
        <v>5</v>
      </c>
      <c r="E245" s="18">
        <v>28</v>
      </c>
      <c r="F245" s="18" t="str">
        <f t="shared" si="6"/>
        <v>Young</v>
      </c>
      <c r="G245" s="20" t="s">
        <v>6</v>
      </c>
      <c r="H245" s="18">
        <v>2</v>
      </c>
      <c r="I245" s="18">
        <v>50</v>
      </c>
      <c r="J245" s="18">
        <v>100</v>
      </c>
      <c r="K245" s="21" t="str">
        <f t="shared" si="7"/>
        <v>Low</v>
      </c>
      <c r="L245" s="18">
        <f>YEAR(B245)</f>
        <v>2023</v>
      </c>
      <c r="M245" s="18">
        <f>ROUNDUP(MONTH(B245)/3,0)</f>
        <v>4</v>
      </c>
      <c r="N245" s="20" t="str">
        <f>TEXT(B245,"dddd")</f>
        <v>Saturday</v>
      </c>
      <c r="O245" s="20" t="str">
        <f>TEXT(B245,"mmmm")</f>
        <v>December</v>
      </c>
    </row>
    <row r="246" spans="1:15" x14ac:dyDescent="0.3">
      <c r="A246" s="18">
        <v>245</v>
      </c>
      <c r="B246" s="19">
        <v>45175</v>
      </c>
      <c r="C246" s="20" t="s">
        <v>253</v>
      </c>
      <c r="D246" s="20" t="s">
        <v>5</v>
      </c>
      <c r="E246" s="18">
        <v>47</v>
      </c>
      <c r="F246" s="18" t="str">
        <f t="shared" si="6"/>
        <v>Adult</v>
      </c>
      <c r="G246" s="20" t="s">
        <v>9</v>
      </c>
      <c r="H246" s="18">
        <v>3</v>
      </c>
      <c r="I246" s="18">
        <v>30</v>
      </c>
      <c r="J246" s="18">
        <v>90</v>
      </c>
      <c r="K246" s="21" t="str">
        <f t="shared" si="7"/>
        <v>Low</v>
      </c>
      <c r="L246" s="18">
        <f>YEAR(B246)</f>
        <v>2023</v>
      </c>
      <c r="M246" s="18">
        <f>ROUNDUP(MONTH(B246)/3,0)</f>
        <v>3</v>
      </c>
      <c r="N246" s="20" t="str">
        <f>TEXT(B246,"dddd")</f>
        <v>Wednesday</v>
      </c>
      <c r="O246" s="20" t="str">
        <f>TEXT(B246,"mmmm")</f>
        <v>September</v>
      </c>
    </row>
    <row r="247" spans="1:15" x14ac:dyDescent="0.3">
      <c r="A247" s="18">
        <v>246</v>
      </c>
      <c r="B247" s="19">
        <v>45036</v>
      </c>
      <c r="C247" s="20" t="s">
        <v>254</v>
      </c>
      <c r="D247" s="20" t="s">
        <v>8</v>
      </c>
      <c r="E247" s="18">
        <v>48</v>
      </c>
      <c r="F247" s="18" t="str">
        <f t="shared" si="6"/>
        <v>Adult</v>
      </c>
      <c r="G247" s="20" t="s">
        <v>11</v>
      </c>
      <c r="H247" s="18">
        <v>2</v>
      </c>
      <c r="I247" s="18">
        <v>25</v>
      </c>
      <c r="J247" s="18">
        <v>50</v>
      </c>
      <c r="K247" s="21" t="str">
        <f t="shared" si="7"/>
        <v>Low</v>
      </c>
      <c r="L247" s="18">
        <f>YEAR(B247)</f>
        <v>2023</v>
      </c>
      <c r="M247" s="18">
        <f>ROUNDUP(MONTH(B247)/3,0)</f>
        <v>2</v>
      </c>
      <c r="N247" s="20" t="str">
        <f>TEXT(B247,"dddd")</f>
        <v>Thursday</v>
      </c>
      <c r="O247" s="20" t="str">
        <f>TEXT(B247,"mmmm")</f>
        <v>April</v>
      </c>
    </row>
    <row r="248" spans="1:15" x14ac:dyDescent="0.3">
      <c r="A248" s="18">
        <v>247</v>
      </c>
      <c r="B248" s="19">
        <v>45203</v>
      </c>
      <c r="C248" s="20" t="s">
        <v>255</v>
      </c>
      <c r="D248" s="20" t="s">
        <v>5</v>
      </c>
      <c r="E248" s="18">
        <v>41</v>
      </c>
      <c r="F248" s="18" t="str">
        <f t="shared" si="6"/>
        <v>Adult</v>
      </c>
      <c r="G248" s="20" t="s">
        <v>11</v>
      </c>
      <c r="H248" s="18">
        <v>2</v>
      </c>
      <c r="I248" s="18">
        <v>30</v>
      </c>
      <c r="J248" s="18">
        <v>60</v>
      </c>
      <c r="K248" s="21" t="str">
        <f t="shared" si="7"/>
        <v>Low</v>
      </c>
      <c r="L248" s="18">
        <f>YEAR(B248)</f>
        <v>2023</v>
      </c>
      <c r="M248" s="18">
        <f>ROUNDUP(MONTH(B248)/3,0)</f>
        <v>4</v>
      </c>
      <c r="N248" s="20" t="str">
        <f>TEXT(B248,"dddd")</f>
        <v>Wednesday</v>
      </c>
      <c r="O248" s="20" t="str">
        <f>TEXT(B248,"mmmm")</f>
        <v>October</v>
      </c>
    </row>
    <row r="249" spans="1:15" x14ac:dyDescent="0.3">
      <c r="A249" s="18">
        <v>248</v>
      </c>
      <c r="B249" s="19">
        <v>44994</v>
      </c>
      <c r="C249" s="20" t="s">
        <v>256</v>
      </c>
      <c r="D249" s="20" t="s">
        <v>5</v>
      </c>
      <c r="E249" s="18">
        <v>26</v>
      </c>
      <c r="F249" s="18" t="str">
        <f t="shared" si="6"/>
        <v>Young</v>
      </c>
      <c r="G249" s="20" t="s">
        <v>9</v>
      </c>
      <c r="H249" s="18">
        <v>3</v>
      </c>
      <c r="I249" s="18">
        <v>300</v>
      </c>
      <c r="J249" s="18">
        <v>900</v>
      </c>
      <c r="K249" s="21" t="str">
        <f t="shared" si="7"/>
        <v>Medium</v>
      </c>
      <c r="L249" s="18">
        <f>YEAR(B249)</f>
        <v>2023</v>
      </c>
      <c r="M249" s="18">
        <f>ROUNDUP(MONTH(B249)/3,0)</f>
        <v>1</v>
      </c>
      <c r="N249" s="20" t="str">
        <f>TEXT(B249,"dddd")</f>
        <v>Thursday</v>
      </c>
      <c r="O249" s="20" t="str">
        <f>TEXT(B249,"mmmm")</f>
        <v>March</v>
      </c>
    </row>
    <row r="250" spans="1:15" x14ac:dyDescent="0.3">
      <c r="A250" s="18">
        <v>249</v>
      </c>
      <c r="B250" s="19">
        <v>45219</v>
      </c>
      <c r="C250" s="20" t="s">
        <v>257</v>
      </c>
      <c r="D250" s="20" t="s">
        <v>5</v>
      </c>
      <c r="E250" s="18">
        <v>20</v>
      </c>
      <c r="F250" s="18" t="str">
        <f t="shared" si="6"/>
        <v>Young</v>
      </c>
      <c r="G250" s="20" t="s">
        <v>9</v>
      </c>
      <c r="H250" s="18">
        <v>1</v>
      </c>
      <c r="I250" s="18">
        <v>50</v>
      </c>
      <c r="J250" s="18">
        <v>50</v>
      </c>
      <c r="K250" s="21" t="str">
        <f t="shared" si="7"/>
        <v>Low</v>
      </c>
      <c r="L250" s="18">
        <f>YEAR(B250)</f>
        <v>2023</v>
      </c>
      <c r="M250" s="18">
        <f>ROUNDUP(MONTH(B250)/3,0)</f>
        <v>4</v>
      </c>
      <c r="N250" s="20" t="str">
        <f>TEXT(B250,"dddd")</f>
        <v>Friday</v>
      </c>
      <c r="O250" s="20" t="str">
        <f>TEXT(B250,"mmmm")</f>
        <v>October</v>
      </c>
    </row>
    <row r="251" spans="1:15" x14ac:dyDescent="0.3">
      <c r="A251" s="18">
        <v>250</v>
      </c>
      <c r="B251" s="19">
        <v>45222</v>
      </c>
      <c r="C251" s="20" t="s">
        <v>258</v>
      </c>
      <c r="D251" s="20" t="s">
        <v>5</v>
      </c>
      <c r="E251" s="18">
        <v>48</v>
      </c>
      <c r="F251" s="18" t="str">
        <f t="shared" si="6"/>
        <v>Adult</v>
      </c>
      <c r="G251" s="20" t="s">
        <v>11</v>
      </c>
      <c r="H251" s="18">
        <v>1</v>
      </c>
      <c r="I251" s="18">
        <v>50</v>
      </c>
      <c r="J251" s="18">
        <v>50</v>
      </c>
      <c r="K251" s="21" t="str">
        <f t="shared" si="7"/>
        <v>Low</v>
      </c>
      <c r="L251" s="18">
        <f>YEAR(B251)</f>
        <v>2023</v>
      </c>
      <c r="M251" s="18">
        <f>ROUNDUP(MONTH(B251)/3,0)</f>
        <v>4</v>
      </c>
      <c r="N251" s="20" t="str">
        <f>TEXT(B251,"dddd")</f>
        <v>Monday</v>
      </c>
      <c r="O251" s="20" t="str">
        <f>TEXT(B251,"mmmm")</f>
        <v>October</v>
      </c>
    </row>
    <row r="252" spans="1:15" x14ac:dyDescent="0.3">
      <c r="A252" s="18">
        <v>251</v>
      </c>
      <c r="B252" s="19">
        <v>45169</v>
      </c>
      <c r="C252" s="20" t="s">
        <v>259</v>
      </c>
      <c r="D252" s="20" t="s">
        <v>8</v>
      </c>
      <c r="E252" s="18">
        <v>57</v>
      </c>
      <c r="F252" s="18" t="str">
        <f t="shared" si="6"/>
        <v>Adult</v>
      </c>
      <c r="G252" s="20" t="s">
        <v>6</v>
      </c>
      <c r="H252" s="18">
        <v>4</v>
      </c>
      <c r="I252" s="18">
        <v>50</v>
      </c>
      <c r="J252" s="18">
        <v>200</v>
      </c>
      <c r="K252" s="21" t="str">
        <f t="shared" si="7"/>
        <v>Low</v>
      </c>
      <c r="L252" s="18">
        <f>YEAR(B252)</f>
        <v>2023</v>
      </c>
      <c r="M252" s="18">
        <f>ROUNDUP(MONTH(B252)/3,0)</f>
        <v>3</v>
      </c>
      <c r="N252" s="20" t="str">
        <f>TEXT(B252,"dddd")</f>
        <v>Thursday</v>
      </c>
      <c r="O252" s="20" t="str">
        <f>TEXT(B252,"mmmm")</f>
        <v>August</v>
      </c>
    </row>
    <row r="253" spans="1:15" x14ac:dyDescent="0.3">
      <c r="A253" s="18">
        <v>252</v>
      </c>
      <c r="B253" s="19">
        <v>45051</v>
      </c>
      <c r="C253" s="20" t="s">
        <v>260</v>
      </c>
      <c r="D253" s="20" t="s">
        <v>5</v>
      </c>
      <c r="E253" s="18">
        <v>54</v>
      </c>
      <c r="F253" s="18" t="str">
        <f t="shared" si="6"/>
        <v>Adult</v>
      </c>
      <c r="G253" s="20" t="s">
        <v>11</v>
      </c>
      <c r="H253" s="18">
        <v>1</v>
      </c>
      <c r="I253" s="18">
        <v>300</v>
      </c>
      <c r="J253" s="18">
        <v>300</v>
      </c>
      <c r="K253" s="21" t="str">
        <f t="shared" si="7"/>
        <v>Low</v>
      </c>
      <c r="L253" s="18">
        <f>YEAR(B253)</f>
        <v>2023</v>
      </c>
      <c r="M253" s="18">
        <f>ROUNDUP(MONTH(B253)/3,0)</f>
        <v>2</v>
      </c>
      <c r="N253" s="20" t="str">
        <f>TEXT(B253,"dddd")</f>
        <v>Friday</v>
      </c>
      <c r="O253" s="20" t="str">
        <f>TEXT(B253,"mmmm")</f>
        <v>May</v>
      </c>
    </row>
    <row r="254" spans="1:15" x14ac:dyDescent="0.3">
      <c r="A254" s="18">
        <v>253</v>
      </c>
      <c r="B254" s="19">
        <v>45169</v>
      </c>
      <c r="C254" s="20" t="s">
        <v>261</v>
      </c>
      <c r="D254" s="20" t="s">
        <v>8</v>
      </c>
      <c r="E254" s="18">
        <v>53</v>
      </c>
      <c r="F254" s="18" t="str">
        <f t="shared" si="6"/>
        <v>Adult</v>
      </c>
      <c r="G254" s="20" t="s">
        <v>9</v>
      </c>
      <c r="H254" s="18">
        <v>4</v>
      </c>
      <c r="I254" s="18">
        <v>500</v>
      </c>
      <c r="J254" s="18">
        <v>2000</v>
      </c>
      <c r="K254" s="21" t="str">
        <f t="shared" si="7"/>
        <v>High</v>
      </c>
      <c r="L254" s="18">
        <f>YEAR(B254)</f>
        <v>2023</v>
      </c>
      <c r="M254" s="18">
        <f>ROUNDUP(MONTH(B254)/3,0)</f>
        <v>3</v>
      </c>
      <c r="N254" s="20" t="str">
        <f>TEXT(B254,"dddd")</f>
        <v>Thursday</v>
      </c>
      <c r="O254" s="20" t="str">
        <f>TEXT(B254,"mmmm")</f>
        <v>August</v>
      </c>
    </row>
    <row r="255" spans="1:15" x14ac:dyDescent="0.3">
      <c r="A255" s="18">
        <v>254</v>
      </c>
      <c r="B255" s="19">
        <v>45135</v>
      </c>
      <c r="C255" s="20" t="s">
        <v>262</v>
      </c>
      <c r="D255" s="20" t="s">
        <v>5</v>
      </c>
      <c r="E255" s="18">
        <v>41</v>
      </c>
      <c r="F255" s="18" t="str">
        <f t="shared" si="6"/>
        <v>Adult</v>
      </c>
      <c r="G255" s="20" t="s">
        <v>11</v>
      </c>
      <c r="H255" s="18">
        <v>1</v>
      </c>
      <c r="I255" s="18">
        <v>500</v>
      </c>
      <c r="J255" s="18">
        <v>500</v>
      </c>
      <c r="K255" s="21" t="str">
        <f t="shared" si="7"/>
        <v>Low</v>
      </c>
      <c r="L255" s="18">
        <f>YEAR(B255)</f>
        <v>2023</v>
      </c>
      <c r="M255" s="18">
        <f>ROUNDUP(MONTH(B255)/3,0)</f>
        <v>3</v>
      </c>
      <c r="N255" s="20" t="str">
        <f>TEXT(B255,"dddd")</f>
        <v>Friday</v>
      </c>
      <c r="O255" s="20" t="str">
        <f>TEXT(B255,"mmmm")</f>
        <v>July</v>
      </c>
    </row>
    <row r="256" spans="1:15" x14ac:dyDescent="0.3">
      <c r="A256" s="18">
        <v>255</v>
      </c>
      <c r="B256" s="19">
        <v>45024</v>
      </c>
      <c r="C256" s="20" t="s">
        <v>263</v>
      </c>
      <c r="D256" s="20" t="s">
        <v>5</v>
      </c>
      <c r="E256" s="18">
        <v>48</v>
      </c>
      <c r="F256" s="18" t="str">
        <f t="shared" si="6"/>
        <v>Adult</v>
      </c>
      <c r="G256" s="20" t="s">
        <v>9</v>
      </c>
      <c r="H256" s="18">
        <v>1</v>
      </c>
      <c r="I256" s="18">
        <v>30</v>
      </c>
      <c r="J256" s="18">
        <v>30</v>
      </c>
      <c r="K256" s="21" t="str">
        <f t="shared" si="7"/>
        <v>Low</v>
      </c>
      <c r="L256" s="18">
        <f>YEAR(B256)</f>
        <v>2023</v>
      </c>
      <c r="M256" s="18">
        <f>ROUNDUP(MONTH(B256)/3,0)</f>
        <v>2</v>
      </c>
      <c r="N256" s="20" t="str">
        <f>TEXT(B256,"dddd")</f>
        <v>Saturday</v>
      </c>
      <c r="O256" s="20" t="str">
        <f>TEXT(B256,"mmmm")</f>
        <v>April</v>
      </c>
    </row>
    <row r="257" spans="1:15" x14ac:dyDescent="0.3">
      <c r="A257" s="18">
        <v>256</v>
      </c>
      <c r="B257" s="19">
        <v>44975</v>
      </c>
      <c r="C257" s="20" t="s">
        <v>264</v>
      </c>
      <c r="D257" s="20" t="s">
        <v>5</v>
      </c>
      <c r="E257" s="18">
        <v>23</v>
      </c>
      <c r="F257" s="18" t="str">
        <f t="shared" si="6"/>
        <v>Young</v>
      </c>
      <c r="G257" s="20" t="s">
        <v>9</v>
      </c>
      <c r="H257" s="18">
        <v>2</v>
      </c>
      <c r="I257" s="18">
        <v>500</v>
      </c>
      <c r="J257" s="18">
        <v>1000</v>
      </c>
      <c r="K257" s="21" t="str">
        <f t="shared" si="7"/>
        <v>Medium</v>
      </c>
      <c r="L257" s="18">
        <f>YEAR(B257)</f>
        <v>2023</v>
      </c>
      <c r="M257" s="18">
        <f>ROUNDUP(MONTH(B257)/3,0)</f>
        <v>1</v>
      </c>
      <c r="N257" s="20" t="str">
        <f>TEXT(B257,"dddd")</f>
        <v>Saturday</v>
      </c>
      <c r="O257" s="20" t="str">
        <f>TEXT(B257,"mmmm")</f>
        <v>February</v>
      </c>
    </row>
    <row r="258" spans="1:15" x14ac:dyDescent="0.3">
      <c r="A258" s="18">
        <v>257</v>
      </c>
      <c r="B258" s="19">
        <v>44976</v>
      </c>
      <c r="C258" s="20" t="s">
        <v>265</v>
      </c>
      <c r="D258" s="20" t="s">
        <v>5</v>
      </c>
      <c r="E258" s="18">
        <v>19</v>
      </c>
      <c r="F258" s="18" t="str">
        <f t="shared" si="6"/>
        <v>Young</v>
      </c>
      <c r="G258" s="20" t="s">
        <v>6</v>
      </c>
      <c r="H258" s="18">
        <v>4</v>
      </c>
      <c r="I258" s="18">
        <v>500</v>
      </c>
      <c r="J258" s="18">
        <v>2000</v>
      </c>
      <c r="K258" s="21" t="str">
        <f t="shared" si="7"/>
        <v>High</v>
      </c>
      <c r="L258" s="18">
        <f>YEAR(B258)</f>
        <v>2023</v>
      </c>
      <c r="M258" s="18">
        <f>ROUNDUP(MONTH(B258)/3,0)</f>
        <v>1</v>
      </c>
      <c r="N258" s="20" t="str">
        <f>TEXT(B258,"dddd")</f>
        <v>Sunday</v>
      </c>
      <c r="O258" s="20" t="str">
        <f>TEXT(B258,"mmmm")</f>
        <v>February</v>
      </c>
    </row>
    <row r="259" spans="1:15" x14ac:dyDescent="0.3">
      <c r="A259" s="18">
        <v>258</v>
      </c>
      <c r="B259" s="19">
        <v>45264</v>
      </c>
      <c r="C259" s="20" t="s">
        <v>266</v>
      </c>
      <c r="D259" s="20" t="s">
        <v>8</v>
      </c>
      <c r="E259" s="18">
        <v>37</v>
      </c>
      <c r="F259" s="18" t="str">
        <f t="shared" ref="F259:F322" si="8">IF(E259&gt;60,"Senior",IF(E259&gt;30,"Adult","Young"))</f>
        <v>Adult</v>
      </c>
      <c r="G259" s="20" t="s">
        <v>9</v>
      </c>
      <c r="H259" s="18">
        <v>1</v>
      </c>
      <c r="I259" s="18">
        <v>50</v>
      </c>
      <c r="J259" s="18">
        <v>50</v>
      </c>
      <c r="K259" s="21" t="str">
        <f t="shared" ref="K259:K322" si="9">IF(J259&gt;1500,"High",IF(J259&gt;500,"Medium","Low"))</f>
        <v>Low</v>
      </c>
      <c r="L259" s="18">
        <f>YEAR(B259)</f>
        <v>2023</v>
      </c>
      <c r="M259" s="18">
        <f>ROUNDUP(MONTH(B259)/3,0)</f>
        <v>4</v>
      </c>
      <c r="N259" s="20" t="str">
        <f>TEXT(B259,"dddd")</f>
        <v>Monday</v>
      </c>
      <c r="O259" s="20" t="str">
        <f>TEXT(B259,"mmmm")</f>
        <v>December</v>
      </c>
    </row>
    <row r="260" spans="1:15" x14ac:dyDescent="0.3">
      <c r="A260" s="18">
        <v>259</v>
      </c>
      <c r="B260" s="19">
        <v>45147</v>
      </c>
      <c r="C260" s="20" t="s">
        <v>267</v>
      </c>
      <c r="D260" s="20" t="s">
        <v>8</v>
      </c>
      <c r="E260" s="18">
        <v>45</v>
      </c>
      <c r="F260" s="18" t="str">
        <f t="shared" si="8"/>
        <v>Adult</v>
      </c>
      <c r="G260" s="20" t="s">
        <v>9</v>
      </c>
      <c r="H260" s="18">
        <v>4</v>
      </c>
      <c r="I260" s="18">
        <v>50</v>
      </c>
      <c r="J260" s="18">
        <v>200</v>
      </c>
      <c r="K260" s="21" t="str">
        <f t="shared" si="9"/>
        <v>Low</v>
      </c>
      <c r="L260" s="18">
        <f>YEAR(B260)</f>
        <v>2023</v>
      </c>
      <c r="M260" s="18">
        <f>ROUNDUP(MONTH(B260)/3,0)</f>
        <v>3</v>
      </c>
      <c r="N260" s="20" t="str">
        <f>TEXT(B260,"dddd")</f>
        <v>Wednesday</v>
      </c>
      <c r="O260" s="20" t="str">
        <f>TEXT(B260,"mmmm")</f>
        <v>August</v>
      </c>
    </row>
    <row r="261" spans="1:15" x14ac:dyDescent="0.3">
      <c r="A261" s="18">
        <v>260</v>
      </c>
      <c r="B261" s="19">
        <v>45108</v>
      </c>
      <c r="C261" s="20" t="s">
        <v>268</v>
      </c>
      <c r="D261" s="20" t="s">
        <v>5</v>
      </c>
      <c r="E261" s="18">
        <v>28</v>
      </c>
      <c r="F261" s="18" t="str">
        <f t="shared" si="8"/>
        <v>Young</v>
      </c>
      <c r="G261" s="20" t="s">
        <v>6</v>
      </c>
      <c r="H261" s="18">
        <v>2</v>
      </c>
      <c r="I261" s="18">
        <v>30</v>
      </c>
      <c r="J261" s="18">
        <v>60</v>
      </c>
      <c r="K261" s="21" t="str">
        <f t="shared" si="9"/>
        <v>Low</v>
      </c>
      <c r="L261" s="18">
        <f>YEAR(B261)</f>
        <v>2023</v>
      </c>
      <c r="M261" s="18">
        <f>ROUNDUP(MONTH(B261)/3,0)</f>
        <v>3</v>
      </c>
      <c r="N261" s="20" t="str">
        <f>TEXT(B261,"dddd")</f>
        <v>Saturday</v>
      </c>
      <c r="O261" s="20" t="str">
        <f>TEXT(B261,"mmmm")</f>
        <v>July</v>
      </c>
    </row>
    <row r="262" spans="1:15" x14ac:dyDescent="0.3">
      <c r="A262" s="18">
        <v>261</v>
      </c>
      <c r="B262" s="19">
        <v>45143</v>
      </c>
      <c r="C262" s="20" t="s">
        <v>269</v>
      </c>
      <c r="D262" s="20" t="s">
        <v>5</v>
      </c>
      <c r="E262" s="18">
        <v>21</v>
      </c>
      <c r="F262" s="18" t="str">
        <f t="shared" si="8"/>
        <v>Young</v>
      </c>
      <c r="G262" s="20" t="s">
        <v>9</v>
      </c>
      <c r="H262" s="18">
        <v>2</v>
      </c>
      <c r="I262" s="18">
        <v>25</v>
      </c>
      <c r="J262" s="18">
        <v>50</v>
      </c>
      <c r="K262" s="21" t="str">
        <f t="shared" si="9"/>
        <v>Low</v>
      </c>
      <c r="L262" s="18">
        <f>YEAR(B262)</f>
        <v>2023</v>
      </c>
      <c r="M262" s="18">
        <f>ROUNDUP(MONTH(B262)/3,0)</f>
        <v>3</v>
      </c>
      <c r="N262" s="20" t="str">
        <f>TEXT(B262,"dddd")</f>
        <v>Saturday</v>
      </c>
      <c r="O262" s="20" t="str">
        <f>TEXT(B262,"mmmm")</f>
        <v>August</v>
      </c>
    </row>
    <row r="263" spans="1:15" x14ac:dyDescent="0.3">
      <c r="A263" s="18">
        <v>262</v>
      </c>
      <c r="B263" s="19">
        <v>45137</v>
      </c>
      <c r="C263" s="20" t="s">
        <v>270</v>
      </c>
      <c r="D263" s="20" t="s">
        <v>8</v>
      </c>
      <c r="E263" s="18">
        <v>32</v>
      </c>
      <c r="F263" s="18" t="str">
        <f t="shared" si="8"/>
        <v>Adult</v>
      </c>
      <c r="G263" s="20" t="s">
        <v>6</v>
      </c>
      <c r="H263" s="18">
        <v>4</v>
      </c>
      <c r="I263" s="18">
        <v>30</v>
      </c>
      <c r="J263" s="18">
        <v>120</v>
      </c>
      <c r="K263" s="21" t="str">
        <f t="shared" si="9"/>
        <v>Low</v>
      </c>
      <c r="L263" s="18">
        <f>YEAR(B263)</f>
        <v>2023</v>
      </c>
      <c r="M263" s="18">
        <f>ROUNDUP(MONTH(B263)/3,0)</f>
        <v>3</v>
      </c>
      <c r="N263" s="20" t="str">
        <f>TEXT(B263,"dddd")</f>
        <v>Sunday</v>
      </c>
      <c r="O263" s="20" t="str">
        <f>TEXT(B263,"mmmm")</f>
        <v>July</v>
      </c>
    </row>
    <row r="264" spans="1:15" x14ac:dyDescent="0.3">
      <c r="A264" s="18">
        <v>263</v>
      </c>
      <c r="B264" s="19">
        <v>45166</v>
      </c>
      <c r="C264" s="20" t="s">
        <v>271</v>
      </c>
      <c r="D264" s="20" t="s">
        <v>5</v>
      </c>
      <c r="E264" s="18">
        <v>23</v>
      </c>
      <c r="F264" s="18" t="str">
        <f t="shared" si="8"/>
        <v>Young</v>
      </c>
      <c r="G264" s="20" t="s">
        <v>6</v>
      </c>
      <c r="H264" s="18">
        <v>2</v>
      </c>
      <c r="I264" s="18">
        <v>30</v>
      </c>
      <c r="J264" s="18">
        <v>60</v>
      </c>
      <c r="K264" s="21" t="str">
        <f t="shared" si="9"/>
        <v>Low</v>
      </c>
      <c r="L264" s="18">
        <f>YEAR(B264)</f>
        <v>2023</v>
      </c>
      <c r="M264" s="18">
        <f>ROUNDUP(MONTH(B264)/3,0)</f>
        <v>3</v>
      </c>
      <c r="N264" s="20" t="str">
        <f>TEXT(B264,"dddd")</f>
        <v>Monday</v>
      </c>
      <c r="O264" s="20" t="str">
        <f>TEXT(B264,"mmmm")</f>
        <v>August</v>
      </c>
    </row>
    <row r="265" spans="1:15" x14ac:dyDescent="0.3">
      <c r="A265" s="18">
        <v>264</v>
      </c>
      <c r="B265" s="19">
        <v>44954</v>
      </c>
      <c r="C265" s="20" t="s">
        <v>272</v>
      </c>
      <c r="D265" s="20" t="s">
        <v>5</v>
      </c>
      <c r="E265" s="18">
        <v>47</v>
      </c>
      <c r="F265" s="18" t="str">
        <f t="shared" si="8"/>
        <v>Adult</v>
      </c>
      <c r="G265" s="20" t="s">
        <v>9</v>
      </c>
      <c r="H265" s="18">
        <v>3</v>
      </c>
      <c r="I265" s="18">
        <v>300</v>
      </c>
      <c r="J265" s="18">
        <v>900</v>
      </c>
      <c r="K265" s="21" t="str">
        <f t="shared" si="9"/>
        <v>Medium</v>
      </c>
      <c r="L265" s="18">
        <f>YEAR(B265)</f>
        <v>2023</v>
      </c>
      <c r="M265" s="18">
        <f>ROUNDUP(MONTH(B265)/3,0)</f>
        <v>1</v>
      </c>
      <c r="N265" s="20" t="str">
        <f>TEXT(B265,"dddd")</f>
        <v>Saturday</v>
      </c>
      <c r="O265" s="20" t="str">
        <f>TEXT(B265,"mmmm")</f>
        <v>January</v>
      </c>
    </row>
    <row r="266" spans="1:15" x14ac:dyDescent="0.3">
      <c r="A266" s="18">
        <v>265</v>
      </c>
      <c r="B266" s="19">
        <v>45271</v>
      </c>
      <c r="C266" s="20" t="s">
        <v>273</v>
      </c>
      <c r="D266" s="20" t="s">
        <v>5</v>
      </c>
      <c r="E266" s="18">
        <v>55</v>
      </c>
      <c r="F266" s="18" t="str">
        <f t="shared" si="8"/>
        <v>Adult</v>
      </c>
      <c r="G266" s="20" t="s">
        <v>9</v>
      </c>
      <c r="H266" s="18">
        <v>3</v>
      </c>
      <c r="I266" s="18">
        <v>300</v>
      </c>
      <c r="J266" s="18">
        <v>900</v>
      </c>
      <c r="K266" s="21" t="str">
        <f t="shared" si="9"/>
        <v>Medium</v>
      </c>
      <c r="L266" s="18">
        <f>YEAR(B266)</f>
        <v>2023</v>
      </c>
      <c r="M266" s="18">
        <f>ROUNDUP(MONTH(B266)/3,0)</f>
        <v>4</v>
      </c>
      <c r="N266" s="20" t="str">
        <f>TEXT(B266,"dddd")</f>
        <v>Monday</v>
      </c>
      <c r="O266" s="20" t="str">
        <f>TEXT(B266,"mmmm")</f>
        <v>December</v>
      </c>
    </row>
    <row r="267" spans="1:15" x14ac:dyDescent="0.3">
      <c r="A267" s="18">
        <v>266</v>
      </c>
      <c r="B267" s="19">
        <v>45261</v>
      </c>
      <c r="C267" s="20" t="s">
        <v>274</v>
      </c>
      <c r="D267" s="20" t="s">
        <v>8</v>
      </c>
      <c r="E267" s="18">
        <v>19</v>
      </c>
      <c r="F267" s="18" t="str">
        <f t="shared" si="8"/>
        <v>Young</v>
      </c>
      <c r="G267" s="20" t="s">
        <v>11</v>
      </c>
      <c r="H267" s="18">
        <v>2</v>
      </c>
      <c r="I267" s="18">
        <v>30</v>
      </c>
      <c r="J267" s="18">
        <v>60</v>
      </c>
      <c r="K267" s="21" t="str">
        <f t="shared" si="9"/>
        <v>Low</v>
      </c>
      <c r="L267" s="18">
        <f>YEAR(B267)</f>
        <v>2023</v>
      </c>
      <c r="M267" s="18">
        <f>ROUNDUP(MONTH(B267)/3,0)</f>
        <v>4</v>
      </c>
      <c r="N267" s="20" t="str">
        <f>TEXT(B267,"dddd")</f>
        <v>Friday</v>
      </c>
      <c r="O267" s="20" t="str">
        <f>TEXT(B267,"mmmm")</f>
        <v>December</v>
      </c>
    </row>
    <row r="268" spans="1:15" x14ac:dyDescent="0.3">
      <c r="A268" s="18">
        <v>267</v>
      </c>
      <c r="B268" s="19">
        <v>45257</v>
      </c>
      <c r="C268" s="20" t="s">
        <v>275</v>
      </c>
      <c r="D268" s="20" t="s">
        <v>8</v>
      </c>
      <c r="E268" s="18">
        <v>32</v>
      </c>
      <c r="F268" s="18" t="str">
        <f t="shared" si="8"/>
        <v>Adult</v>
      </c>
      <c r="G268" s="20" t="s">
        <v>6</v>
      </c>
      <c r="H268" s="18">
        <v>3</v>
      </c>
      <c r="I268" s="18">
        <v>30</v>
      </c>
      <c r="J268" s="18">
        <v>90</v>
      </c>
      <c r="K268" s="21" t="str">
        <f t="shared" si="9"/>
        <v>Low</v>
      </c>
      <c r="L268" s="18">
        <f>YEAR(B268)</f>
        <v>2023</v>
      </c>
      <c r="M268" s="18">
        <f>ROUNDUP(MONTH(B268)/3,0)</f>
        <v>4</v>
      </c>
      <c r="N268" s="20" t="str">
        <f>TEXT(B268,"dddd")</f>
        <v>Monday</v>
      </c>
      <c r="O268" s="20" t="str">
        <f>TEXT(B268,"mmmm")</f>
        <v>November</v>
      </c>
    </row>
    <row r="269" spans="1:15" x14ac:dyDescent="0.3">
      <c r="A269" s="18">
        <v>268</v>
      </c>
      <c r="B269" s="19">
        <v>44977</v>
      </c>
      <c r="C269" s="20" t="s">
        <v>276</v>
      </c>
      <c r="D269" s="20" t="s">
        <v>8</v>
      </c>
      <c r="E269" s="18">
        <v>28</v>
      </c>
      <c r="F269" s="18" t="str">
        <f t="shared" si="8"/>
        <v>Young</v>
      </c>
      <c r="G269" s="20" t="s">
        <v>11</v>
      </c>
      <c r="H269" s="18">
        <v>1</v>
      </c>
      <c r="I269" s="18">
        <v>30</v>
      </c>
      <c r="J269" s="18">
        <v>30</v>
      </c>
      <c r="K269" s="21" t="str">
        <f t="shared" si="9"/>
        <v>Low</v>
      </c>
      <c r="L269" s="18">
        <f>YEAR(B269)</f>
        <v>2023</v>
      </c>
      <c r="M269" s="18">
        <f>ROUNDUP(MONTH(B269)/3,0)</f>
        <v>1</v>
      </c>
      <c r="N269" s="20" t="str">
        <f>TEXT(B269,"dddd")</f>
        <v>Monday</v>
      </c>
      <c r="O269" s="20" t="str">
        <f>TEXT(B269,"mmmm")</f>
        <v>February</v>
      </c>
    </row>
    <row r="270" spans="1:15" x14ac:dyDescent="0.3">
      <c r="A270" s="18">
        <v>269</v>
      </c>
      <c r="B270" s="19">
        <v>44958</v>
      </c>
      <c r="C270" s="20" t="s">
        <v>277</v>
      </c>
      <c r="D270" s="20" t="s">
        <v>5</v>
      </c>
      <c r="E270" s="18">
        <v>25</v>
      </c>
      <c r="F270" s="18" t="str">
        <f t="shared" si="8"/>
        <v>Young</v>
      </c>
      <c r="G270" s="20" t="s">
        <v>9</v>
      </c>
      <c r="H270" s="18">
        <v>4</v>
      </c>
      <c r="I270" s="18">
        <v>500</v>
      </c>
      <c r="J270" s="18">
        <v>2000</v>
      </c>
      <c r="K270" s="21" t="str">
        <f t="shared" si="9"/>
        <v>High</v>
      </c>
      <c r="L270" s="18">
        <f>YEAR(B270)</f>
        <v>2023</v>
      </c>
      <c r="M270" s="18">
        <f>ROUNDUP(MONTH(B270)/3,0)</f>
        <v>1</v>
      </c>
      <c r="N270" s="20" t="str">
        <f>TEXT(B270,"dddd")</f>
        <v>Wednesday</v>
      </c>
      <c r="O270" s="20" t="str">
        <f>TEXT(B270,"mmmm")</f>
        <v>February</v>
      </c>
    </row>
    <row r="271" spans="1:15" x14ac:dyDescent="0.3">
      <c r="A271" s="18">
        <v>270</v>
      </c>
      <c r="B271" s="19">
        <v>45133</v>
      </c>
      <c r="C271" s="20" t="s">
        <v>278</v>
      </c>
      <c r="D271" s="20" t="s">
        <v>5</v>
      </c>
      <c r="E271" s="18">
        <v>43</v>
      </c>
      <c r="F271" s="18" t="str">
        <f t="shared" si="8"/>
        <v>Adult</v>
      </c>
      <c r="G271" s="20" t="s">
        <v>11</v>
      </c>
      <c r="H271" s="18">
        <v>1</v>
      </c>
      <c r="I271" s="18">
        <v>300</v>
      </c>
      <c r="J271" s="18">
        <v>300</v>
      </c>
      <c r="K271" s="21" t="str">
        <f t="shared" si="9"/>
        <v>Low</v>
      </c>
      <c r="L271" s="18">
        <f>YEAR(B271)</f>
        <v>2023</v>
      </c>
      <c r="M271" s="18">
        <f>ROUNDUP(MONTH(B271)/3,0)</f>
        <v>3</v>
      </c>
      <c r="N271" s="20" t="str">
        <f>TEXT(B271,"dddd")</f>
        <v>Wednesday</v>
      </c>
      <c r="O271" s="20" t="str">
        <f>TEXT(B271,"mmmm")</f>
        <v>July</v>
      </c>
    </row>
    <row r="272" spans="1:15" x14ac:dyDescent="0.3">
      <c r="A272" s="18">
        <v>271</v>
      </c>
      <c r="B272" s="19">
        <v>45100</v>
      </c>
      <c r="C272" s="20" t="s">
        <v>279</v>
      </c>
      <c r="D272" s="20" t="s">
        <v>8</v>
      </c>
      <c r="E272" s="18">
        <v>62</v>
      </c>
      <c r="F272" s="18" t="str">
        <f t="shared" si="8"/>
        <v>Senior</v>
      </c>
      <c r="G272" s="20" t="s">
        <v>6</v>
      </c>
      <c r="H272" s="18">
        <v>4</v>
      </c>
      <c r="I272" s="18">
        <v>30</v>
      </c>
      <c r="J272" s="18">
        <v>120</v>
      </c>
      <c r="K272" s="21" t="str">
        <f t="shared" si="9"/>
        <v>Low</v>
      </c>
      <c r="L272" s="18">
        <f>YEAR(B272)</f>
        <v>2023</v>
      </c>
      <c r="M272" s="18">
        <f>ROUNDUP(MONTH(B272)/3,0)</f>
        <v>2</v>
      </c>
      <c r="N272" s="20" t="str">
        <f>TEXT(B272,"dddd")</f>
        <v>Friday</v>
      </c>
      <c r="O272" s="20" t="str">
        <f>TEXT(B272,"mmmm")</f>
        <v>June</v>
      </c>
    </row>
    <row r="273" spans="1:15" x14ac:dyDescent="0.3">
      <c r="A273" s="18">
        <v>272</v>
      </c>
      <c r="B273" s="19">
        <v>44982</v>
      </c>
      <c r="C273" s="20" t="s">
        <v>280</v>
      </c>
      <c r="D273" s="20" t="s">
        <v>8</v>
      </c>
      <c r="E273" s="18">
        <v>61</v>
      </c>
      <c r="F273" s="18" t="str">
        <f t="shared" si="8"/>
        <v>Senior</v>
      </c>
      <c r="G273" s="20" t="s">
        <v>11</v>
      </c>
      <c r="H273" s="18">
        <v>2</v>
      </c>
      <c r="I273" s="18">
        <v>50</v>
      </c>
      <c r="J273" s="18">
        <v>100</v>
      </c>
      <c r="K273" s="21" t="str">
        <f t="shared" si="9"/>
        <v>Low</v>
      </c>
      <c r="L273" s="18">
        <f>YEAR(B273)</f>
        <v>2023</v>
      </c>
      <c r="M273" s="18">
        <f>ROUNDUP(MONTH(B273)/3,0)</f>
        <v>1</v>
      </c>
      <c r="N273" s="20" t="str">
        <f>TEXT(B273,"dddd")</f>
        <v>Saturday</v>
      </c>
      <c r="O273" s="20" t="str">
        <f>TEXT(B273,"mmmm")</f>
        <v>February</v>
      </c>
    </row>
    <row r="274" spans="1:15" x14ac:dyDescent="0.3">
      <c r="A274" s="18">
        <v>273</v>
      </c>
      <c r="B274" s="19">
        <v>45054</v>
      </c>
      <c r="C274" s="20" t="s">
        <v>281</v>
      </c>
      <c r="D274" s="20" t="s">
        <v>8</v>
      </c>
      <c r="E274" s="18">
        <v>22</v>
      </c>
      <c r="F274" s="18" t="str">
        <f t="shared" si="8"/>
        <v>Young</v>
      </c>
      <c r="G274" s="20" t="s">
        <v>6</v>
      </c>
      <c r="H274" s="18">
        <v>1</v>
      </c>
      <c r="I274" s="18">
        <v>50</v>
      </c>
      <c r="J274" s="18">
        <v>50</v>
      </c>
      <c r="K274" s="21" t="str">
        <f t="shared" si="9"/>
        <v>Low</v>
      </c>
      <c r="L274" s="18">
        <f>YEAR(B274)</f>
        <v>2023</v>
      </c>
      <c r="M274" s="18">
        <f>ROUNDUP(MONTH(B274)/3,0)</f>
        <v>2</v>
      </c>
      <c r="N274" s="20" t="str">
        <f>TEXT(B274,"dddd")</f>
        <v>Monday</v>
      </c>
      <c r="O274" s="20" t="str">
        <f>TEXT(B274,"mmmm")</f>
        <v>May</v>
      </c>
    </row>
    <row r="275" spans="1:15" x14ac:dyDescent="0.3">
      <c r="A275" s="18">
        <v>274</v>
      </c>
      <c r="B275" s="19">
        <v>45025</v>
      </c>
      <c r="C275" s="20" t="s">
        <v>282</v>
      </c>
      <c r="D275" s="20" t="s">
        <v>8</v>
      </c>
      <c r="E275" s="18">
        <v>23</v>
      </c>
      <c r="F275" s="18" t="str">
        <f t="shared" si="8"/>
        <v>Young</v>
      </c>
      <c r="G275" s="20" t="s">
        <v>9</v>
      </c>
      <c r="H275" s="18">
        <v>2</v>
      </c>
      <c r="I275" s="18">
        <v>500</v>
      </c>
      <c r="J275" s="18">
        <v>1000</v>
      </c>
      <c r="K275" s="21" t="str">
        <f t="shared" si="9"/>
        <v>Medium</v>
      </c>
      <c r="L275" s="18">
        <f>YEAR(B275)</f>
        <v>2023</v>
      </c>
      <c r="M275" s="18">
        <f>ROUNDUP(MONTH(B275)/3,0)</f>
        <v>2</v>
      </c>
      <c r="N275" s="20" t="str">
        <f>TEXT(B275,"dddd")</f>
        <v>Sunday</v>
      </c>
      <c r="O275" s="20" t="str">
        <f>TEXT(B275,"mmmm")</f>
        <v>April</v>
      </c>
    </row>
    <row r="276" spans="1:15" x14ac:dyDescent="0.3">
      <c r="A276" s="18">
        <v>275</v>
      </c>
      <c r="B276" s="19">
        <v>45024</v>
      </c>
      <c r="C276" s="20" t="s">
        <v>283</v>
      </c>
      <c r="D276" s="20" t="s">
        <v>5</v>
      </c>
      <c r="E276" s="18">
        <v>43</v>
      </c>
      <c r="F276" s="18" t="str">
        <f t="shared" si="8"/>
        <v>Adult</v>
      </c>
      <c r="G276" s="20" t="s">
        <v>9</v>
      </c>
      <c r="H276" s="18">
        <v>2</v>
      </c>
      <c r="I276" s="18">
        <v>500</v>
      </c>
      <c r="J276" s="18">
        <v>1000</v>
      </c>
      <c r="K276" s="21" t="str">
        <f t="shared" si="9"/>
        <v>Medium</v>
      </c>
      <c r="L276" s="18">
        <f>YEAR(B276)</f>
        <v>2023</v>
      </c>
      <c r="M276" s="18">
        <f>ROUNDUP(MONTH(B276)/3,0)</f>
        <v>2</v>
      </c>
      <c r="N276" s="20" t="str">
        <f>TEXT(B276,"dddd")</f>
        <v>Saturday</v>
      </c>
      <c r="O276" s="20" t="str">
        <f>TEXT(B276,"mmmm")</f>
        <v>April</v>
      </c>
    </row>
    <row r="277" spans="1:15" x14ac:dyDescent="0.3">
      <c r="A277" s="18">
        <v>276</v>
      </c>
      <c r="B277" s="19">
        <v>45201</v>
      </c>
      <c r="C277" s="20" t="s">
        <v>284</v>
      </c>
      <c r="D277" s="20" t="s">
        <v>8</v>
      </c>
      <c r="E277" s="18">
        <v>21</v>
      </c>
      <c r="F277" s="18" t="str">
        <f t="shared" si="8"/>
        <v>Young</v>
      </c>
      <c r="G277" s="20" t="s">
        <v>6</v>
      </c>
      <c r="H277" s="18">
        <v>4</v>
      </c>
      <c r="I277" s="18">
        <v>25</v>
      </c>
      <c r="J277" s="18">
        <v>100</v>
      </c>
      <c r="K277" s="21" t="str">
        <f t="shared" si="9"/>
        <v>Low</v>
      </c>
      <c r="L277" s="18">
        <f>YEAR(B277)</f>
        <v>2023</v>
      </c>
      <c r="M277" s="18">
        <f>ROUNDUP(MONTH(B277)/3,0)</f>
        <v>4</v>
      </c>
      <c r="N277" s="20" t="str">
        <f>TEXT(B277,"dddd")</f>
        <v>Monday</v>
      </c>
      <c r="O277" s="20" t="str">
        <f>TEXT(B277,"mmmm")</f>
        <v>October</v>
      </c>
    </row>
    <row r="278" spans="1:15" x14ac:dyDescent="0.3">
      <c r="A278" s="18">
        <v>277</v>
      </c>
      <c r="B278" s="19">
        <v>45156</v>
      </c>
      <c r="C278" s="20" t="s">
        <v>285</v>
      </c>
      <c r="D278" s="20" t="s">
        <v>5</v>
      </c>
      <c r="E278" s="18">
        <v>36</v>
      </c>
      <c r="F278" s="18" t="str">
        <f t="shared" si="8"/>
        <v>Adult</v>
      </c>
      <c r="G278" s="20" t="s">
        <v>9</v>
      </c>
      <c r="H278" s="18">
        <v>4</v>
      </c>
      <c r="I278" s="18">
        <v>25</v>
      </c>
      <c r="J278" s="18">
        <v>100</v>
      </c>
      <c r="K278" s="21" t="str">
        <f t="shared" si="9"/>
        <v>Low</v>
      </c>
      <c r="L278" s="18">
        <f>YEAR(B278)</f>
        <v>2023</v>
      </c>
      <c r="M278" s="18">
        <f>ROUNDUP(MONTH(B278)/3,0)</f>
        <v>3</v>
      </c>
      <c r="N278" s="20" t="str">
        <f>TEXT(B278,"dddd")</f>
        <v>Friday</v>
      </c>
      <c r="O278" s="20" t="str">
        <f>TEXT(B278,"mmmm")</f>
        <v>August</v>
      </c>
    </row>
    <row r="279" spans="1:15" x14ac:dyDescent="0.3">
      <c r="A279" s="18">
        <v>278</v>
      </c>
      <c r="B279" s="19">
        <v>44998</v>
      </c>
      <c r="C279" s="20" t="s">
        <v>286</v>
      </c>
      <c r="D279" s="20" t="s">
        <v>8</v>
      </c>
      <c r="E279" s="18">
        <v>37</v>
      </c>
      <c r="F279" s="18" t="str">
        <f t="shared" si="8"/>
        <v>Adult</v>
      </c>
      <c r="G279" s="20" t="s">
        <v>9</v>
      </c>
      <c r="H279" s="18">
        <v>4</v>
      </c>
      <c r="I279" s="18">
        <v>25</v>
      </c>
      <c r="J279" s="18">
        <v>100</v>
      </c>
      <c r="K279" s="21" t="str">
        <f t="shared" si="9"/>
        <v>Low</v>
      </c>
      <c r="L279" s="18">
        <f>YEAR(B279)</f>
        <v>2023</v>
      </c>
      <c r="M279" s="18">
        <f>ROUNDUP(MONTH(B279)/3,0)</f>
        <v>1</v>
      </c>
      <c r="N279" s="20" t="str">
        <f>TEXT(B279,"dddd")</f>
        <v>Monday</v>
      </c>
      <c r="O279" s="20" t="str">
        <f>TEXT(B279,"mmmm")</f>
        <v>March</v>
      </c>
    </row>
    <row r="280" spans="1:15" x14ac:dyDescent="0.3">
      <c r="A280" s="18">
        <v>279</v>
      </c>
      <c r="B280" s="19">
        <v>45143</v>
      </c>
      <c r="C280" s="20" t="s">
        <v>287</v>
      </c>
      <c r="D280" s="20" t="s">
        <v>5</v>
      </c>
      <c r="E280" s="18">
        <v>50</v>
      </c>
      <c r="F280" s="18" t="str">
        <f t="shared" si="8"/>
        <v>Adult</v>
      </c>
      <c r="G280" s="20" t="s">
        <v>9</v>
      </c>
      <c r="H280" s="18">
        <v>1</v>
      </c>
      <c r="I280" s="18">
        <v>500</v>
      </c>
      <c r="J280" s="18">
        <v>500</v>
      </c>
      <c r="K280" s="21" t="str">
        <f t="shared" si="9"/>
        <v>Low</v>
      </c>
      <c r="L280" s="18">
        <f>YEAR(B280)</f>
        <v>2023</v>
      </c>
      <c r="M280" s="18">
        <f>ROUNDUP(MONTH(B280)/3,0)</f>
        <v>3</v>
      </c>
      <c r="N280" s="20" t="str">
        <f>TEXT(B280,"dddd")</f>
        <v>Saturday</v>
      </c>
      <c r="O280" s="20" t="str">
        <f>TEXT(B280,"mmmm")</f>
        <v>August</v>
      </c>
    </row>
    <row r="281" spans="1:15" x14ac:dyDescent="0.3">
      <c r="A281" s="18">
        <v>280</v>
      </c>
      <c r="B281" s="19">
        <v>45020</v>
      </c>
      <c r="C281" s="20" t="s">
        <v>288</v>
      </c>
      <c r="D281" s="20" t="s">
        <v>8</v>
      </c>
      <c r="E281" s="18">
        <v>37</v>
      </c>
      <c r="F281" s="18" t="str">
        <f t="shared" si="8"/>
        <v>Adult</v>
      </c>
      <c r="G281" s="20" t="s">
        <v>9</v>
      </c>
      <c r="H281" s="18">
        <v>3</v>
      </c>
      <c r="I281" s="18">
        <v>500</v>
      </c>
      <c r="J281" s="18">
        <v>1500</v>
      </c>
      <c r="K281" s="21" t="str">
        <f t="shared" si="9"/>
        <v>Medium</v>
      </c>
      <c r="L281" s="18">
        <f>YEAR(B281)</f>
        <v>2023</v>
      </c>
      <c r="M281" s="18">
        <f>ROUNDUP(MONTH(B281)/3,0)</f>
        <v>2</v>
      </c>
      <c r="N281" s="20" t="str">
        <f>TEXT(B281,"dddd")</f>
        <v>Tuesday</v>
      </c>
      <c r="O281" s="20" t="str">
        <f>TEXT(B281,"mmmm")</f>
        <v>April</v>
      </c>
    </row>
    <row r="282" spans="1:15" x14ac:dyDescent="0.3">
      <c r="A282" s="18">
        <v>281</v>
      </c>
      <c r="B282" s="19">
        <v>45069</v>
      </c>
      <c r="C282" s="20" t="s">
        <v>289</v>
      </c>
      <c r="D282" s="20" t="s">
        <v>8</v>
      </c>
      <c r="E282" s="18">
        <v>29</v>
      </c>
      <c r="F282" s="18" t="str">
        <f t="shared" si="8"/>
        <v>Young</v>
      </c>
      <c r="G282" s="20" t="s">
        <v>6</v>
      </c>
      <c r="H282" s="18">
        <v>4</v>
      </c>
      <c r="I282" s="18">
        <v>500</v>
      </c>
      <c r="J282" s="18">
        <v>2000</v>
      </c>
      <c r="K282" s="21" t="str">
        <f t="shared" si="9"/>
        <v>High</v>
      </c>
      <c r="L282" s="18">
        <f>YEAR(B282)</f>
        <v>2023</v>
      </c>
      <c r="M282" s="18">
        <f>ROUNDUP(MONTH(B282)/3,0)</f>
        <v>2</v>
      </c>
      <c r="N282" s="20" t="str">
        <f>TEXT(B282,"dddd")</f>
        <v>Tuesday</v>
      </c>
      <c r="O282" s="20" t="str">
        <f>TEXT(B282,"mmmm")</f>
        <v>May</v>
      </c>
    </row>
    <row r="283" spans="1:15" x14ac:dyDescent="0.3">
      <c r="A283" s="18">
        <v>282</v>
      </c>
      <c r="B283" s="19">
        <v>45163</v>
      </c>
      <c r="C283" s="20" t="s">
        <v>290</v>
      </c>
      <c r="D283" s="20" t="s">
        <v>8</v>
      </c>
      <c r="E283" s="18">
        <v>64</v>
      </c>
      <c r="F283" s="18" t="str">
        <f t="shared" si="8"/>
        <v>Senior</v>
      </c>
      <c r="G283" s="20" t="s">
        <v>11</v>
      </c>
      <c r="H283" s="18">
        <v>4</v>
      </c>
      <c r="I283" s="18">
        <v>50</v>
      </c>
      <c r="J283" s="18">
        <v>200</v>
      </c>
      <c r="K283" s="21" t="str">
        <f t="shared" si="9"/>
        <v>Low</v>
      </c>
      <c r="L283" s="18">
        <f>YEAR(B283)</f>
        <v>2023</v>
      </c>
      <c r="M283" s="18">
        <f>ROUNDUP(MONTH(B283)/3,0)</f>
        <v>3</v>
      </c>
      <c r="N283" s="20" t="str">
        <f>TEXT(B283,"dddd")</f>
        <v>Friday</v>
      </c>
      <c r="O283" s="20" t="str">
        <f>TEXT(B283,"mmmm")</f>
        <v>August</v>
      </c>
    </row>
    <row r="284" spans="1:15" x14ac:dyDescent="0.3">
      <c r="A284" s="18">
        <v>283</v>
      </c>
      <c r="B284" s="19">
        <v>45054</v>
      </c>
      <c r="C284" s="20" t="s">
        <v>291</v>
      </c>
      <c r="D284" s="20" t="s">
        <v>8</v>
      </c>
      <c r="E284" s="18">
        <v>18</v>
      </c>
      <c r="F284" s="18" t="str">
        <f t="shared" si="8"/>
        <v>Young</v>
      </c>
      <c r="G284" s="20" t="s">
        <v>11</v>
      </c>
      <c r="H284" s="18">
        <v>1</v>
      </c>
      <c r="I284" s="18">
        <v>500</v>
      </c>
      <c r="J284" s="18">
        <v>500</v>
      </c>
      <c r="K284" s="21" t="str">
        <f t="shared" si="9"/>
        <v>Low</v>
      </c>
      <c r="L284" s="18">
        <f>YEAR(B284)</f>
        <v>2023</v>
      </c>
      <c r="M284" s="18">
        <f>ROUNDUP(MONTH(B284)/3,0)</f>
        <v>2</v>
      </c>
      <c r="N284" s="20" t="str">
        <f>TEXT(B284,"dddd")</f>
        <v>Monday</v>
      </c>
      <c r="O284" s="20" t="str">
        <f>TEXT(B284,"mmmm")</f>
        <v>May</v>
      </c>
    </row>
    <row r="285" spans="1:15" x14ac:dyDescent="0.3">
      <c r="A285" s="18">
        <v>284</v>
      </c>
      <c r="B285" s="19">
        <v>44965</v>
      </c>
      <c r="C285" s="20" t="s">
        <v>292</v>
      </c>
      <c r="D285" s="20" t="s">
        <v>5</v>
      </c>
      <c r="E285" s="18">
        <v>43</v>
      </c>
      <c r="F285" s="18" t="str">
        <f t="shared" si="8"/>
        <v>Adult</v>
      </c>
      <c r="G285" s="20" t="s">
        <v>9</v>
      </c>
      <c r="H285" s="18">
        <v>4</v>
      </c>
      <c r="I285" s="18">
        <v>50</v>
      </c>
      <c r="J285" s="18">
        <v>200</v>
      </c>
      <c r="K285" s="21" t="str">
        <f t="shared" si="9"/>
        <v>Low</v>
      </c>
      <c r="L285" s="18">
        <f>YEAR(B285)</f>
        <v>2023</v>
      </c>
      <c r="M285" s="18">
        <f>ROUNDUP(MONTH(B285)/3,0)</f>
        <v>1</v>
      </c>
      <c r="N285" s="20" t="str">
        <f>TEXT(B285,"dddd")</f>
        <v>Wednesday</v>
      </c>
      <c r="O285" s="20" t="str">
        <f>TEXT(B285,"mmmm")</f>
        <v>February</v>
      </c>
    </row>
    <row r="286" spans="1:15" x14ac:dyDescent="0.3">
      <c r="A286" s="18">
        <v>285</v>
      </c>
      <c r="B286" s="19">
        <v>45153</v>
      </c>
      <c r="C286" s="20" t="s">
        <v>293</v>
      </c>
      <c r="D286" s="20" t="s">
        <v>8</v>
      </c>
      <c r="E286" s="18">
        <v>31</v>
      </c>
      <c r="F286" s="18" t="str">
        <f t="shared" si="8"/>
        <v>Adult</v>
      </c>
      <c r="G286" s="20" t="s">
        <v>11</v>
      </c>
      <c r="H286" s="18">
        <v>1</v>
      </c>
      <c r="I286" s="18">
        <v>25</v>
      </c>
      <c r="J286" s="18">
        <v>25</v>
      </c>
      <c r="K286" s="21" t="str">
        <f t="shared" si="9"/>
        <v>Low</v>
      </c>
      <c r="L286" s="18">
        <f>YEAR(B286)</f>
        <v>2023</v>
      </c>
      <c r="M286" s="18">
        <f>ROUNDUP(MONTH(B286)/3,0)</f>
        <v>3</v>
      </c>
      <c r="N286" s="20" t="str">
        <f>TEXT(B286,"dddd")</f>
        <v>Tuesday</v>
      </c>
      <c r="O286" s="20" t="str">
        <f>TEXT(B286,"mmmm")</f>
        <v>August</v>
      </c>
    </row>
    <row r="287" spans="1:15" x14ac:dyDescent="0.3">
      <c r="A287" s="18">
        <v>286</v>
      </c>
      <c r="B287" s="19">
        <v>45208</v>
      </c>
      <c r="C287" s="20" t="s">
        <v>294</v>
      </c>
      <c r="D287" s="20" t="s">
        <v>5</v>
      </c>
      <c r="E287" s="18">
        <v>55</v>
      </c>
      <c r="F287" s="18" t="str">
        <f t="shared" si="8"/>
        <v>Adult</v>
      </c>
      <c r="G287" s="20" t="s">
        <v>11</v>
      </c>
      <c r="H287" s="18">
        <v>2</v>
      </c>
      <c r="I287" s="18">
        <v>25</v>
      </c>
      <c r="J287" s="18">
        <v>50</v>
      </c>
      <c r="K287" s="21" t="str">
        <f t="shared" si="9"/>
        <v>Low</v>
      </c>
      <c r="L287" s="18">
        <f>YEAR(B287)</f>
        <v>2023</v>
      </c>
      <c r="M287" s="18">
        <f>ROUNDUP(MONTH(B287)/3,0)</f>
        <v>4</v>
      </c>
      <c r="N287" s="20" t="str">
        <f>TEXT(B287,"dddd")</f>
        <v>Monday</v>
      </c>
      <c r="O287" s="20" t="str">
        <f>TEXT(B287,"mmmm")</f>
        <v>October</v>
      </c>
    </row>
    <row r="288" spans="1:15" x14ac:dyDescent="0.3">
      <c r="A288" s="18">
        <v>287</v>
      </c>
      <c r="B288" s="19">
        <v>44977</v>
      </c>
      <c r="C288" s="20" t="s">
        <v>295</v>
      </c>
      <c r="D288" s="20" t="s">
        <v>5</v>
      </c>
      <c r="E288" s="18">
        <v>54</v>
      </c>
      <c r="F288" s="18" t="str">
        <f t="shared" si="8"/>
        <v>Adult</v>
      </c>
      <c r="G288" s="20" t="s">
        <v>9</v>
      </c>
      <c r="H288" s="18">
        <v>4</v>
      </c>
      <c r="I288" s="18">
        <v>25</v>
      </c>
      <c r="J288" s="18">
        <v>100</v>
      </c>
      <c r="K288" s="21" t="str">
        <f t="shared" si="9"/>
        <v>Low</v>
      </c>
      <c r="L288" s="18">
        <f>YEAR(B288)</f>
        <v>2023</v>
      </c>
      <c r="M288" s="18">
        <f>ROUNDUP(MONTH(B288)/3,0)</f>
        <v>1</v>
      </c>
      <c r="N288" s="20" t="str">
        <f>TEXT(B288,"dddd")</f>
        <v>Monday</v>
      </c>
      <c r="O288" s="20" t="str">
        <f>TEXT(B288,"mmmm")</f>
        <v>February</v>
      </c>
    </row>
    <row r="289" spans="1:15" x14ac:dyDescent="0.3">
      <c r="A289" s="18">
        <v>288</v>
      </c>
      <c r="B289" s="19">
        <v>44952</v>
      </c>
      <c r="C289" s="20" t="s">
        <v>296</v>
      </c>
      <c r="D289" s="20" t="s">
        <v>5</v>
      </c>
      <c r="E289" s="18">
        <v>28</v>
      </c>
      <c r="F289" s="18" t="str">
        <f t="shared" si="8"/>
        <v>Young</v>
      </c>
      <c r="G289" s="20" t="s">
        <v>9</v>
      </c>
      <c r="H289" s="18">
        <v>4</v>
      </c>
      <c r="I289" s="18">
        <v>30</v>
      </c>
      <c r="J289" s="18">
        <v>120</v>
      </c>
      <c r="K289" s="21" t="str">
        <f t="shared" si="9"/>
        <v>Low</v>
      </c>
      <c r="L289" s="18">
        <f>YEAR(B289)</f>
        <v>2023</v>
      </c>
      <c r="M289" s="18">
        <f>ROUNDUP(MONTH(B289)/3,0)</f>
        <v>1</v>
      </c>
      <c r="N289" s="20" t="str">
        <f>TEXT(B289,"dddd")</f>
        <v>Thursday</v>
      </c>
      <c r="O289" s="20" t="str">
        <f>TEXT(B289,"mmmm")</f>
        <v>January</v>
      </c>
    </row>
    <row r="290" spans="1:15" x14ac:dyDescent="0.3">
      <c r="A290" s="18">
        <v>289</v>
      </c>
      <c r="B290" s="19">
        <v>45260</v>
      </c>
      <c r="C290" s="20" t="s">
        <v>297</v>
      </c>
      <c r="D290" s="20" t="s">
        <v>5</v>
      </c>
      <c r="E290" s="18">
        <v>53</v>
      </c>
      <c r="F290" s="18" t="str">
        <f t="shared" si="8"/>
        <v>Adult</v>
      </c>
      <c r="G290" s="20" t="s">
        <v>11</v>
      </c>
      <c r="H290" s="18">
        <v>2</v>
      </c>
      <c r="I290" s="18">
        <v>30</v>
      </c>
      <c r="J290" s="18">
        <v>60</v>
      </c>
      <c r="K290" s="21" t="str">
        <f t="shared" si="9"/>
        <v>Low</v>
      </c>
      <c r="L290" s="18">
        <f>YEAR(B290)</f>
        <v>2023</v>
      </c>
      <c r="M290" s="18">
        <f>ROUNDUP(MONTH(B290)/3,0)</f>
        <v>4</v>
      </c>
      <c r="N290" s="20" t="str">
        <f>TEXT(B290,"dddd")</f>
        <v>Thursday</v>
      </c>
      <c r="O290" s="20" t="str">
        <f>TEXT(B290,"mmmm")</f>
        <v>November</v>
      </c>
    </row>
    <row r="291" spans="1:15" x14ac:dyDescent="0.3">
      <c r="A291" s="18">
        <v>290</v>
      </c>
      <c r="B291" s="19">
        <v>45203</v>
      </c>
      <c r="C291" s="20" t="s">
        <v>298</v>
      </c>
      <c r="D291" s="20" t="s">
        <v>8</v>
      </c>
      <c r="E291" s="18">
        <v>30</v>
      </c>
      <c r="F291" s="18" t="str">
        <f t="shared" si="8"/>
        <v>Young</v>
      </c>
      <c r="G291" s="20" t="s">
        <v>6</v>
      </c>
      <c r="H291" s="18">
        <v>2</v>
      </c>
      <c r="I291" s="18">
        <v>300</v>
      </c>
      <c r="J291" s="18">
        <v>600</v>
      </c>
      <c r="K291" s="21" t="str">
        <f t="shared" si="9"/>
        <v>Medium</v>
      </c>
      <c r="L291" s="18">
        <f>YEAR(B291)</f>
        <v>2023</v>
      </c>
      <c r="M291" s="18">
        <f>ROUNDUP(MONTH(B291)/3,0)</f>
        <v>4</v>
      </c>
      <c r="N291" s="20" t="str">
        <f>TEXT(B291,"dddd")</f>
        <v>Wednesday</v>
      </c>
      <c r="O291" s="20" t="str">
        <f>TEXT(B291,"mmmm")</f>
        <v>October</v>
      </c>
    </row>
    <row r="292" spans="1:15" x14ac:dyDescent="0.3">
      <c r="A292" s="18">
        <v>291</v>
      </c>
      <c r="B292" s="19">
        <v>44934</v>
      </c>
      <c r="C292" s="20" t="s">
        <v>299</v>
      </c>
      <c r="D292" s="20" t="s">
        <v>5</v>
      </c>
      <c r="E292" s="18">
        <v>60</v>
      </c>
      <c r="F292" s="18" t="str">
        <f t="shared" si="8"/>
        <v>Adult</v>
      </c>
      <c r="G292" s="20" t="s">
        <v>9</v>
      </c>
      <c r="H292" s="18">
        <v>2</v>
      </c>
      <c r="I292" s="18">
        <v>300</v>
      </c>
      <c r="J292" s="18">
        <v>600</v>
      </c>
      <c r="K292" s="21" t="str">
        <f t="shared" si="9"/>
        <v>Medium</v>
      </c>
      <c r="L292" s="18">
        <f>YEAR(B292)</f>
        <v>2023</v>
      </c>
      <c r="M292" s="18">
        <f>ROUNDUP(MONTH(B292)/3,0)</f>
        <v>1</v>
      </c>
      <c r="N292" s="20" t="str">
        <f>TEXT(B292,"dddd")</f>
        <v>Sunday</v>
      </c>
      <c r="O292" s="20" t="str">
        <f>TEXT(B292,"mmmm")</f>
        <v>January</v>
      </c>
    </row>
    <row r="293" spans="1:15" x14ac:dyDescent="0.3">
      <c r="A293" s="18">
        <v>292</v>
      </c>
      <c r="B293" s="19">
        <v>44974</v>
      </c>
      <c r="C293" s="20" t="s">
        <v>300</v>
      </c>
      <c r="D293" s="20" t="s">
        <v>5</v>
      </c>
      <c r="E293" s="18">
        <v>20</v>
      </c>
      <c r="F293" s="18" t="str">
        <f t="shared" si="8"/>
        <v>Young</v>
      </c>
      <c r="G293" s="20" t="s">
        <v>6</v>
      </c>
      <c r="H293" s="18">
        <v>4</v>
      </c>
      <c r="I293" s="18">
        <v>300</v>
      </c>
      <c r="J293" s="18">
        <v>1200</v>
      </c>
      <c r="K293" s="21" t="str">
        <f t="shared" si="9"/>
        <v>Medium</v>
      </c>
      <c r="L293" s="18">
        <f>YEAR(B293)</f>
        <v>2023</v>
      </c>
      <c r="M293" s="18">
        <f>ROUNDUP(MONTH(B293)/3,0)</f>
        <v>1</v>
      </c>
      <c r="N293" s="20" t="str">
        <f>TEXT(B293,"dddd")</f>
        <v>Friday</v>
      </c>
      <c r="O293" s="20" t="str">
        <f>TEXT(B293,"mmmm")</f>
        <v>February</v>
      </c>
    </row>
    <row r="294" spans="1:15" x14ac:dyDescent="0.3">
      <c r="A294" s="18">
        <v>293</v>
      </c>
      <c r="B294" s="19">
        <v>45048</v>
      </c>
      <c r="C294" s="20" t="s">
        <v>301</v>
      </c>
      <c r="D294" s="20" t="s">
        <v>5</v>
      </c>
      <c r="E294" s="18">
        <v>50</v>
      </c>
      <c r="F294" s="18" t="str">
        <f t="shared" si="8"/>
        <v>Adult</v>
      </c>
      <c r="G294" s="20" t="s">
        <v>11</v>
      </c>
      <c r="H294" s="18">
        <v>3</v>
      </c>
      <c r="I294" s="18">
        <v>30</v>
      </c>
      <c r="J294" s="18">
        <v>90</v>
      </c>
      <c r="K294" s="21" t="str">
        <f t="shared" si="9"/>
        <v>Low</v>
      </c>
      <c r="L294" s="18">
        <f>YEAR(B294)</f>
        <v>2023</v>
      </c>
      <c r="M294" s="18">
        <f>ROUNDUP(MONTH(B294)/3,0)</f>
        <v>2</v>
      </c>
      <c r="N294" s="20" t="str">
        <f>TEXT(B294,"dddd")</f>
        <v>Tuesday</v>
      </c>
      <c r="O294" s="20" t="str">
        <f>TEXT(B294,"mmmm")</f>
        <v>May</v>
      </c>
    </row>
    <row r="295" spans="1:15" x14ac:dyDescent="0.3">
      <c r="A295" s="18">
        <v>294</v>
      </c>
      <c r="B295" s="19">
        <v>45012</v>
      </c>
      <c r="C295" s="20" t="s">
        <v>302</v>
      </c>
      <c r="D295" s="20" t="s">
        <v>8</v>
      </c>
      <c r="E295" s="18">
        <v>23</v>
      </c>
      <c r="F295" s="18" t="str">
        <f t="shared" si="8"/>
        <v>Young</v>
      </c>
      <c r="G295" s="20" t="s">
        <v>9</v>
      </c>
      <c r="H295" s="18">
        <v>3</v>
      </c>
      <c r="I295" s="18">
        <v>30</v>
      </c>
      <c r="J295" s="18">
        <v>90</v>
      </c>
      <c r="K295" s="21" t="str">
        <f t="shared" si="9"/>
        <v>Low</v>
      </c>
      <c r="L295" s="18">
        <f>YEAR(B295)</f>
        <v>2023</v>
      </c>
      <c r="M295" s="18">
        <f>ROUNDUP(MONTH(B295)/3,0)</f>
        <v>1</v>
      </c>
      <c r="N295" s="20" t="str">
        <f>TEXT(B295,"dddd")</f>
        <v>Monday</v>
      </c>
      <c r="O295" s="20" t="str">
        <f>TEXT(B295,"mmmm")</f>
        <v>March</v>
      </c>
    </row>
    <row r="296" spans="1:15" x14ac:dyDescent="0.3">
      <c r="A296" s="18">
        <v>295</v>
      </c>
      <c r="B296" s="19">
        <v>45135</v>
      </c>
      <c r="C296" s="20" t="s">
        <v>303</v>
      </c>
      <c r="D296" s="20" t="s">
        <v>8</v>
      </c>
      <c r="E296" s="18">
        <v>27</v>
      </c>
      <c r="F296" s="18" t="str">
        <f t="shared" si="8"/>
        <v>Young</v>
      </c>
      <c r="G296" s="20" t="s">
        <v>6</v>
      </c>
      <c r="H296" s="18">
        <v>3</v>
      </c>
      <c r="I296" s="18">
        <v>300</v>
      </c>
      <c r="J296" s="18">
        <v>900</v>
      </c>
      <c r="K296" s="21" t="str">
        <f t="shared" si="9"/>
        <v>Medium</v>
      </c>
      <c r="L296" s="18">
        <f>YEAR(B296)</f>
        <v>2023</v>
      </c>
      <c r="M296" s="18">
        <f>ROUNDUP(MONTH(B296)/3,0)</f>
        <v>3</v>
      </c>
      <c r="N296" s="20" t="str">
        <f>TEXT(B296,"dddd")</f>
        <v>Friday</v>
      </c>
      <c r="O296" s="20" t="str">
        <f>TEXT(B296,"mmmm")</f>
        <v>July</v>
      </c>
    </row>
    <row r="297" spans="1:15" x14ac:dyDescent="0.3">
      <c r="A297" s="18">
        <v>296</v>
      </c>
      <c r="B297" s="19">
        <v>45175</v>
      </c>
      <c r="C297" s="20" t="s">
        <v>304</v>
      </c>
      <c r="D297" s="20" t="s">
        <v>8</v>
      </c>
      <c r="E297" s="18">
        <v>22</v>
      </c>
      <c r="F297" s="18" t="str">
        <f t="shared" si="8"/>
        <v>Young</v>
      </c>
      <c r="G297" s="20" t="s">
        <v>9</v>
      </c>
      <c r="H297" s="18">
        <v>4</v>
      </c>
      <c r="I297" s="18">
        <v>300</v>
      </c>
      <c r="J297" s="18">
        <v>1200</v>
      </c>
      <c r="K297" s="21" t="str">
        <f t="shared" si="9"/>
        <v>Medium</v>
      </c>
      <c r="L297" s="18">
        <f>YEAR(B297)</f>
        <v>2023</v>
      </c>
      <c r="M297" s="18">
        <f>ROUNDUP(MONTH(B297)/3,0)</f>
        <v>3</v>
      </c>
      <c r="N297" s="20" t="str">
        <f>TEXT(B297,"dddd")</f>
        <v>Wednesday</v>
      </c>
      <c r="O297" s="20" t="str">
        <f>TEXT(B297,"mmmm")</f>
        <v>September</v>
      </c>
    </row>
    <row r="298" spans="1:15" x14ac:dyDescent="0.3">
      <c r="A298" s="18">
        <v>297</v>
      </c>
      <c r="B298" s="19">
        <v>45173</v>
      </c>
      <c r="C298" s="20" t="s">
        <v>305</v>
      </c>
      <c r="D298" s="20" t="s">
        <v>8</v>
      </c>
      <c r="E298" s="18">
        <v>40</v>
      </c>
      <c r="F298" s="18" t="str">
        <f t="shared" si="8"/>
        <v>Adult</v>
      </c>
      <c r="G298" s="20" t="s">
        <v>11</v>
      </c>
      <c r="H298" s="18">
        <v>2</v>
      </c>
      <c r="I298" s="18">
        <v>500</v>
      </c>
      <c r="J298" s="18">
        <v>1000</v>
      </c>
      <c r="K298" s="21" t="str">
        <f t="shared" si="9"/>
        <v>Medium</v>
      </c>
      <c r="L298" s="18">
        <f>YEAR(B298)</f>
        <v>2023</v>
      </c>
      <c r="M298" s="18">
        <f>ROUNDUP(MONTH(B298)/3,0)</f>
        <v>3</v>
      </c>
      <c r="N298" s="20" t="str">
        <f>TEXT(B298,"dddd")</f>
        <v>Monday</v>
      </c>
      <c r="O298" s="20" t="str">
        <f>TEXT(B298,"mmmm")</f>
        <v>September</v>
      </c>
    </row>
    <row r="299" spans="1:15" x14ac:dyDescent="0.3">
      <c r="A299" s="18">
        <v>298</v>
      </c>
      <c r="B299" s="19">
        <v>45036</v>
      </c>
      <c r="C299" s="20" t="s">
        <v>306</v>
      </c>
      <c r="D299" s="20" t="s">
        <v>5</v>
      </c>
      <c r="E299" s="18">
        <v>27</v>
      </c>
      <c r="F299" s="18" t="str">
        <f t="shared" si="8"/>
        <v>Young</v>
      </c>
      <c r="G299" s="20" t="s">
        <v>6</v>
      </c>
      <c r="H299" s="18">
        <v>4</v>
      </c>
      <c r="I299" s="18">
        <v>300</v>
      </c>
      <c r="J299" s="18">
        <v>1200</v>
      </c>
      <c r="K299" s="21" t="str">
        <f t="shared" si="9"/>
        <v>Medium</v>
      </c>
      <c r="L299" s="18">
        <f>YEAR(B299)</f>
        <v>2023</v>
      </c>
      <c r="M299" s="18">
        <f>ROUNDUP(MONTH(B299)/3,0)</f>
        <v>2</v>
      </c>
      <c r="N299" s="20" t="str">
        <f>TEXT(B299,"dddd")</f>
        <v>Thursday</v>
      </c>
      <c r="O299" s="20" t="str">
        <f>TEXT(B299,"mmmm")</f>
        <v>April</v>
      </c>
    </row>
    <row r="300" spans="1:15" x14ac:dyDescent="0.3">
      <c r="A300" s="18">
        <v>299</v>
      </c>
      <c r="B300" s="19">
        <v>45132</v>
      </c>
      <c r="C300" s="20" t="s">
        <v>307</v>
      </c>
      <c r="D300" s="20" t="s">
        <v>5</v>
      </c>
      <c r="E300" s="18">
        <v>61</v>
      </c>
      <c r="F300" s="18" t="str">
        <f t="shared" si="8"/>
        <v>Senior</v>
      </c>
      <c r="G300" s="20" t="s">
        <v>11</v>
      </c>
      <c r="H300" s="18">
        <v>2</v>
      </c>
      <c r="I300" s="18">
        <v>500</v>
      </c>
      <c r="J300" s="18">
        <v>1000</v>
      </c>
      <c r="K300" s="21" t="str">
        <f t="shared" si="9"/>
        <v>Medium</v>
      </c>
      <c r="L300" s="18">
        <f>YEAR(B300)</f>
        <v>2023</v>
      </c>
      <c r="M300" s="18">
        <f>ROUNDUP(MONTH(B300)/3,0)</f>
        <v>3</v>
      </c>
      <c r="N300" s="20" t="str">
        <f>TEXT(B300,"dddd")</f>
        <v>Tuesday</v>
      </c>
      <c r="O300" s="20" t="str">
        <f>TEXT(B300,"mmmm")</f>
        <v>July</v>
      </c>
    </row>
    <row r="301" spans="1:15" x14ac:dyDescent="0.3">
      <c r="A301" s="18">
        <v>300</v>
      </c>
      <c r="B301" s="19">
        <v>44957</v>
      </c>
      <c r="C301" s="20" t="s">
        <v>308</v>
      </c>
      <c r="D301" s="20" t="s">
        <v>8</v>
      </c>
      <c r="E301" s="18">
        <v>19</v>
      </c>
      <c r="F301" s="18" t="str">
        <f t="shared" si="8"/>
        <v>Young</v>
      </c>
      <c r="G301" s="20" t="s">
        <v>11</v>
      </c>
      <c r="H301" s="18">
        <v>4</v>
      </c>
      <c r="I301" s="18">
        <v>50</v>
      </c>
      <c r="J301" s="18">
        <v>200</v>
      </c>
      <c r="K301" s="21" t="str">
        <f t="shared" si="9"/>
        <v>Low</v>
      </c>
      <c r="L301" s="18">
        <f>YEAR(B301)</f>
        <v>2023</v>
      </c>
      <c r="M301" s="18">
        <f>ROUNDUP(MONTH(B301)/3,0)</f>
        <v>1</v>
      </c>
      <c r="N301" s="20" t="str">
        <f>TEXT(B301,"dddd")</f>
        <v>Tuesday</v>
      </c>
      <c r="O301" s="20" t="str">
        <f>TEXT(B301,"mmmm")</f>
        <v>January</v>
      </c>
    </row>
    <row r="302" spans="1:15" x14ac:dyDescent="0.3">
      <c r="A302" s="18">
        <v>301</v>
      </c>
      <c r="B302" s="19">
        <v>45011</v>
      </c>
      <c r="C302" s="20" t="s">
        <v>309</v>
      </c>
      <c r="D302" s="20" t="s">
        <v>5</v>
      </c>
      <c r="E302" s="18">
        <v>30</v>
      </c>
      <c r="F302" s="18" t="str">
        <f t="shared" si="8"/>
        <v>Young</v>
      </c>
      <c r="G302" s="20" t="s">
        <v>9</v>
      </c>
      <c r="H302" s="18">
        <v>4</v>
      </c>
      <c r="I302" s="18">
        <v>30</v>
      </c>
      <c r="J302" s="18">
        <v>120</v>
      </c>
      <c r="K302" s="21" t="str">
        <f t="shared" si="9"/>
        <v>Low</v>
      </c>
      <c r="L302" s="18">
        <f>YEAR(B302)</f>
        <v>2023</v>
      </c>
      <c r="M302" s="18">
        <f>ROUNDUP(MONTH(B302)/3,0)</f>
        <v>1</v>
      </c>
      <c r="N302" s="20" t="str">
        <f>TEXT(B302,"dddd")</f>
        <v>Sunday</v>
      </c>
      <c r="O302" s="20" t="str">
        <f>TEXT(B302,"mmmm")</f>
        <v>March</v>
      </c>
    </row>
    <row r="303" spans="1:15" x14ac:dyDescent="0.3">
      <c r="A303" s="18">
        <v>302</v>
      </c>
      <c r="B303" s="19">
        <v>45121</v>
      </c>
      <c r="C303" s="20" t="s">
        <v>310</v>
      </c>
      <c r="D303" s="20" t="s">
        <v>5</v>
      </c>
      <c r="E303" s="18">
        <v>57</v>
      </c>
      <c r="F303" s="18" t="str">
        <f t="shared" si="8"/>
        <v>Adult</v>
      </c>
      <c r="G303" s="20" t="s">
        <v>6</v>
      </c>
      <c r="H303" s="18">
        <v>2</v>
      </c>
      <c r="I303" s="18">
        <v>300</v>
      </c>
      <c r="J303" s="18">
        <v>600</v>
      </c>
      <c r="K303" s="21" t="str">
        <f t="shared" si="9"/>
        <v>Medium</v>
      </c>
      <c r="L303" s="18">
        <f>YEAR(B303)</f>
        <v>2023</v>
      </c>
      <c r="M303" s="18">
        <f>ROUNDUP(MONTH(B303)/3,0)</f>
        <v>3</v>
      </c>
      <c r="N303" s="20" t="str">
        <f>TEXT(B303,"dddd")</f>
        <v>Friday</v>
      </c>
      <c r="O303" s="20" t="str">
        <f>TEXT(B303,"mmmm")</f>
        <v>July</v>
      </c>
    </row>
    <row r="304" spans="1:15" x14ac:dyDescent="0.3">
      <c r="A304" s="18">
        <v>303</v>
      </c>
      <c r="B304" s="19">
        <v>44928</v>
      </c>
      <c r="C304" s="20" t="s">
        <v>311</v>
      </c>
      <c r="D304" s="20" t="s">
        <v>5</v>
      </c>
      <c r="E304" s="18">
        <v>19</v>
      </c>
      <c r="F304" s="18" t="str">
        <f t="shared" si="8"/>
        <v>Young</v>
      </c>
      <c r="G304" s="20" t="s">
        <v>11</v>
      </c>
      <c r="H304" s="18">
        <v>3</v>
      </c>
      <c r="I304" s="18">
        <v>30</v>
      </c>
      <c r="J304" s="18">
        <v>90</v>
      </c>
      <c r="K304" s="21" t="str">
        <f t="shared" si="9"/>
        <v>Low</v>
      </c>
      <c r="L304" s="18">
        <f>YEAR(B304)</f>
        <v>2023</v>
      </c>
      <c r="M304" s="18">
        <f>ROUNDUP(MONTH(B304)/3,0)</f>
        <v>1</v>
      </c>
      <c r="N304" s="20" t="str">
        <f>TEXT(B304,"dddd")</f>
        <v>Monday</v>
      </c>
      <c r="O304" s="20" t="str">
        <f>TEXT(B304,"mmmm")</f>
        <v>January</v>
      </c>
    </row>
    <row r="305" spans="1:15" x14ac:dyDescent="0.3">
      <c r="A305" s="18">
        <v>304</v>
      </c>
      <c r="B305" s="19">
        <v>45126</v>
      </c>
      <c r="C305" s="20" t="s">
        <v>312</v>
      </c>
      <c r="D305" s="20" t="s">
        <v>8</v>
      </c>
      <c r="E305" s="18">
        <v>37</v>
      </c>
      <c r="F305" s="18" t="str">
        <f t="shared" si="8"/>
        <v>Adult</v>
      </c>
      <c r="G305" s="20" t="s">
        <v>11</v>
      </c>
      <c r="H305" s="18">
        <v>2</v>
      </c>
      <c r="I305" s="18">
        <v>30</v>
      </c>
      <c r="J305" s="18">
        <v>60</v>
      </c>
      <c r="K305" s="21" t="str">
        <f t="shared" si="9"/>
        <v>Low</v>
      </c>
      <c r="L305" s="18">
        <f>YEAR(B305)</f>
        <v>2023</v>
      </c>
      <c r="M305" s="18">
        <f>ROUNDUP(MONTH(B305)/3,0)</f>
        <v>3</v>
      </c>
      <c r="N305" s="20" t="str">
        <f>TEXT(B305,"dddd")</f>
        <v>Wednesday</v>
      </c>
      <c r="O305" s="20" t="str">
        <f>TEXT(B305,"mmmm")</f>
        <v>July</v>
      </c>
    </row>
    <row r="306" spans="1:15" x14ac:dyDescent="0.3">
      <c r="A306" s="18">
        <v>305</v>
      </c>
      <c r="B306" s="19">
        <v>45062</v>
      </c>
      <c r="C306" s="20" t="s">
        <v>313</v>
      </c>
      <c r="D306" s="20" t="s">
        <v>8</v>
      </c>
      <c r="E306" s="18">
        <v>18</v>
      </c>
      <c r="F306" s="18" t="str">
        <f t="shared" si="8"/>
        <v>Young</v>
      </c>
      <c r="G306" s="20" t="s">
        <v>6</v>
      </c>
      <c r="H306" s="18">
        <v>1</v>
      </c>
      <c r="I306" s="18">
        <v>30</v>
      </c>
      <c r="J306" s="18">
        <v>30</v>
      </c>
      <c r="K306" s="21" t="str">
        <f t="shared" si="9"/>
        <v>Low</v>
      </c>
      <c r="L306" s="18">
        <f>YEAR(B306)</f>
        <v>2023</v>
      </c>
      <c r="M306" s="18">
        <f>ROUNDUP(MONTH(B306)/3,0)</f>
        <v>2</v>
      </c>
      <c r="N306" s="20" t="str">
        <f>TEXT(B306,"dddd")</f>
        <v>Tuesday</v>
      </c>
      <c r="O306" s="20" t="str">
        <f>TEXT(B306,"mmmm")</f>
        <v>May</v>
      </c>
    </row>
    <row r="307" spans="1:15" x14ac:dyDescent="0.3">
      <c r="A307" s="18">
        <v>306</v>
      </c>
      <c r="B307" s="19">
        <v>45159</v>
      </c>
      <c r="C307" s="20" t="s">
        <v>314</v>
      </c>
      <c r="D307" s="20" t="s">
        <v>5</v>
      </c>
      <c r="E307" s="18">
        <v>54</v>
      </c>
      <c r="F307" s="18" t="str">
        <f t="shared" si="8"/>
        <v>Adult</v>
      </c>
      <c r="G307" s="20" t="s">
        <v>11</v>
      </c>
      <c r="H307" s="18">
        <v>1</v>
      </c>
      <c r="I307" s="18">
        <v>50</v>
      </c>
      <c r="J307" s="18">
        <v>50</v>
      </c>
      <c r="K307" s="21" t="str">
        <f t="shared" si="9"/>
        <v>Low</v>
      </c>
      <c r="L307" s="18">
        <f>YEAR(B307)</f>
        <v>2023</v>
      </c>
      <c r="M307" s="18">
        <f>ROUNDUP(MONTH(B307)/3,0)</f>
        <v>3</v>
      </c>
      <c r="N307" s="20" t="str">
        <f>TEXT(B307,"dddd")</f>
        <v>Monday</v>
      </c>
      <c r="O307" s="20" t="str">
        <f>TEXT(B307,"mmmm")</f>
        <v>August</v>
      </c>
    </row>
    <row r="308" spans="1:15" x14ac:dyDescent="0.3">
      <c r="A308" s="18">
        <v>307</v>
      </c>
      <c r="B308" s="19">
        <v>45073</v>
      </c>
      <c r="C308" s="20" t="s">
        <v>315</v>
      </c>
      <c r="D308" s="20" t="s">
        <v>8</v>
      </c>
      <c r="E308" s="18">
        <v>26</v>
      </c>
      <c r="F308" s="18" t="str">
        <f t="shared" si="8"/>
        <v>Young</v>
      </c>
      <c r="G308" s="20" t="s">
        <v>11</v>
      </c>
      <c r="H308" s="18">
        <v>2</v>
      </c>
      <c r="I308" s="18">
        <v>25</v>
      </c>
      <c r="J308" s="18">
        <v>50</v>
      </c>
      <c r="K308" s="21" t="str">
        <f t="shared" si="9"/>
        <v>Low</v>
      </c>
      <c r="L308" s="18">
        <f>YEAR(B308)</f>
        <v>2023</v>
      </c>
      <c r="M308" s="18">
        <f>ROUNDUP(MONTH(B308)/3,0)</f>
        <v>2</v>
      </c>
      <c r="N308" s="20" t="str">
        <f>TEXT(B308,"dddd")</f>
        <v>Saturday</v>
      </c>
      <c r="O308" s="20" t="str">
        <f>TEXT(B308,"mmmm")</f>
        <v>May</v>
      </c>
    </row>
    <row r="309" spans="1:15" x14ac:dyDescent="0.3">
      <c r="A309" s="18">
        <v>308</v>
      </c>
      <c r="B309" s="19">
        <v>45143</v>
      </c>
      <c r="C309" s="20" t="s">
        <v>316</v>
      </c>
      <c r="D309" s="20" t="s">
        <v>8</v>
      </c>
      <c r="E309" s="18">
        <v>34</v>
      </c>
      <c r="F309" s="18" t="str">
        <f t="shared" si="8"/>
        <v>Adult</v>
      </c>
      <c r="G309" s="20" t="s">
        <v>6</v>
      </c>
      <c r="H309" s="18">
        <v>4</v>
      </c>
      <c r="I309" s="18">
        <v>300</v>
      </c>
      <c r="J309" s="18">
        <v>1200</v>
      </c>
      <c r="K309" s="21" t="str">
        <f t="shared" si="9"/>
        <v>Medium</v>
      </c>
      <c r="L309" s="18">
        <f>YEAR(B309)</f>
        <v>2023</v>
      </c>
      <c r="M309" s="18">
        <f>ROUNDUP(MONTH(B309)/3,0)</f>
        <v>3</v>
      </c>
      <c r="N309" s="20" t="str">
        <f>TEXT(B309,"dddd")</f>
        <v>Saturday</v>
      </c>
      <c r="O309" s="20" t="str">
        <f>TEXT(B309,"mmmm")</f>
        <v>August</v>
      </c>
    </row>
    <row r="310" spans="1:15" x14ac:dyDescent="0.3">
      <c r="A310" s="18">
        <v>309</v>
      </c>
      <c r="B310" s="19">
        <v>45283</v>
      </c>
      <c r="C310" s="20" t="s">
        <v>317</v>
      </c>
      <c r="D310" s="20" t="s">
        <v>8</v>
      </c>
      <c r="E310" s="18">
        <v>26</v>
      </c>
      <c r="F310" s="18" t="str">
        <f t="shared" si="8"/>
        <v>Young</v>
      </c>
      <c r="G310" s="20" t="s">
        <v>6</v>
      </c>
      <c r="H310" s="18">
        <v>1</v>
      </c>
      <c r="I310" s="18">
        <v>25</v>
      </c>
      <c r="J310" s="18">
        <v>25</v>
      </c>
      <c r="K310" s="21" t="str">
        <f t="shared" si="9"/>
        <v>Low</v>
      </c>
      <c r="L310" s="18">
        <f>YEAR(B310)</f>
        <v>2023</v>
      </c>
      <c r="M310" s="18">
        <f>ROUNDUP(MONTH(B310)/3,0)</f>
        <v>4</v>
      </c>
      <c r="N310" s="20" t="str">
        <f>TEXT(B310,"dddd")</f>
        <v>Saturday</v>
      </c>
      <c r="O310" s="20" t="str">
        <f>TEXT(B310,"mmmm")</f>
        <v>December</v>
      </c>
    </row>
    <row r="311" spans="1:15" x14ac:dyDescent="0.3">
      <c r="A311" s="18">
        <v>310</v>
      </c>
      <c r="B311" s="19">
        <v>45211</v>
      </c>
      <c r="C311" s="20" t="s">
        <v>318</v>
      </c>
      <c r="D311" s="20" t="s">
        <v>8</v>
      </c>
      <c r="E311" s="18">
        <v>28</v>
      </c>
      <c r="F311" s="18" t="str">
        <f t="shared" si="8"/>
        <v>Young</v>
      </c>
      <c r="G311" s="20" t="s">
        <v>6</v>
      </c>
      <c r="H311" s="18">
        <v>1</v>
      </c>
      <c r="I311" s="18">
        <v>25</v>
      </c>
      <c r="J311" s="18">
        <v>25</v>
      </c>
      <c r="K311" s="21" t="str">
        <f t="shared" si="9"/>
        <v>Low</v>
      </c>
      <c r="L311" s="18">
        <f>YEAR(B311)</f>
        <v>2023</v>
      </c>
      <c r="M311" s="18">
        <f>ROUNDUP(MONTH(B311)/3,0)</f>
        <v>4</v>
      </c>
      <c r="N311" s="20" t="str">
        <f>TEXT(B311,"dddd")</f>
        <v>Thursday</v>
      </c>
      <c r="O311" s="20" t="str">
        <f>TEXT(B311,"mmmm")</f>
        <v>October</v>
      </c>
    </row>
    <row r="312" spans="1:15" x14ac:dyDescent="0.3">
      <c r="A312" s="18">
        <v>311</v>
      </c>
      <c r="B312" s="19">
        <v>45265</v>
      </c>
      <c r="C312" s="20" t="s">
        <v>319</v>
      </c>
      <c r="D312" s="20" t="s">
        <v>8</v>
      </c>
      <c r="E312" s="18">
        <v>32</v>
      </c>
      <c r="F312" s="18" t="str">
        <f t="shared" si="8"/>
        <v>Adult</v>
      </c>
      <c r="G312" s="20" t="s">
        <v>6</v>
      </c>
      <c r="H312" s="18">
        <v>4</v>
      </c>
      <c r="I312" s="18">
        <v>25</v>
      </c>
      <c r="J312" s="18">
        <v>100</v>
      </c>
      <c r="K312" s="21" t="str">
        <f t="shared" si="9"/>
        <v>Low</v>
      </c>
      <c r="L312" s="18">
        <f>YEAR(B312)</f>
        <v>2023</v>
      </c>
      <c r="M312" s="18">
        <f>ROUNDUP(MONTH(B312)/3,0)</f>
        <v>4</v>
      </c>
      <c r="N312" s="20" t="str">
        <f>TEXT(B312,"dddd")</f>
        <v>Tuesday</v>
      </c>
      <c r="O312" s="20" t="str">
        <f>TEXT(B312,"mmmm")</f>
        <v>December</v>
      </c>
    </row>
    <row r="313" spans="1:15" x14ac:dyDescent="0.3">
      <c r="A313" s="18">
        <v>312</v>
      </c>
      <c r="B313" s="19">
        <v>45176</v>
      </c>
      <c r="C313" s="20" t="s">
        <v>320</v>
      </c>
      <c r="D313" s="20" t="s">
        <v>5</v>
      </c>
      <c r="E313" s="18">
        <v>41</v>
      </c>
      <c r="F313" s="18" t="str">
        <f t="shared" si="8"/>
        <v>Adult</v>
      </c>
      <c r="G313" s="20" t="s">
        <v>9</v>
      </c>
      <c r="H313" s="18">
        <v>4</v>
      </c>
      <c r="I313" s="18">
        <v>30</v>
      </c>
      <c r="J313" s="18">
        <v>120</v>
      </c>
      <c r="K313" s="21" t="str">
        <f t="shared" si="9"/>
        <v>Low</v>
      </c>
      <c r="L313" s="18">
        <f>YEAR(B313)</f>
        <v>2023</v>
      </c>
      <c r="M313" s="18">
        <f>ROUNDUP(MONTH(B313)/3,0)</f>
        <v>3</v>
      </c>
      <c r="N313" s="20" t="str">
        <f>TEXT(B313,"dddd")</f>
        <v>Thursday</v>
      </c>
      <c r="O313" s="20" t="str">
        <f>TEXT(B313,"mmmm")</f>
        <v>September</v>
      </c>
    </row>
    <row r="314" spans="1:15" x14ac:dyDescent="0.3">
      <c r="A314" s="18">
        <v>313</v>
      </c>
      <c r="B314" s="19">
        <v>45006</v>
      </c>
      <c r="C314" s="20" t="s">
        <v>321</v>
      </c>
      <c r="D314" s="20" t="s">
        <v>8</v>
      </c>
      <c r="E314" s="18">
        <v>55</v>
      </c>
      <c r="F314" s="18" t="str">
        <f t="shared" si="8"/>
        <v>Adult</v>
      </c>
      <c r="G314" s="20" t="s">
        <v>6</v>
      </c>
      <c r="H314" s="18">
        <v>3</v>
      </c>
      <c r="I314" s="18">
        <v>500</v>
      </c>
      <c r="J314" s="18">
        <v>1500</v>
      </c>
      <c r="K314" s="21" t="str">
        <f t="shared" si="9"/>
        <v>Medium</v>
      </c>
      <c r="L314" s="18">
        <f>YEAR(B314)</f>
        <v>2023</v>
      </c>
      <c r="M314" s="18">
        <f>ROUNDUP(MONTH(B314)/3,0)</f>
        <v>1</v>
      </c>
      <c r="N314" s="20" t="str">
        <f>TEXT(B314,"dddd")</f>
        <v>Tuesday</v>
      </c>
      <c r="O314" s="20" t="str">
        <f>TEXT(B314,"mmmm")</f>
        <v>March</v>
      </c>
    </row>
    <row r="315" spans="1:15" x14ac:dyDescent="0.3">
      <c r="A315" s="18">
        <v>314</v>
      </c>
      <c r="B315" s="19">
        <v>45024</v>
      </c>
      <c r="C315" s="20" t="s">
        <v>322</v>
      </c>
      <c r="D315" s="20" t="s">
        <v>5</v>
      </c>
      <c r="E315" s="18">
        <v>52</v>
      </c>
      <c r="F315" s="18" t="str">
        <f t="shared" si="8"/>
        <v>Adult</v>
      </c>
      <c r="G315" s="20" t="s">
        <v>9</v>
      </c>
      <c r="H315" s="18">
        <v>4</v>
      </c>
      <c r="I315" s="18">
        <v>30</v>
      </c>
      <c r="J315" s="18">
        <v>120</v>
      </c>
      <c r="K315" s="21" t="str">
        <f t="shared" si="9"/>
        <v>Low</v>
      </c>
      <c r="L315" s="18">
        <f>YEAR(B315)</f>
        <v>2023</v>
      </c>
      <c r="M315" s="18">
        <f>ROUNDUP(MONTH(B315)/3,0)</f>
        <v>2</v>
      </c>
      <c r="N315" s="20" t="str">
        <f>TEXT(B315,"dddd")</f>
        <v>Saturday</v>
      </c>
      <c r="O315" s="20" t="str">
        <f>TEXT(B315,"mmmm")</f>
        <v>April</v>
      </c>
    </row>
    <row r="316" spans="1:15" x14ac:dyDescent="0.3">
      <c r="A316" s="18">
        <v>315</v>
      </c>
      <c r="B316" s="19">
        <v>45078</v>
      </c>
      <c r="C316" s="20" t="s">
        <v>323</v>
      </c>
      <c r="D316" s="20" t="s">
        <v>5</v>
      </c>
      <c r="E316" s="18">
        <v>47</v>
      </c>
      <c r="F316" s="18" t="str">
        <f t="shared" si="8"/>
        <v>Adult</v>
      </c>
      <c r="G316" s="20" t="s">
        <v>9</v>
      </c>
      <c r="H316" s="18">
        <v>2</v>
      </c>
      <c r="I316" s="18">
        <v>30</v>
      </c>
      <c r="J316" s="18">
        <v>60</v>
      </c>
      <c r="K316" s="21" t="str">
        <f t="shared" si="9"/>
        <v>Low</v>
      </c>
      <c r="L316" s="18">
        <f>YEAR(B316)</f>
        <v>2023</v>
      </c>
      <c r="M316" s="18">
        <f>ROUNDUP(MONTH(B316)/3,0)</f>
        <v>2</v>
      </c>
      <c r="N316" s="20" t="str">
        <f>TEXT(B316,"dddd")</f>
        <v>Thursday</v>
      </c>
      <c r="O316" s="20" t="str">
        <f>TEXT(B316,"mmmm")</f>
        <v>June</v>
      </c>
    </row>
    <row r="317" spans="1:15" x14ac:dyDescent="0.3">
      <c r="A317" s="18">
        <v>316</v>
      </c>
      <c r="B317" s="19">
        <v>45038</v>
      </c>
      <c r="C317" s="20" t="s">
        <v>324</v>
      </c>
      <c r="D317" s="20" t="s">
        <v>8</v>
      </c>
      <c r="E317" s="18">
        <v>48</v>
      </c>
      <c r="F317" s="18" t="str">
        <f t="shared" si="8"/>
        <v>Adult</v>
      </c>
      <c r="G317" s="20" t="s">
        <v>9</v>
      </c>
      <c r="H317" s="18">
        <v>2</v>
      </c>
      <c r="I317" s="18">
        <v>25</v>
      </c>
      <c r="J317" s="18">
        <v>50</v>
      </c>
      <c r="K317" s="21" t="str">
        <f t="shared" si="9"/>
        <v>Low</v>
      </c>
      <c r="L317" s="18">
        <f>YEAR(B317)</f>
        <v>2023</v>
      </c>
      <c r="M317" s="18">
        <f>ROUNDUP(MONTH(B317)/3,0)</f>
        <v>2</v>
      </c>
      <c r="N317" s="20" t="str">
        <f>TEXT(B317,"dddd")</f>
        <v>Saturday</v>
      </c>
      <c r="O317" s="20" t="str">
        <f>TEXT(B317,"mmmm")</f>
        <v>April</v>
      </c>
    </row>
    <row r="318" spans="1:15" x14ac:dyDescent="0.3">
      <c r="A318" s="18">
        <v>317</v>
      </c>
      <c r="B318" s="19">
        <v>44956</v>
      </c>
      <c r="C318" s="20" t="s">
        <v>325</v>
      </c>
      <c r="D318" s="20" t="s">
        <v>5</v>
      </c>
      <c r="E318" s="18">
        <v>22</v>
      </c>
      <c r="F318" s="18" t="str">
        <f t="shared" si="8"/>
        <v>Young</v>
      </c>
      <c r="G318" s="20" t="s">
        <v>11</v>
      </c>
      <c r="H318" s="18">
        <v>3</v>
      </c>
      <c r="I318" s="18">
        <v>30</v>
      </c>
      <c r="J318" s="18">
        <v>90</v>
      </c>
      <c r="K318" s="21" t="str">
        <f t="shared" si="9"/>
        <v>Low</v>
      </c>
      <c r="L318" s="18">
        <f>YEAR(B318)</f>
        <v>2023</v>
      </c>
      <c r="M318" s="18">
        <f>ROUNDUP(MONTH(B318)/3,0)</f>
        <v>1</v>
      </c>
      <c r="N318" s="20" t="str">
        <f>TEXT(B318,"dddd")</f>
        <v>Monday</v>
      </c>
      <c r="O318" s="20" t="str">
        <f>TEXT(B318,"mmmm")</f>
        <v>January</v>
      </c>
    </row>
    <row r="319" spans="1:15" x14ac:dyDescent="0.3">
      <c r="A319" s="18">
        <v>318</v>
      </c>
      <c r="B319" s="19">
        <v>45223</v>
      </c>
      <c r="C319" s="20" t="s">
        <v>326</v>
      </c>
      <c r="D319" s="20" t="s">
        <v>5</v>
      </c>
      <c r="E319" s="18">
        <v>61</v>
      </c>
      <c r="F319" s="18" t="str">
        <f t="shared" si="8"/>
        <v>Senior</v>
      </c>
      <c r="G319" s="20" t="s">
        <v>9</v>
      </c>
      <c r="H319" s="18">
        <v>1</v>
      </c>
      <c r="I319" s="18">
        <v>25</v>
      </c>
      <c r="J319" s="18">
        <v>25</v>
      </c>
      <c r="K319" s="21" t="str">
        <f t="shared" si="9"/>
        <v>Low</v>
      </c>
      <c r="L319" s="18">
        <f>YEAR(B319)</f>
        <v>2023</v>
      </c>
      <c r="M319" s="18">
        <f>ROUNDUP(MONTH(B319)/3,0)</f>
        <v>4</v>
      </c>
      <c r="N319" s="20" t="str">
        <f>TEXT(B319,"dddd")</f>
        <v>Tuesday</v>
      </c>
      <c r="O319" s="20" t="str">
        <f>TEXT(B319,"mmmm")</f>
        <v>October</v>
      </c>
    </row>
    <row r="320" spans="1:15" x14ac:dyDescent="0.3">
      <c r="A320" s="18">
        <v>319</v>
      </c>
      <c r="B320" s="19">
        <v>45204</v>
      </c>
      <c r="C320" s="20" t="s">
        <v>327</v>
      </c>
      <c r="D320" s="20" t="s">
        <v>5</v>
      </c>
      <c r="E320" s="18">
        <v>31</v>
      </c>
      <c r="F320" s="18" t="str">
        <f t="shared" si="8"/>
        <v>Adult</v>
      </c>
      <c r="G320" s="20" t="s">
        <v>9</v>
      </c>
      <c r="H320" s="18">
        <v>1</v>
      </c>
      <c r="I320" s="18">
        <v>500</v>
      </c>
      <c r="J320" s="18">
        <v>500</v>
      </c>
      <c r="K320" s="21" t="str">
        <f t="shared" si="9"/>
        <v>Low</v>
      </c>
      <c r="L320" s="18">
        <f>YEAR(B320)</f>
        <v>2023</v>
      </c>
      <c r="M320" s="18">
        <f>ROUNDUP(MONTH(B320)/3,0)</f>
        <v>4</v>
      </c>
      <c r="N320" s="20" t="str">
        <f>TEXT(B320,"dddd")</f>
        <v>Thursday</v>
      </c>
      <c r="O320" s="20" t="str">
        <f>TEXT(B320,"mmmm")</f>
        <v>October</v>
      </c>
    </row>
    <row r="321" spans="1:15" x14ac:dyDescent="0.3">
      <c r="A321" s="18">
        <v>320</v>
      </c>
      <c r="B321" s="19">
        <v>44958</v>
      </c>
      <c r="C321" s="20" t="s">
        <v>328</v>
      </c>
      <c r="D321" s="20" t="s">
        <v>8</v>
      </c>
      <c r="E321" s="18">
        <v>28</v>
      </c>
      <c r="F321" s="18" t="str">
        <f t="shared" si="8"/>
        <v>Young</v>
      </c>
      <c r="G321" s="20" t="s">
        <v>11</v>
      </c>
      <c r="H321" s="18">
        <v>4</v>
      </c>
      <c r="I321" s="18">
        <v>300</v>
      </c>
      <c r="J321" s="18">
        <v>1200</v>
      </c>
      <c r="K321" s="21" t="str">
        <f t="shared" si="9"/>
        <v>Medium</v>
      </c>
      <c r="L321" s="18">
        <f>YEAR(B321)</f>
        <v>2023</v>
      </c>
      <c r="M321" s="18">
        <f>ROUNDUP(MONTH(B321)/3,0)</f>
        <v>1</v>
      </c>
      <c r="N321" s="20" t="str">
        <f>TEXT(B321,"dddd")</f>
        <v>Wednesday</v>
      </c>
      <c r="O321" s="20" t="str">
        <f>TEXT(B321,"mmmm")</f>
        <v>February</v>
      </c>
    </row>
    <row r="322" spans="1:15" x14ac:dyDescent="0.3">
      <c r="A322" s="18">
        <v>321</v>
      </c>
      <c r="B322" s="19">
        <v>45087</v>
      </c>
      <c r="C322" s="20" t="s">
        <v>329</v>
      </c>
      <c r="D322" s="20" t="s">
        <v>8</v>
      </c>
      <c r="E322" s="18">
        <v>26</v>
      </c>
      <c r="F322" s="18" t="str">
        <f t="shared" si="8"/>
        <v>Young</v>
      </c>
      <c r="G322" s="20" t="s">
        <v>11</v>
      </c>
      <c r="H322" s="18">
        <v>2</v>
      </c>
      <c r="I322" s="18">
        <v>25</v>
      </c>
      <c r="J322" s="18">
        <v>50</v>
      </c>
      <c r="K322" s="21" t="str">
        <f t="shared" si="9"/>
        <v>Low</v>
      </c>
      <c r="L322" s="18">
        <f>YEAR(B322)</f>
        <v>2023</v>
      </c>
      <c r="M322" s="18">
        <f>ROUNDUP(MONTH(B322)/3,0)</f>
        <v>2</v>
      </c>
      <c r="N322" s="20" t="str">
        <f>TEXT(B322,"dddd")</f>
        <v>Saturday</v>
      </c>
      <c r="O322" s="20" t="str">
        <f>TEXT(B322,"mmmm")</f>
        <v>June</v>
      </c>
    </row>
    <row r="323" spans="1:15" x14ac:dyDescent="0.3">
      <c r="A323" s="18">
        <v>322</v>
      </c>
      <c r="B323" s="19">
        <v>44956</v>
      </c>
      <c r="C323" s="20" t="s">
        <v>330</v>
      </c>
      <c r="D323" s="20" t="s">
        <v>5</v>
      </c>
      <c r="E323" s="18">
        <v>51</v>
      </c>
      <c r="F323" s="18" t="str">
        <f t="shared" ref="F323:F386" si="10">IF(E323&gt;60,"Senior",IF(E323&gt;30,"Adult","Young"))</f>
        <v>Adult</v>
      </c>
      <c r="G323" s="20" t="s">
        <v>11</v>
      </c>
      <c r="H323" s="18">
        <v>1</v>
      </c>
      <c r="I323" s="18">
        <v>500</v>
      </c>
      <c r="J323" s="18">
        <v>500</v>
      </c>
      <c r="K323" s="21" t="str">
        <f t="shared" ref="K323:K386" si="11">IF(J323&gt;1500,"High",IF(J323&gt;500,"Medium","Low"))</f>
        <v>Low</v>
      </c>
      <c r="L323" s="18">
        <f>YEAR(B323)</f>
        <v>2023</v>
      </c>
      <c r="M323" s="18">
        <f>ROUNDUP(MONTH(B323)/3,0)</f>
        <v>1</v>
      </c>
      <c r="N323" s="20" t="str">
        <f>TEXT(B323,"dddd")</f>
        <v>Monday</v>
      </c>
      <c r="O323" s="20" t="str">
        <f>TEXT(B323,"mmmm")</f>
        <v>January</v>
      </c>
    </row>
    <row r="324" spans="1:15" x14ac:dyDescent="0.3">
      <c r="A324" s="18">
        <v>323</v>
      </c>
      <c r="B324" s="19">
        <v>44952</v>
      </c>
      <c r="C324" s="20" t="s">
        <v>331</v>
      </c>
      <c r="D324" s="20" t="s">
        <v>8</v>
      </c>
      <c r="E324" s="18">
        <v>29</v>
      </c>
      <c r="F324" s="18" t="str">
        <f t="shared" si="10"/>
        <v>Young</v>
      </c>
      <c r="G324" s="20" t="s">
        <v>6</v>
      </c>
      <c r="H324" s="18">
        <v>3</v>
      </c>
      <c r="I324" s="18">
        <v>300</v>
      </c>
      <c r="J324" s="18">
        <v>900</v>
      </c>
      <c r="K324" s="21" t="str">
        <f t="shared" si="11"/>
        <v>Medium</v>
      </c>
      <c r="L324" s="18">
        <f>YEAR(B324)</f>
        <v>2023</v>
      </c>
      <c r="M324" s="18">
        <f>ROUNDUP(MONTH(B324)/3,0)</f>
        <v>1</v>
      </c>
      <c r="N324" s="20" t="str">
        <f>TEXT(B324,"dddd")</f>
        <v>Thursday</v>
      </c>
      <c r="O324" s="20" t="str">
        <f>TEXT(B324,"mmmm")</f>
        <v>January</v>
      </c>
    </row>
    <row r="325" spans="1:15" x14ac:dyDescent="0.3">
      <c r="A325" s="18">
        <v>324</v>
      </c>
      <c r="B325" s="19">
        <v>45226</v>
      </c>
      <c r="C325" s="20" t="s">
        <v>332</v>
      </c>
      <c r="D325" s="20" t="s">
        <v>8</v>
      </c>
      <c r="E325" s="18">
        <v>52</v>
      </c>
      <c r="F325" s="18" t="str">
        <f t="shared" si="10"/>
        <v>Adult</v>
      </c>
      <c r="G325" s="20" t="s">
        <v>11</v>
      </c>
      <c r="H325" s="18">
        <v>3</v>
      </c>
      <c r="I325" s="18">
        <v>50</v>
      </c>
      <c r="J325" s="18">
        <v>150</v>
      </c>
      <c r="K325" s="21" t="str">
        <f t="shared" si="11"/>
        <v>Low</v>
      </c>
      <c r="L325" s="18">
        <f>YEAR(B325)</f>
        <v>2023</v>
      </c>
      <c r="M325" s="18">
        <f>ROUNDUP(MONTH(B325)/3,0)</f>
        <v>4</v>
      </c>
      <c r="N325" s="20" t="str">
        <f>TEXT(B325,"dddd")</f>
        <v>Friday</v>
      </c>
      <c r="O325" s="20" t="str">
        <f>TEXT(B325,"mmmm")</f>
        <v>October</v>
      </c>
    </row>
    <row r="326" spans="1:15" x14ac:dyDescent="0.3">
      <c r="A326" s="18">
        <v>325</v>
      </c>
      <c r="B326" s="19">
        <v>45171</v>
      </c>
      <c r="C326" s="20" t="s">
        <v>333</v>
      </c>
      <c r="D326" s="20" t="s">
        <v>8</v>
      </c>
      <c r="E326" s="18">
        <v>52</v>
      </c>
      <c r="F326" s="18" t="str">
        <f t="shared" si="10"/>
        <v>Adult</v>
      </c>
      <c r="G326" s="20" t="s">
        <v>11</v>
      </c>
      <c r="H326" s="18">
        <v>2</v>
      </c>
      <c r="I326" s="18">
        <v>25</v>
      </c>
      <c r="J326" s="18">
        <v>50</v>
      </c>
      <c r="K326" s="21" t="str">
        <f t="shared" si="11"/>
        <v>Low</v>
      </c>
      <c r="L326" s="18">
        <f>YEAR(B326)</f>
        <v>2023</v>
      </c>
      <c r="M326" s="18">
        <f>ROUNDUP(MONTH(B326)/3,0)</f>
        <v>3</v>
      </c>
      <c r="N326" s="20" t="str">
        <f>TEXT(B326,"dddd")</f>
        <v>Saturday</v>
      </c>
      <c r="O326" s="20" t="str">
        <f>TEXT(B326,"mmmm")</f>
        <v>September</v>
      </c>
    </row>
    <row r="327" spans="1:15" x14ac:dyDescent="0.3">
      <c r="A327" s="18">
        <v>326</v>
      </c>
      <c r="B327" s="19">
        <v>45184</v>
      </c>
      <c r="C327" s="20" t="s">
        <v>334</v>
      </c>
      <c r="D327" s="20" t="s">
        <v>8</v>
      </c>
      <c r="E327" s="18">
        <v>18</v>
      </c>
      <c r="F327" s="18" t="str">
        <f t="shared" si="10"/>
        <v>Young</v>
      </c>
      <c r="G327" s="20" t="s">
        <v>9</v>
      </c>
      <c r="H327" s="18">
        <v>3</v>
      </c>
      <c r="I327" s="18">
        <v>25</v>
      </c>
      <c r="J327" s="18">
        <v>75</v>
      </c>
      <c r="K327" s="21" t="str">
        <f t="shared" si="11"/>
        <v>Low</v>
      </c>
      <c r="L327" s="18">
        <f>YEAR(B327)</f>
        <v>2023</v>
      </c>
      <c r="M327" s="18">
        <f>ROUNDUP(MONTH(B327)/3,0)</f>
        <v>3</v>
      </c>
      <c r="N327" s="20" t="str">
        <f>TEXT(B327,"dddd")</f>
        <v>Friday</v>
      </c>
      <c r="O327" s="20" t="str">
        <f>TEXT(B327,"mmmm")</f>
        <v>September</v>
      </c>
    </row>
    <row r="328" spans="1:15" x14ac:dyDescent="0.3">
      <c r="A328" s="18">
        <v>327</v>
      </c>
      <c r="B328" s="19">
        <v>45198</v>
      </c>
      <c r="C328" s="20" t="s">
        <v>335</v>
      </c>
      <c r="D328" s="20" t="s">
        <v>5</v>
      </c>
      <c r="E328" s="18">
        <v>57</v>
      </c>
      <c r="F328" s="18" t="str">
        <f t="shared" si="10"/>
        <v>Adult</v>
      </c>
      <c r="G328" s="20" t="s">
        <v>11</v>
      </c>
      <c r="H328" s="18">
        <v>3</v>
      </c>
      <c r="I328" s="18">
        <v>50</v>
      </c>
      <c r="J328" s="18">
        <v>150</v>
      </c>
      <c r="K328" s="21" t="str">
        <f t="shared" si="11"/>
        <v>Low</v>
      </c>
      <c r="L328" s="18">
        <f>YEAR(B328)</f>
        <v>2023</v>
      </c>
      <c r="M328" s="18">
        <f>ROUNDUP(MONTH(B328)/3,0)</f>
        <v>3</v>
      </c>
      <c r="N328" s="20" t="str">
        <f>TEXT(B328,"dddd")</f>
        <v>Friday</v>
      </c>
      <c r="O328" s="20" t="str">
        <f>TEXT(B328,"mmmm")</f>
        <v>September</v>
      </c>
    </row>
    <row r="329" spans="1:15" x14ac:dyDescent="0.3">
      <c r="A329" s="18">
        <v>328</v>
      </c>
      <c r="B329" s="19">
        <v>45007</v>
      </c>
      <c r="C329" s="20" t="s">
        <v>336</v>
      </c>
      <c r="D329" s="20" t="s">
        <v>5</v>
      </c>
      <c r="E329" s="18">
        <v>39</v>
      </c>
      <c r="F329" s="18" t="str">
        <f t="shared" si="10"/>
        <v>Adult</v>
      </c>
      <c r="G329" s="20" t="s">
        <v>6</v>
      </c>
      <c r="H329" s="18">
        <v>2</v>
      </c>
      <c r="I329" s="18">
        <v>50</v>
      </c>
      <c r="J329" s="18">
        <v>100</v>
      </c>
      <c r="K329" s="21" t="str">
        <f t="shared" si="11"/>
        <v>Low</v>
      </c>
      <c r="L329" s="18">
        <f>YEAR(B329)</f>
        <v>2023</v>
      </c>
      <c r="M329" s="18">
        <f>ROUNDUP(MONTH(B329)/3,0)</f>
        <v>1</v>
      </c>
      <c r="N329" s="20" t="str">
        <f>TEXT(B329,"dddd")</f>
        <v>Wednesday</v>
      </c>
      <c r="O329" s="20" t="str">
        <f>TEXT(B329,"mmmm")</f>
        <v>March</v>
      </c>
    </row>
    <row r="330" spans="1:15" x14ac:dyDescent="0.3">
      <c r="A330" s="18">
        <v>329</v>
      </c>
      <c r="B330" s="19">
        <v>44956</v>
      </c>
      <c r="C330" s="20" t="s">
        <v>337</v>
      </c>
      <c r="D330" s="20" t="s">
        <v>8</v>
      </c>
      <c r="E330" s="18">
        <v>46</v>
      </c>
      <c r="F330" s="18" t="str">
        <f t="shared" si="10"/>
        <v>Adult</v>
      </c>
      <c r="G330" s="20" t="s">
        <v>11</v>
      </c>
      <c r="H330" s="18">
        <v>4</v>
      </c>
      <c r="I330" s="18">
        <v>25</v>
      </c>
      <c r="J330" s="18">
        <v>100</v>
      </c>
      <c r="K330" s="21" t="str">
        <f t="shared" si="11"/>
        <v>Low</v>
      </c>
      <c r="L330" s="18">
        <f>YEAR(B330)</f>
        <v>2023</v>
      </c>
      <c r="M330" s="18">
        <f>ROUNDUP(MONTH(B330)/3,0)</f>
        <v>1</v>
      </c>
      <c r="N330" s="20" t="str">
        <f>TEXT(B330,"dddd")</f>
        <v>Monday</v>
      </c>
      <c r="O330" s="20" t="str">
        <f>TEXT(B330,"mmmm")</f>
        <v>January</v>
      </c>
    </row>
    <row r="331" spans="1:15" x14ac:dyDescent="0.3">
      <c r="A331" s="18">
        <v>330</v>
      </c>
      <c r="B331" s="19">
        <v>45187</v>
      </c>
      <c r="C331" s="20" t="s">
        <v>338</v>
      </c>
      <c r="D331" s="20" t="s">
        <v>8</v>
      </c>
      <c r="E331" s="18">
        <v>25</v>
      </c>
      <c r="F331" s="18" t="str">
        <f t="shared" si="10"/>
        <v>Young</v>
      </c>
      <c r="G331" s="20" t="s">
        <v>6</v>
      </c>
      <c r="H331" s="18">
        <v>4</v>
      </c>
      <c r="I331" s="18">
        <v>50</v>
      </c>
      <c r="J331" s="18">
        <v>200</v>
      </c>
      <c r="K331" s="21" t="str">
        <f t="shared" si="11"/>
        <v>Low</v>
      </c>
      <c r="L331" s="18">
        <f>YEAR(B331)</f>
        <v>2023</v>
      </c>
      <c r="M331" s="18">
        <f>ROUNDUP(MONTH(B331)/3,0)</f>
        <v>3</v>
      </c>
      <c r="N331" s="20" t="str">
        <f>TEXT(B331,"dddd")</f>
        <v>Monday</v>
      </c>
      <c r="O331" s="20" t="str">
        <f>TEXT(B331,"mmmm")</f>
        <v>September</v>
      </c>
    </row>
    <row r="332" spans="1:15" x14ac:dyDescent="0.3">
      <c r="A332" s="18">
        <v>331</v>
      </c>
      <c r="B332" s="19">
        <v>44968</v>
      </c>
      <c r="C332" s="20" t="s">
        <v>339</v>
      </c>
      <c r="D332" s="20" t="s">
        <v>5</v>
      </c>
      <c r="E332" s="18">
        <v>28</v>
      </c>
      <c r="F332" s="18" t="str">
        <f t="shared" si="10"/>
        <v>Young</v>
      </c>
      <c r="G332" s="20" t="s">
        <v>11</v>
      </c>
      <c r="H332" s="18">
        <v>3</v>
      </c>
      <c r="I332" s="18">
        <v>30</v>
      </c>
      <c r="J332" s="18">
        <v>90</v>
      </c>
      <c r="K332" s="21" t="str">
        <f t="shared" si="11"/>
        <v>Low</v>
      </c>
      <c r="L332" s="18">
        <f>YEAR(B332)</f>
        <v>2023</v>
      </c>
      <c r="M332" s="18">
        <f>ROUNDUP(MONTH(B332)/3,0)</f>
        <v>1</v>
      </c>
      <c r="N332" s="20" t="str">
        <f>TEXT(B332,"dddd")</f>
        <v>Saturday</v>
      </c>
      <c r="O332" s="20" t="str">
        <f>TEXT(B332,"mmmm")</f>
        <v>February</v>
      </c>
    </row>
    <row r="333" spans="1:15" x14ac:dyDescent="0.3">
      <c r="A333" s="18">
        <v>332</v>
      </c>
      <c r="B333" s="19">
        <v>45022</v>
      </c>
      <c r="C333" s="20" t="s">
        <v>340</v>
      </c>
      <c r="D333" s="20" t="s">
        <v>5</v>
      </c>
      <c r="E333" s="18">
        <v>58</v>
      </c>
      <c r="F333" s="18" t="str">
        <f t="shared" si="10"/>
        <v>Adult</v>
      </c>
      <c r="G333" s="20" t="s">
        <v>11</v>
      </c>
      <c r="H333" s="18">
        <v>4</v>
      </c>
      <c r="I333" s="18">
        <v>300</v>
      </c>
      <c r="J333" s="18">
        <v>1200</v>
      </c>
      <c r="K333" s="21" t="str">
        <f t="shared" si="11"/>
        <v>Medium</v>
      </c>
      <c r="L333" s="18">
        <f>YEAR(B333)</f>
        <v>2023</v>
      </c>
      <c r="M333" s="18">
        <f>ROUNDUP(MONTH(B333)/3,0)</f>
        <v>2</v>
      </c>
      <c r="N333" s="20" t="str">
        <f>TEXT(B333,"dddd")</f>
        <v>Thursday</v>
      </c>
      <c r="O333" s="20" t="str">
        <f>TEXT(B333,"mmmm")</f>
        <v>April</v>
      </c>
    </row>
    <row r="334" spans="1:15" x14ac:dyDescent="0.3">
      <c r="A334" s="18">
        <v>333</v>
      </c>
      <c r="B334" s="19">
        <v>44962</v>
      </c>
      <c r="C334" s="20" t="s">
        <v>341</v>
      </c>
      <c r="D334" s="20" t="s">
        <v>8</v>
      </c>
      <c r="E334" s="18">
        <v>54</v>
      </c>
      <c r="F334" s="18" t="str">
        <f t="shared" si="10"/>
        <v>Adult</v>
      </c>
      <c r="G334" s="20" t="s">
        <v>11</v>
      </c>
      <c r="H334" s="18">
        <v>4</v>
      </c>
      <c r="I334" s="18">
        <v>300</v>
      </c>
      <c r="J334" s="18">
        <v>1200</v>
      </c>
      <c r="K334" s="21" t="str">
        <f t="shared" si="11"/>
        <v>Medium</v>
      </c>
      <c r="L334" s="18">
        <f>YEAR(B334)</f>
        <v>2023</v>
      </c>
      <c r="M334" s="18">
        <f>ROUNDUP(MONTH(B334)/3,0)</f>
        <v>1</v>
      </c>
      <c r="N334" s="20" t="str">
        <f>TEXT(B334,"dddd")</f>
        <v>Sunday</v>
      </c>
      <c r="O334" s="20" t="str">
        <f>TEXT(B334,"mmmm")</f>
        <v>February</v>
      </c>
    </row>
    <row r="335" spans="1:15" x14ac:dyDescent="0.3">
      <c r="A335" s="18">
        <v>334</v>
      </c>
      <c r="B335" s="19">
        <v>45231</v>
      </c>
      <c r="C335" s="20" t="s">
        <v>342</v>
      </c>
      <c r="D335" s="20" t="s">
        <v>5</v>
      </c>
      <c r="E335" s="18">
        <v>31</v>
      </c>
      <c r="F335" s="18" t="str">
        <f t="shared" si="10"/>
        <v>Adult</v>
      </c>
      <c r="G335" s="20" t="s">
        <v>11</v>
      </c>
      <c r="H335" s="18">
        <v>3</v>
      </c>
      <c r="I335" s="18">
        <v>300</v>
      </c>
      <c r="J335" s="18">
        <v>900</v>
      </c>
      <c r="K335" s="21" t="str">
        <f t="shared" si="11"/>
        <v>Medium</v>
      </c>
      <c r="L335" s="18">
        <f>YEAR(B335)</f>
        <v>2023</v>
      </c>
      <c r="M335" s="18">
        <f>ROUNDUP(MONTH(B335)/3,0)</f>
        <v>4</v>
      </c>
      <c r="N335" s="20" t="str">
        <f>TEXT(B335,"dddd")</f>
        <v>Wednesday</v>
      </c>
      <c r="O335" s="20" t="str">
        <f>TEXT(B335,"mmmm")</f>
        <v>November</v>
      </c>
    </row>
    <row r="336" spans="1:15" x14ac:dyDescent="0.3">
      <c r="A336" s="18">
        <v>335</v>
      </c>
      <c r="B336" s="19">
        <v>44961</v>
      </c>
      <c r="C336" s="20" t="s">
        <v>343</v>
      </c>
      <c r="D336" s="20" t="s">
        <v>8</v>
      </c>
      <c r="E336" s="18">
        <v>47</v>
      </c>
      <c r="F336" s="18" t="str">
        <f t="shared" si="10"/>
        <v>Adult</v>
      </c>
      <c r="G336" s="20" t="s">
        <v>6</v>
      </c>
      <c r="H336" s="18">
        <v>4</v>
      </c>
      <c r="I336" s="18">
        <v>30</v>
      </c>
      <c r="J336" s="18">
        <v>120</v>
      </c>
      <c r="K336" s="21" t="str">
        <f t="shared" si="11"/>
        <v>Low</v>
      </c>
      <c r="L336" s="18">
        <f>YEAR(B336)</f>
        <v>2023</v>
      </c>
      <c r="M336" s="18">
        <f>ROUNDUP(MONTH(B336)/3,0)</f>
        <v>1</v>
      </c>
      <c r="N336" s="20" t="str">
        <f>TEXT(B336,"dddd")</f>
        <v>Saturday</v>
      </c>
      <c r="O336" s="20" t="str">
        <f>TEXT(B336,"mmmm")</f>
        <v>February</v>
      </c>
    </row>
    <row r="337" spans="1:15" x14ac:dyDescent="0.3">
      <c r="A337" s="18">
        <v>336</v>
      </c>
      <c r="B337" s="19">
        <v>45272</v>
      </c>
      <c r="C337" s="20" t="s">
        <v>344</v>
      </c>
      <c r="D337" s="20" t="s">
        <v>8</v>
      </c>
      <c r="E337" s="18">
        <v>52</v>
      </c>
      <c r="F337" s="18" t="str">
        <f t="shared" si="10"/>
        <v>Adult</v>
      </c>
      <c r="G337" s="20" t="s">
        <v>6</v>
      </c>
      <c r="H337" s="18">
        <v>3</v>
      </c>
      <c r="I337" s="18">
        <v>50</v>
      </c>
      <c r="J337" s="18">
        <v>150</v>
      </c>
      <c r="K337" s="21" t="str">
        <f t="shared" si="11"/>
        <v>Low</v>
      </c>
      <c r="L337" s="18">
        <f>YEAR(B337)</f>
        <v>2023</v>
      </c>
      <c r="M337" s="18">
        <f>ROUNDUP(MONTH(B337)/3,0)</f>
        <v>4</v>
      </c>
      <c r="N337" s="20" t="str">
        <f>TEXT(B337,"dddd")</f>
        <v>Tuesday</v>
      </c>
      <c r="O337" s="20" t="str">
        <f>TEXT(B337,"mmmm")</f>
        <v>December</v>
      </c>
    </row>
    <row r="338" spans="1:15" x14ac:dyDescent="0.3">
      <c r="A338" s="18">
        <v>337</v>
      </c>
      <c r="B338" s="19">
        <v>45047</v>
      </c>
      <c r="C338" s="20" t="s">
        <v>345</v>
      </c>
      <c r="D338" s="20" t="s">
        <v>5</v>
      </c>
      <c r="E338" s="18">
        <v>38</v>
      </c>
      <c r="F338" s="18" t="str">
        <f t="shared" si="10"/>
        <v>Adult</v>
      </c>
      <c r="G338" s="20" t="s">
        <v>9</v>
      </c>
      <c r="H338" s="18">
        <v>1</v>
      </c>
      <c r="I338" s="18">
        <v>500</v>
      </c>
      <c r="J338" s="18">
        <v>500</v>
      </c>
      <c r="K338" s="21" t="str">
        <f t="shared" si="11"/>
        <v>Low</v>
      </c>
      <c r="L338" s="18">
        <f>YEAR(B338)</f>
        <v>2023</v>
      </c>
      <c r="M338" s="18">
        <f>ROUNDUP(MONTH(B338)/3,0)</f>
        <v>2</v>
      </c>
      <c r="N338" s="20" t="str">
        <f>TEXT(B338,"dddd")</f>
        <v>Monday</v>
      </c>
      <c r="O338" s="20" t="str">
        <f>TEXT(B338,"mmmm")</f>
        <v>May</v>
      </c>
    </row>
    <row r="339" spans="1:15" x14ac:dyDescent="0.3">
      <c r="A339" s="18">
        <v>338</v>
      </c>
      <c r="B339" s="19">
        <v>45133</v>
      </c>
      <c r="C339" s="20" t="s">
        <v>346</v>
      </c>
      <c r="D339" s="20" t="s">
        <v>5</v>
      </c>
      <c r="E339" s="18">
        <v>54</v>
      </c>
      <c r="F339" s="18" t="str">
        <f t="shared" si="10"/>
        <v>Adult</v>
      </c>
      <c r="G339" s="20" t="s">
        <v>6</v>
      </c>
      <c r="H339" s="18">
        <v>2</v>
      </c>
      <c r="I339" s="18">
        <v>50</v>
      </c>
      <c r="J339" s="18">
        <v>100</v>
      </c>
      <c r="K339" s="21" t="str">
        <f t="shared" si="11"/>
        <v>Low</v>
      </c>
      <c r="L339" s="18">
        <f>YEAR(B339)</f>
        <v>2023</v>
      </c>
      <c r="M339" s="18">
        <f>ROUNDUP(MONTH(B339)/3,0)</f>
        <v>3</v>
      </c>
      <c r="N339" s="20" t="str">
        <f>TEXT(B339,"dddd")</f>
        <v>Wednesday</v>
      </c>
      <c r="O339" s="20" t="str">
        <f>TEXT(B339,"mmmm")</f>
        <v>July</v>
      </c>
    </row>
    <row r="340" spans="1:15" x14ac:dyDescent="0.3">
      <c r="A340" s="18">
        <v>339</v>
      </c>
      <c r="B340" s="19">
        <v>44988</v>
      </c>
      <c r="C340" s="20" t="s">
        <v>347</v>
      </c>
      <c r="D340" s="20" t="s">
        <v>8</v>
      </c>
      <c r="E340" s="18">
        <v>22</v>
      </c>
      <c r="F340" s="18" t="str">
        <f t="shared" si="10"/>
        <v>Young</v>
      </c>
      <c r="G340" s="20" t="s">
        <v>11</v>
      </c>
      <c r="H340" s="18">
        <v>2</v>
      </c>
      <c r="I340" s="18">
        <v>25</v>
      </c>
      <c r="J340" s="18">
        <v>50</v>
      </c>
      <c r="K340" s="21" t="str">
        <f t="shared" si="11"/>
        <v>Low</v>
      </c>
      <c r="L340" s="18">
        <f>YEAR(B340)</f>
        <v>2023</v>
      </c>
      <c r="M340" s="18">
        <f>ROUNDUP(MONTH(B340)/3,0)</f>
        <v>1</v>
      </c>
      <c r="N340" s="20" t="str">
        <f>TEXT(B340,"dddd")</f>
        <v>Friday</v>
      </c>
      <c r="O340" s="20" t="str">
        <f>TEXT(B340,"mmmm")</f>
        <v>March</v>
      </c>
    </row>
    <row r="341" spans="1:15" x14ac:dyDescent="0.3">
      <c r="A341" s="18">
        <v>340</v>
      </c>
      <c r="B341" s="19">
        <v>45218</v>
      </c>
      <c r="C341" s="20" t="s">
        <v>348</v>
      </c>
      <c r="D341" s="20" t="s">
        <v>8</v>
      </c>
      <c r="E341" s="18">
        <v>36</v>
      </c>
      <c r="F341" s="18" t="str">
        <f t="shared" si="10"/>
        <v>Adult</v>
      </c>
      <c r="G341" s="20" t="s">
        <v>9</v>
      </c>
      <c r="H341" s="18">
        <v>4</v>
      </c>
      <c r="I341" s="18">
        <v>300</v>
      </c>
      <c r="J341" s="18">
        <v>1200</v>
      </c>
      <c r="K341" s="21" t="str">
        <f t="shared" si="11"/>
        <v>Medium</v>
      </c>
      <c r="L341" s="18">
        <f>YEAR(B341)</f>
        <v>2023</v>
      </c>
      <c r="M341" s="18">
        <f>ROUNDUP(MONTH(B341)/3,0)</f>
        <v>4</v>
      </c>
      <c r="N341" s="20" t="str">
        <f>TEXT(B341,"dddd")</f>
        <v>Thursday</v>
      </c>
      <c r="O341" s="20" t="str">
        <f>TEXT(B341,"mmmm")</f>
        <v>October</v>
      </c>
    </row>
    <row r="342" spans="1:15" x14ac:dyDescent="0.3">
      <c r="A342" s="18">
        <v>341</v>
      </c>
      <c r="B342" s="19">
        <v>45053</v>
      </c>
      <c r="C342" s="20" t="s">
        <v>349</v>
      </c>
      <c r="D342" s="20" t="s">
        <v>5</v>
      </c>
      <c r="E342" s="18">
        <v>31</v>
      </c>
      <c r="F342" s="18" t="str">
        <f t="shared" si="10"/>
        <v>Adult</v>
      </c>
      <c r="G342" s="20" t="s">
        <v>9</v>
      </c>
      <c r="H342" s="18">
        <v>4</v>
      </c>
      <c r="I342" s="18">
        <v>50</v>
      </c>
      <c r="J342" s="18">
        <v>200</v>
      </c>
      <c r="K342" s="21" t="str">
        <f t="shared" si="11"/>
        <v>Low</v>
      </c>
      <c r="L342" s="18">
        <f>YEAR(B342)</f>
        <v>2023</v>
      </c>
      <c r="M342" s="18">
        <f>ROUNDUP(MONTH(B342)/3,0)</f>
        <v>2</v>
      </c>
      <c r="N342" s="20" t="str">
        <f>TEXT(B342,"dddd")</f>
        <v>Sunday</v>
      </c>
      <c r="O342" s="20" t="str">
        <f>TEXT(B342,"mmmm")</f>
        <v>May</v>
      </c>
    </row>
    <row r="343" spans="1:15" x14ac:dyDescent="0.3">
      <c r="A343" s="18">
        <v>342</v>
      </c>
      <c r="B343" s="19">
        <v>45223</v>
      </c>
      <c r="C343" s="20" t="s">
        <v>350</v>
      </c>
      <c r="D343" s="20" t="s">
        <v>8</v>
      </c>
      <c r="E343" s="18">
        <v>43</v>
      </c>
      <c r="F343" s="18" t="str">
        <f t="shared" si="10"/>
        <v>Adult</v>
      </c>
      <c r="G343" s="20" t="s">
        <v>9</v>
      </c>
      <c r="H343" s="18">
        <v>4</v>
      </c>
      <c r="I343" s="18">
        <v>500</v>
      </c>
      <c r="J343" s="18">
        <v>2000</v>
      </c>
      <c r="K343" s="21" t="str">
        <f t="shared" si="11"/>
        <v>High</v>
      </c>
      <c r="L343" s="18">
        <f>YEAR(B343)</f>
        <v>2023</v>
      </c>
      <c r="M343" s="18">
        <f>ROUNDUP(MONTH(B343)/3,0)</f>
        <v>4</v>
      </c>
      <c r="N343" s="20" t="str">
        <f>TEXT(B343,"dddd")</f>
        <v>Tuesday</v>
      </c>
      <c r="O343" s="20" t="str">
        <f>TEXT(B343,"mmmm")</f>
        <v>October</v>
      </c>
    </row>
    <row r="344" spans="1:15" x14ac:dyDescent="0.3">
      <c r="A344" s="18">
        <v>343</v>
      </c>
      <c r="B344" s="19">
        <v>45231</v>
      </c>
      <c r="C344" s="20" t="s">
        <v>351</v>
      </c>
      <c r="D344" s="20" t="s">
        <v>5</v>
      </c>
      <c r="E344" s="18">
        <v>21</v>
      </c>
      <c r="F344" s="18" t="str">
        <f t="shared" si="10"/>
        <v>Young</v>
      </c>
      <c r="G344" s="20" t="s">
        <v>11</v>
      </c>
      <c r="H344" s="18">
        <v>2</v>
      </c>
      <c r="I344" s="18">
        <v>25</v>
      </c>
      <c r="J344" s="18">
        <v>50</v>
      </c>
      <c r="K344" s="21" t="str">
        <f t="shared" si="11"/>
        <v>Low</v>
      </c>
      <c r="L344" s="18">
        <f>YEAR(B344)</f>
        <v>2023</v>
      </c>
      <c r="M344" s="18">
        <f>ROUNDUP(MONTH(B344)/3,0)</f>
        <v>4</v>
      </c>
      <c r="N344" s="20" t="str">
        <f>TEXT(B344,"dddd")</f>
        <v>Wednesday</v>
      </c>
      <c r="O344" s="20" t="str">
        <f>TEXT(B344,"mmmm")</f>
        <v>November</v>
      </c>
    </row>
    <row r="345" spans="1:15" x14ac:dyDescent="0.3">
      <c r="A345" s="18">
        <v>344</v>
      </c>
      <c r="B345" s="19">
        <v>44947</v>
      </c>
      <c r="C345" s="20" t="s">
        <v>352</v>
      </c>
      <c r="D345" s="20" t="s">
        <v>8</v>
      </c>
      <c r="E345" s="18">
        <v>42</v>
      </c>
      <c r="F345" s="18" t="str">
        <f t="shared" si="10"/>
        <v>Adult</v>
      </c>
      <c r="G345" s="20" t="s">
        <v>6</v>
      </c>
      <c r="H345" s="18">
        <v>1</v>
      </c>
      <c r="I345" s="18">
        <v>30</v>
      </c>
      <c r="J345" s="18">
        <v>30</v>
      </c>
      <c r="K345" s="21" t="str">
        <f t="shared" si="11"/>
        <v>Low</v>
      </c>
      <c r="L345" s="18">
        <f>YEAR(B345)</f>
        <v>2023</v>
      </c>
      <c r="M345" s="18">
        <f>ROUNDUP(MONTH(B345)/3,0)</f>
        <v>1</v>
      </c>
      <c r="N345" s="20" t="str">
        <f>TEXT(B345,"dddd")</f>
        <v>Saturday</v>
      </c>
      <c r="O345" s="20" t="str">
        <f>TEXT(B345,"mmmm")</f>
        <v>January</v>
      </c>
    </row>
    <row r="346" spans="1:15" x14ac:dyDescent="0.3">
      <c r="A346" s="18">
        <v>345</v>
      </c>
      <c r="B346" s="19">
        <v>45244</v>
      </c>
      <c r="C346" s="20" t="s">
        <v>353</v>
      </c>
      <c r="D346" s="20" t="s">
        <v>5</v>
      </c>
      <c r="E346" s="18">
        <v>62</v>
      </c>
      <c r="F346" s="18" t="str">
        <f t="shared" si="10"/>
        <v>Senior</v>
      </c>
      <c r="G346" s="20" t="s">
        <v>11</v>
      </c>
      <c r="H346" s="18">
        <v>1</v>
      </c>
      <c r="I346" s="18">
        <v>30</v>
      </c>
      <c r="J346" s="18">
        <v>30</v>
      </c>
      <c r="K346" s="21" t="str">
        <f t="shared" si="11"/>
        <v>Low</v>
      </c>
      <c r="L346" s="18">
        <f>YEAR(B346)</f>
        <v>2023</v>
      </c>
      <c r="M346" s="18">
        <f>ROUNDUP(MONTH(B346)/3,0)</f>
        <v>4</v>
      </c>
      <c r="N346" s="20" t="str">
        <f>TEXT(B346,"dddd")</f>
        <v>Tuesday</v>
      </c>
      <c r="O346" s="20" t="str">
        <f>TEXT(B346,"mmmm")</f>
        <v>November</v>
      </c>
    </row>
    <row r="347" spans="1:15" x14ac:dyDescent="0.3">
      <c r="A347" s="18">
        <v>346</v>
      </c>
      <c r="B347" s="19">
        <v>44968</v>
      </c>
      <c r="C347" s="20" t="s">
        <v>354</v>
      </c>
      <c r="D347" s="20" t="s">
        <v>5</v>
      </c>
      <c r="E347" s="18">
        <v>59</v>
      </c>
      <c r="F347" s="18" t="str">
        <f t="shared" si="10"/>
        <v>Adult</v>
      </c>
      <c r="G347" s="20" t="s">
        <v>9</v>
      </c>
      <c r="H347" s="18">
        <v>2</v>
      </c>
      <c r="I347" s="18">
        <v>500</v>
      </c>
      <c r="J347" s="18">
        <v>1000</v>
      </c>
      <c r="K347" s="21" t="str">
        <f t="shared" si="11"/>
        <v>Medium</v>
      </c>
      <c r="L347" s="18">
        <f>YEAR(B347)</f>
        <v>2023</v>
      </c>
      <c r="M347" s="18">
        <f>ROUNDUP(MONTH(B347)/3,0)</f>
        <v>1</v>
      </c>
      <c r="N347" s="20" t="str">
        <f>TEXT(B347,"dddd")</f>
        <v>Saturday</v>
      </c>
      <c r="O347" s="20" t="str">
        <f>TEXT(B347,"mmmm")</f>
        <v>February</v>
      </c>
    </row>
    <row r="348" spans="1:15" x14ac:dyDescent="0.3">
      <c r="A348" s="18">
        <v>347</v>
      </c>
      <c r="B348" s="19">
        <v>45141</v>
      </c>
      <c r="C348" s="20" t="s">
        <v>355</v>
      </c>
      <c r="D348" s="20" t="s">
        <v>5</v>
      </c>
      <c r="E348" s="18">
        <v>42</v>
      </c>
      <c r="F348" s="18" t="str">
        <f t="shared" si="10"/>
        <v>Adult</v>
      </c>
      <c r="G348" s="20" t="s">
        <v>11</v>
      </c>
      <c r="H348" s="18">
        <v>1</v>
      </c>
      <c r="I348" s="18">
        <v>25</v>
      </c>
      <c r="J348" s="18">
        <v>25</v>
      </c>
      <c r="K348" s="21" t="str">
        <f t="shared" si="11"/>
        <v>Low</v>
      </c>
      <c r="L348" s="18">
        <f>YEAR(B348)</f>
        <v>2023</v>
      </c>
      <c r="M348" s="18">
        <f>ROUNDUP(MONTH(B348)/3,0)</f>
        <v>3</v>
      </c>
      <c r="N348" s="20" t="str">
        <f>TEXT(B348,"dddd")</f>
        <v>Thursday</v>
      </c>
      <c r="O348" s="20" t="str">
        <f>TEXT(B348,"mmmm")</f>
        <v>August</v>
      </c>
    </row>
    <row r="349" spans="1:15" x14ac:dyDescent="0.3">
      <c r="A349" s="18">
        <v>348</v>
      </c>
      <c r="B349" s="19">
        <v>45263</v>
      </c>
      <c r="C349" s="20" t="s">
        <v>356</v>
      </c>
      <c r="D349" s="20" t="s">
        <v>8</v>
      </c>
      <c r="E349" s="18">
        <v>35</v>
      </c>
      <c r="F349" s="18" t="str">
        <f t="shared" si="10"/>
        <v>Adult</v>
      </c>
      <c r="G349" s="20" t="s">
        <v>11</v>
      </c>
      <c r="H349" s="18">
        <v>2</v>
      </c>
      <c r="I349" s="18">
        <v>300</v>
      </c>
      <c r="J349" s="18">
        <v>600</v>
      </c>
      <c r="K349" s="21" t="str">
        <f t="shared" si="11"/>
        <v>Medium</v>
      </c>
      <c r="L349" s="18">
        <f>YEAR(B349)</f>
        <v>2023</v>
      </c>
      <c r="M349" s="18">
        <f>ROUNDUP(MONTH(B349)/3,0)</f>
        <v>4</v>
      </c>
      <c r="N349" s="20" t="str">
        <f>TEXT(B349,"dddd")</f>
        <v>Sunday</v>
      </c>
      <c r="O349" s="20" t="str">
        <f>TEXT(B349,"mmmm")</f>
        <v>December</v>
      </c>
    </row>
    <row r="350" spans="1:15" x14ac:dyDescent="0.3">
      <c r="A350" s="18">
        <v>349</v>
      </c>
      <c r="B350" s="19">
        <v>45225</v>
      </c>
      <c r="C350" s="20" t="s">
        <v>357</v>
      </c>
      <c r="D350" s="20" t="s">
        <v>8</v>
      </c>
      <c r="E350" s="18">
        <v>57</v>
      </c>
      <c r="F350" s="18" t="str">
        <f t="shared" si="10"/>
        <v>Adult</v>
      </c>
      <c r="G350" s="20" t="s">
        <v>6</v>
      </c>
      <c r="H350" s="18">
        <v>1</v>
      </c>
      <c r="I350" s="18">
        <v>50</v>
      </c>
      <c r="J350" s="18">
        <v>50</v>
      </c>
      <c r="K350" s="21" t="str">
        <f t="shared" si="11"/>
        <v>Low</v>
      </c>
      <c r="L350" s="18">
        <f>YEAR(B350)</f>
        <v>2023</v>
      </c>
      <c r="M350" s="18">
        <f>ROUNDUP(MONTH(B350)/3,0)</f>
        <v>4</v>
      </c>
      <c r="N350" s="20" t="str">
        <f>TEXT(B350,"dddd")</f>
        <v>Thursday</v>
      </c>
      <c r="O350" s="20" t="str">
        <f>TEXT(B350,"mmmm")</f>
        <v>October</v>
      </c>
    </row>
    <row r="351" spans="1:15" x14ac:dyDescent="0.3">
      <c r="A351" s="18">
        <v>350</v>
      </c>
      <c r="B351" s="19">
        <v>45216</v>
      </c>
      <c r="C351" s="20" t="s">
        <v>358</v>
      </c>
      <c r="D351" s="20" t="s">
        <v>5</v>
      </c>
      <c r="E351" s="18">
        <v>25</v>
      </c>
      <c r="F351" s="18" t="str">
        <f t="shared" si="10"/>
        <v>Young</v>
      </c>
      <c r="G351" s="20" t="s">
        <v>6</v>
      </c>
      <c r="H351" s="18">
        <v>3</v>
      </c>
      <c r="I351" s="18">
        <v>25</v>
      </c>
      <c r="J351" s="18">
        <v>75</v>
      </c>
      <c r="K351" s="21" t="str">
        <f t="shared" si="11"/>
        <v>Low</v>
      </c>
      <c r="L351" s="18">
        <f>YEAR(B351)</f>
        <v>2023</v>
      </c>
      <c r="M351" s="18">
        <f>ROUNDUP(MONTH(B351)/3,0)</f>
        <v>4</v>
      </c>
      <c r="N351" s="20" t="str">
        <f>TEXT(B351,"dddd")</f>
        <v>Tuesday</v>
      </c>
      <c r="O351" s="20" t="str">
        <f>TEXT(B351,"mmmm")</f>
        <v>October</v>
      </c>
    </row>
    <row r="352" spans="1:15" x14ac:dyDescent="0.3">
      <c r="A352" s="18">
        <v>351</v>
      </c>
      <c r="B352" s="19">
        <v>45194</v>
      </c>
      <c r="C352" s="20" t="s">
        <v>359</v>
      </c>
      <c r="D352" s="20" t="s">
        <v>8</v>
      </c>
      <c r="E352" s="18">
        <v>56</v>
      </c>
      <c r="F352" s="18" t="str">
        <f t="shared" si="10"/>
        <v>Adult</v>
      </c>
      <c r="G352" s="20" t="s">
        <v>9</v>
      </c>
      <c r="H352" s="18">
        <v>3</v>
      </c>
      <c r="I352" s="18">
        <v>30</v>
      </c>
      <c r="J352" s="18">
        <v>90</v>
      </c>
      <c r="K352" s="21" t="str">
        <f t="shared" si="11"/>
        <v>Low</v>
      </c>
      <c r="L352" s="18">
        <f>YEAR(B352)</f>
        <v>2023</v>
      </c>
      <c r="M352" s="18">
        <f>ROUNDUP(MONTH(B352)/3,0)</f>
        <v>3</v>
      </c>
      <c r="N352" s="20" t="str">
        <f>TEXT(B352,"dddd")</f>
        <v>Monday</v>
      </c>
      <c r="O352" s="20" t="str">
        <f>TEXT(B352,"mmmm")</f>
        <v>September</v>
      </c>
    </row>
    <row r="353" spans="1:15" x14ac:dyDescent="0.3">
      <c r="A353" s="18">
        <v>352</v>
      </c>
      <c r="B353" s="19">
        <v>45088</v>
      </c>
      <c r="C353" s="20" t="s">
        <v>360</v>
      </c>
      <c r="D353" s="20" t="s">
        <v>5</v>
      </c>
      <c r="E353" s="18">
        <v>57</v>
      </c>
      <c r="F353" s="18" t="str">
        <f t="shared" si="10"/>
        <v>Adult</v>
      </c>
      <c r="G353" s="20" t="s">
        <v>11</v>
      </c>
      <c r="H353" s="18">
        <v>2</v>
      </c>
      <c r="I353" s="18">
        <v>500</v>
      </c>
      <c r="J353" s="18">
        <v>1000</v>
      </c>
      <c r="K353" s="21" t="str">
        <f t="shared" si="11"/>
        <v>Medium</v>
      </c>
      <c r="L353" s="18">
        <f>YEAR(B353)</f>
        <v>2023</v>
      </c>
      <c r="M353" s="18">
        <f>ROUNDUP(MONTH(B353)/3,0)</f>
        <v>2</v>
      </c>
      <c r="N353" s="20" t="str">
        <f>TEXT(B353,"dddd")</f>
        <v>Sunday</v>
      </c>
      <c r="O353" s="20" t="str">
        <f>TEXT(B353,"mmmm")</f>
        <v>June</v>
      </c>
    </row>
    <row r="354" spans="1:15" x14ac:dyDescent="0.3">
      <c r="A354" s="18">
        <v>353</v>
      </c>
      <c r="B354" s="19">
        <v>45060</v>
      </c>
      <c r="C354" s="20" t="s">
        <v>361</v>
      </c>
      <c r="D354" s="20" t="s">
        <v>5</v>
      </c>
      <c r="E354" s="18">
        <v>31</v>
      </c>
      <c r="F354" s="18" t="str">
        <f t="shared" si="10"/>
        <v>Adult</v>
      </c>
      <c r="G354" s="20" t="s">
        <v>11</v>
      </c>
      <c r="H354" s="18">
        <v>1</v>
      </c>
      <c r="I354" s="18">
        <v>500</v>
      </c>
      <c r="J354" s="18">
        <v>500</v>
      </c>
      <c r="K354" s="21" t="str">
        <f t="shared" si="11"/>
        <v>Low</v>
      </c>
      <c r="L354" s="18">
        <f>YEAR(B354)</f>
        <v>2023</v>
      </c>
      <c r="M354" s="18">
        <f>ROUNDUP(MONTH(B354)/3,0)</f>
        <v>2</v>
      </c>
      <c r="N354" s="20" t="str">
        <f>TEXT(B354,"dddd")</f>
        <v>Sunday</v>
      </c>
      <c r="O354" s="20" t="str">
        <f>TEXT(B354,"mmmm")</f>
        <v>May</v>
      </c>
    </row>
    <row r="355" spans="1:15" x14ac:dyDescent="0.3">
      <c r="A355" s="18">
        <v>354</v>
      </c>
      <c r="B355" s="19">
        <v>45031</v>
      </c>
      <c r="C355" s="20" t="s">
        <v>362</v>
      </c>
      <c r="D355" s="20" t="s">
        <v>8</v>
      </c>
      <c r="E355" s="18">
        <v>49</v>
      </c>
      <c r="F355" s="18" t="str">
        <f t="shared" si="10"/>
        <v>Adult</v>
      </c>
      <c r="G355" s="20" t="s">
        <v>6</v>
      </c>
      <c r="H355" s="18">
        <v>4</v>
      </c>
      <c r="I355" s="18">
        <v>50</v>
      </c>
      <c r="J355" s="18">
        <v>200</v>
      </c>
      <c r="K355" s="21" t="str">
        <f t="shared" si="11"/>
        <v>Low</v>
      </c>
      <c r="L355" s="18">
        <f>YEAR(B355)</f>
        <v>2023</v>
      </c>
      <c r="M355" s="18">
        <f>ROUNDUP(MONTH(B355)/3,0)</f>
        <v>2</v>
      </c>
      <c r="N355" s="20" t="str">
        <f>TEXT(B355,"dddd")</f>
        <v>Saturday</v>
      </c>
      <c r="O355" s="20" t="str">
        <f>TEXT(B355,"mmmm")</f>
        <v>April</v>
      </c>
    </row>
    <row r="356" spans="1:15" x14ac:dyDescent="0.3">
      <c r="A356" s="18">
        <v>355</v>
      </c>
      <c r="B356" s="19">
        <v>45269</v>
      </c>
      <c r="C356" s="20" t="s">
        <v>363</v>
      </c>
      <c r="D356" s="20" t="s">
        <v>8</v>
      </c>
      <c r="E356" s="18">
        <v>55</v>
      </c>
      <c r="F356" s="18" t="str">
        <f t="shared" si="10"/>
        <v>Adult</v>
      </c>
      <c r="G356" s="20" t="s">
        <v>11</v>
      </c>
      <c r="H356" s="18">
        <v>1</v>
      </c>
      <c r="I356" s="18">
        <v>500</v>
      </c>
      <c r="J356" s="18">
        <v>500</v>
      </c>
      <c r="K356" s="21" t="str">
        <f t="shared" si="11"/>
        <v>Low</v>
      </c>
      <c r="L356" s="18">
        <f>YEAR(B356)</f>
        <v>2023</v>
      </c>
      <c r="M356" s="18">
        <f>ROUNDUP(MONTH(B356)/3,0)</f>
        <v>4</v>
      </c>
      <c r="N356" s="20" t="str">
        <f>TEXT(B356,"dddd")</f>
        <v>Saturday</v>
      </c>
      <c r="O356" s="20" t="str">
        <f>TEXT(B356,"mmmm")</f>
        <v>December</v>
      </c>
    </row>
    <row r="357" spans="1:15" x14ac:dyDescent="0.3">
      <c r="A357" s="18">
        <v>356</v>
      </c>
      <c r="B357" s="19">
        <v>45087</v>
      </c>
      <c r="C357" s="20" t="s">
        <v>364</v>
      </c>
      <c r="D357" s="20" t="s">
        <v>5</v>
      </c>
      <c r="E357" s="18">
        <v>50</v>
      </c>
      <c r="F357" s="18" t="str">
        <f t="shared" si="10"/>
        <v>Adult</v>
      </c>
      <c r="G357" s="20" t="s">
        <v>11</v>
      </c>
      <c r="H357" s="18">
        <v>3</v>
      </c>
      <c r="I357" s="18">
        <v>500</v>
      </c>
      <c r="J357" s="18">
        <v>1500</v>
      </c>
      <c r="K357" s="21" t="str">
        <f t="shared" si="11"/>
        <v>Medium</v>
      </c>
      <c r="L357" s="18">
        <f>YEAR(B357)</f>
        <v>2023</v>
      </c>
      <c r="M357" s="18">
        <f>ROUNDUP(MONTH(B357)/3,0)</f>
        <v>2</v>
      </c>
      <c r="N357" s="20" t="str">
        <f>TEXT(B357,"dddd")</f>
        <v>Saturday</v>
      </c>
      <c r="O357" s="20" t="str">
        <f>TEXT(B357,"mmmm")</f>
        <v>June</v>
      </c>
    </row>
    <row r="358" spans="1:15" x14ac:dyDescent="0.3">
      <c r="A358" s="18">
        <v>357</v>
      </c>
      <c r="B358" s="19">
        <v>45049</v>
      </c>
      <c r="C358" s="20" t="s">
        <v>365</v>
      </c>
      <c r="D358" s="20" t="s">
        <v>8</v>
      </c>
      <c r="E358" s="18">
        <v>40</v>
      </c>
      <c r="F358" s="18" t="str">
        <f t="shared" si="10"/>
        <v>Adult</v>
      </c>
      <c r="G358" s="20" t="s">
        <v>11</v>
      </c>
      <c r="H358" s="18">
        <v>3</v>
      </c>
      <c r="I358" s="18">
        <v>25</v>
      </c>
      <c r="J358" s="18">
        <v>75</v>
      </c>
      <c r="K358" s="21" t="str">
        <f t="shared" si="11"/>
        <v>Low</v>
      </c>
      <c r="L358" s="18">
        <f>YEAR(B358)</f>
        <v>2023</v>
      </c>
      <c r="M358" s="18">
        <f>ROUNDUP(MONTH(B358)/3,0)</f>
        <v>2</v>
      </c>
      <c r="N358" s="20" t="str">
        <f>TEXT(B358,"dddd")</f>
        <v>Wednesday</v>
      </c>
      <c r="O358" s="20" t="str">
        <f>TEXT(B358,"mmmm")</f>
        <v>May</v>
      </c>
    </row>
    <row r="359" spans="1:15" x14ac:dyDescent="0.3">
      <c r="A359" s="18">
        <v>358</v>
      </c>
      <c r="B359" s="19">
        <v>45062</v>
      </c>
      <c r="C359" s="20" t="s">
        <v>366</v>
      </c>
      <c r="D359" s="20" t="s">
        <v>8</v>
      </c>
      <c r="E359" s="18">
        <v>32</v>
      </c>
      <c r="F359" s="18" t="str">
        <f t="shared" si="10"/>
        <v>Adult</v>
      </c>
      <c r="G359" s="20" t="s">
        <v>6</v>
      </c>
      <c r="H359" s="18">
        <v>1</v>
      </c>
      <c r="I359" s="18">
        <v>300</v>
      </c>
      <c r="J359" s="18">
        <v>300</v>
      </c>
      <c r="K359" s="21" t="str">
        <f t="shared" si="11"/>
        <v>Low</v>
      </c>
      <c r="L359" s="18">
        <f>YEAR(B359)</f>
        <v>2023</v>
      </c>
      <c r="M359" s="18">
        <f>ROUNDUP(MONTH(B359)/3,0)</f>
        <v>2</v>
      </c>
      <c r="N359" s="20" t="str">
        <f>TEXT(B359,"dddd")</f>
        <v>Tuesday</v>
      </c>
      <c r="O359" s="20" t="str">
        <f>TEXT(B359,"mmmm")</f>
        <v>May</v>
      </c>
    </row>
    <row r="360" spans="1:15" x14ac:dyDescent="0.3">
      <c r="A360" s="18">
        <v>359</v>
      </c>
      <c r="B360" s="19">
        <v>45129</v>
      </c>
      <c r="C360" s="20" t="s">
        <v>367</v>
      </c>
      <c r="D360" s="20" t="s">
        <v>5</v>
      </c>
      <c r="E360" s="18">
        <v>50</v>
      </c>
      <c r="F360" s="18" t="str">
        <f t="shared" si="10"/>
        <v>Adult</v>
      </c>
      <c r="G360" s="20" t="s">
        <v>9</v>
      </c>
      <c r="H360" s="18">
        <v>1</v>
      </c>
      <c r="I360" s="18">
        <v>50</v>
      </c>
      <c r="J360" s="18">
        <v>50</v>
      </c>
      <c r="K360" s="21" t="str">
        <f t="shared" si="11"/>
        <v>Low</v>
      </c>
      <c r="L360" s="18">
        <f>YEAR(B360)</f>
        <v>2023</v>
      </c>
      <c r="M360" s="18">
        <f>ROUNDUP(MONTH(B360)/3,0)</f>
        <v>3</v>
      </c>
      <c r="N360" s="20" t="str">
        <f>TEXT(B360,"dddd")</f>
        <v>Saturday</v>
      </c>
      <c r="O360" s="20" t="str">
        <f>TEXT(B360,"mmmm")</f>
        <v>July</v>
      </c>
    </row>
    <row r="361" spans="1:15" x14ac:dyDescent="0.3">
      <c r="A361" s="18">
        <v>360</v>
      </c>
      <c r="B361" s="19">
        <v>44994</v>
      </c>
      <c r="C361" s="20" t="s">
        <v>368</v>
      </c>
      <c r="D361" s="20" t="s">
        <v>5</v>
      </c>
      <c r="E361" s="18">
        <v>42</v>
      </c>
      <c r="F361" s="18" t="str">
        <f t="shared" si="10"/>
        <v>Adult</v>
      </c>
      <c r="G361" s="20" t="s">
        <v>9</v>
      </c>
      <c r="H361" s="18">
        <v>4</v>
      </c>
      <c r="I361" s="18">
        <v>25</v>
      </c>
      <c r="J361" s="18">
        <v>100</v>
      </c>
      <c r="K361" s="21" t="str">
        <f t="shared" si="11"/>
        <v>Low</v>
      </c>
      <c r="L361" s="18">
        <f>YEAR(B361)</f>
        <v>2023</v>
      </c>
      <c r="M361" s="18">
        <f>ROUNDUP(MONTH(B361)/3,0)</f>
        <v>1</v>
      </c>
      <c r="N361" s="20" t="str">
        <f>TEXT(B361,"dddd")</f>
        <v>Thursday</v>
      </c>
      <c r="O361" s="20" t="str">
        <f>TEXT(B361,"mmmm")</f>
        <v>March</v>
      </c>
    </row>
    <row r="362" spans="1:15" x14ac:dyDescent="0.3">
      <c r="A362" s="18">
        <v>361</v>
      </c>
      <c r="B362" s="19">
        <v>45270</v>
      </c>
      <c r="C362" s="20" t="s">
        <v>369</v>
      </c>
      <c r="D362" s="20" t="s">
        <v>8</v>
      </c>
      <c r="E362" s="18">
        <v>34</v>
      </c>
      <c r="F362" s="18" t="str">
        <f t="shared" si="10"/>
        <v>Adult</v>
      </c>
      <c r="G362" s="20" t="s">
        <v>11</v>
      </c>
      <c r="H362" s="18">
        <v>4</v>
      </c>
      <c r="I362" s="18">
        <v>300</v>
      </c>
      <c r="J362" s="18">
        <v>1200</v>
      </c>
      <c r="K362" s="21" t="str">
        <f t="shared" si="11"/>
        <v>Medium</v>
      </c>
      <c r="L362" s="18">
        <f>YEAR(B362)</f>
        <v>2023</v>
      </c>
      <c r="M362" s="18">
        <f>ROUNDUP(MONTH(B362)/3,0)</f>
        <v>4</v>
      </c>
      <c r="N362" s="20" t="str">
        <f>TEXT(B362,"dddd")</f>
        <v>Sunday</v>
      </c>
      <c r="O362" s="20" t="str">
        <f>TEXT(B362,"mmmm")</f>
        <v>December</v>
      </c>
    </row>
    <row r="363" spans="1:15" x14ac:dyDescent="0.3">
      <c r="A363" s="18">
        <v>362</v>
      </c>
      <c r="B363" s="19">
        <v>45257</v>
      </c>
      <c r="C363" s="20" t="s">
        <v>370</v>
      </c>
      <c r="D363" s="20" t="s">
        <v>5</v>
      </c>
      <c r="E363" s="18">
        <v>50</v>
      </c>
      <c r="F363" s="18" t="str">
        <f t="shared" si="10"/>
        <v>Adult</v>
      </c>
      <c r="G363" s="20" t="s">
        <v>9</v>
      </c>
      <c r="H363" s="18">
        <v>1</v>
      </c>
      <c r="I363" s="18">
        <v>25</v>
      </c>
      <c r="J363" s="18">
        <v>25</v>
      </c>
      <c r="K363" s="21" t="str">
        <f t="shared" si="11"/>
        <v>Low</v>
      </c>
      <c r="L363" s="18">
        <f>YEAR(B363)</f>
        <v>2023</v>
      </c>
      <c r="M363" s="18">
        <f>ROUNDUP(MONTH(B363)/3,0)</f>
        <v>4</v>
      </c>
      <c r="N363" s="20" t="str">
        <f>TEXT(B363,"dddd")</f>
        <v>Monday</v>
      </c>
      <c r="O363" s="20" t="str">
        <f>TEXT(B363,"mmmm")</f>
        <v>November</v>
      </c>
    </row>
    <row r="364" spans="1:15" x14ac:dyDescent="0.3">
      <c r="A364" s="18">
        <v>363</v>
      </c>
      <c r="B364" s="19">
        <v>45080</v>
      </c>
      <c r="C364" s="20" t="s">
        <v>371</v>
      </c>
      <c r="D364" s="20" t="s">
        <v>5</v>
      </c>
      <c r="E364" s="18">
        <v>64</v>
      </c>
      <c r="F364" s="18" t="str">
        <f t="shared" si="10"/>
        <v>Senior</v>
      </c>
      <c r="G364" s="20" t="s">
        <v>6</v>
      </c>
      <c r="H364" s="18">
        <v>1</v>
      </c>
      <c r="I364" s="18">
        <v>25</v>
      </c>
      <c r="J364" s="18">
        <v>25</v>
      </c>
      <c r="K364" s="21" t="str">
        <f t="shared" si="11"/>
        <v>Low</v>
      </c>
      <c r="L364" s="18">
        <f>YEAR(B364)</f>
        <v>2023</v>
      </c>
      <c r="M364" s="18">
        <f>ROUNDUP(MONTH(B364)/3,0)</f>
        <v>2</v>
      </c>
      <c r="N364" s="20" t="str">
        <f>TEXT(B364,"dddd")</f>
        <v>Saturday</v>
      </c>
      <c r="O364" s="20" t="str">
        <f>TEXT(B364,"mmmm")</f>
        <v>June</v>
      </c>
    </row>
    <row r="365" spans="1:15" x14ac:dyDescent="0.3">
      <c r="A365" s="18">
        <v>364</v>
      </c>
      <c r="B365" s="19">
        <v>45161</v>
      </c>
      <c r="C365" s="20" t="s">
        <v>372</v>
      </c>
      <c r="D365" s="20" t="s">
        <v>8</v>
      </c>
      <c r="E365" s="18">
        <v>19</v>
      </c>
      <c r="F365" s="18" t="str">
        <f t="shared" si="10"/>
        <v>Young</v>
      </c>
      <c r="G365" s="20" t="s">
        <v>6</v>
      </c>
      <c r="H365" s="18">
        <v>1</v>
      </c>
      <c r="I365" s="18">
        <v>500</v>
      </c>
      <c r="J365" s="18">
        <v>500</v>
      </c>
      <c r="K365" s="21" t="str">
        <f t="shared" si="11"/>
        <v>Low</v>
      </c>
      <c r="L365" s="18">
        <f>YEAR(B365)</f>
        <v>2023</v>
      </c>
      <c r="M365" s="18">
        <f>ROUNDUP(MONTH(B365)/3,0)</f>
        <v>3</v>
      </c>
      <c r="N365" s="20" t="str">
        <f>TEXT(B365,"dddd")</f>
        <v>Wednesday</v>
      </c>
      <c r="O365" s="20" t="str">
        <f>TEXT(B365,"mmmm")</f>
        <v>August</v>
      </c>
    </row>
    <row r="366" spans="1:15" x14ac:dyDescent="0.3">
      <c r="A366" s="18">
        <v>365</v>
      </c>
      <c r="B366" s="19">
        <v>45088</v>
      </c>
      <c r="C366" s="20" t="s">
        <v>373</v>
      </c>
      <c r="D366" s="20" t="s">
        <v>5</v>
      </c>
      <c r="E366" s="18">
        <v>31</v>
      </c>
      <c r="F366" s="18" t="str">
        <f t="shared" si="10"/>
        <v>Adult</v>
      </c>
      <c r="G366" s="20" t="s">
        <v>9</v>
      </c>
      <c r="H366" s="18">
        <v>1</v>
      </c>
      <c r="I366" s="18">
        <v>300</v>
      </c>
      <c r="J366" s="18">
        <v>300</v>
      </c>
      <c r="K366" s="21" t="str">
        <f t="shared" si="11"/>
        <v>Low</v>
      </c>
      <c r="L366" s="18">
        <f>YEAR(B366)</f>
        <v>2023</v>
      </c>
      <c r="M366" s="18">
        <f>ROUNDUP(MONTH(B366)/3,0)</f>
        <v>2</v>
      </c>
      <c r="N366" s="20" t="str">
        <f>TEXT(B366,"dddd")</f>
        <v>Sunday</v>
      </c>
      <c r="O366" s="20" t="str">
        <f>TEXT(B366,"mmmm")</f>
        <v>June</v>
      </c>
    </row>
    <row r="367" spans="1:15" x14ac:dyDescent="0.3">
      <c r="A367" s="18">
        <v>366</v>
      </c>
      <c r="B367" s="19">
        <v>44964</v>
      </c>
      <c r="C367" s="20" t="s">
        <v>374</v>
      </c>
      <c r="D367" s="20" t="s">
        <v>5</v>
      </c>
      <c r="E367" s="18">
        <v>57</v>
      </c>
      <c r="F367" s="18" t="str">
        <f t="shared" si="10"/>
        <v>Adult</v>
      </c>
      <c r="G367" s="20" t="s">
        <v>9</v>
      </c>
      <c r="H367" s="18">
        <v>2</v>
      </c>
      <c r="I367" s="18">
        <v>50</v>
      </c>
      <c r="J367" s="18">
        <v>100</v>
      </c>
      <c r="K367" s="21" t="str">
        <f t="shared" si="11"/>
        <v>Low</v>
      </c>
      <c r="L367" s="18">
        <f>YEAR(B367)</f>
        <v>2023</v>
      </c>
      <c r="M367" s="18">
        <f>ROUNDUP(MONTH(B367)/3,0)</f>
        <v>1</v>
      </c>
      <c r="N367" s="20" t="str">
        <f>TEXT(B367,"dddd")</f>
        <v>Tuesday</v>
      </c>
      <c r="O367" s="20" t="str">
        <f>TEXT(B367,"mmmm")</f>
        <v>February</v>
      </c>
    </row>
    <row r="368" spans="1:15" x14ac:dyDescent="0.3">
      <c r="A368" s="18">
        <v>367</v>
      </c>
      <c r="B368" s="19">
        <v>44931</v>
      </c>
      <c r="C368" s="20" t="s">
        <v>375</v>
      </c>
      <c r="D368" s="20" t="s">
        <v>8</v>
      </c>
      <c r="E368" s="18">
        <v>57</v>
      </c>
      <c r="F368" s="18" t="str">
        <f t="shared" si="10"/>
        <v>Adult</v>
      </c>
      <c r="G368" s="20" t="s">
        <v>11</v>
      </c>
      <c r="H368" s="18">
        <v>1</v>
      </c>
      <c r="I368" s="18">
        <v>50</v>
      </c>
      <c r="J368" s="18">
        <v>50</v>
      </c>
      <c r="K368" s="21" t="str">
        <f t="shared" si="11"/>
        <v>Low</v>
      </c>
      <c r="L368" s="18">
        <f>YEAR(B368)</f>
        <v>2023</v>
      </c>
      <c r="M368" s="18">
        <f>ROUNDUP(MONTH(B368)/3,0)</f>
        <v>1</v>
      </c>
      <c r="N368" s="20" t="str">
        <f>TEXT(B368,"dddd")</f>
        <v>Thursday</v>
      </c>
      <c r="O368" s="20" t="str">
        <f>TEXT(B368,"mmmm")</f>
        <v>January</v>
      </c>
    </row>
    <row r="369" spans="1:15" x14ac:dyDescent="0.3">
      <c r="A369" s="18">
        <v>368</v>
      </c>
      <c r="B369" s="19">
        <v>45161</v>
      </c>
      <c r="C369" s="20" t="s">
        <v>376</v>
      </c>
      <c r="D369" s="20" t="s">
        <v>8</v>
      </c>
      <c r="E369" s="18">
        <v>56</v>
      </c>
      <c r="F369" s="18" t="str">
        <f t="shared" si="10"/>
        <v>Adult</v>
      </c>
      <c r="G369" s="20" t="s">
        <v>9</v>
      </c>
      <c r="H369" s="18">
        <v>4</v>
      </c>
      <c r="I369" s="18">
        <v>300</v>
      </c>
      <c r="J369" s="18">
        <v>1200</v>
      </c>
      <c r="K369" s="21" t="str">
        <f t="shared" si="11"/>
        <v>Medium</v>
      </c>
      <c r="L369" s="18">
        <f>YEAR(B369)</f>
        <v>2023</v>
      </c>
      <c r="M369" s="18">
        <f>ROUNDUP(MONTH(B369)/3,0)</f>
        <v>3</v>
      </c>
      <c r="N369" s="20" t="str">
        <f>TEXT(B369,"dddd")</f>
        <v>Wednesday</v>
      </c>
      <c r="O369" s="20" t="str">
        <f>TEXT(B369,"mmmm")</f>
        <v>August</v>
      </c>
    </row>
    <row r="370" spans="1:15" x14ac:dyDescent="0.3">
      <c r="A370" s="18">
        <v>369</v>
      </c>
      <c r="B370" s="19">
        <v>45245</v>
      </c>
      <c r="C370" s="20" t="s">
        <v>377</v>
      </c>
      <c r="D370" s="20" t="s">
        <v>5</v>
      </c>
      <c r="E370" s="18">
        <v>23</v>
      </c>
      <c r="F370" s="18" t="str">
        <f t="shared" si="10"/>
        <v>Young</v>
      </c>
      <c r="G370" s="20" t="s">
        <v>11</v>
      </c>
      <c r="H370" s="18">
        <v>3</v>
      </c>
      <c r="I370" s="18">
        <v>500</v>
      </c>
      <c r="J370" s="18">
        <v>1500</v>
      </c>
      <c r="K370" s="21" t="str">
        <f t="shared" si="11"/>
        <v>Medium</v>
      </c>
      <c r="L370" s="18">
        <f>YEAR(B370)</f>
        <v>2023</v>
      </c>
      <c r="M370" s="18">
        <f>ROUNDUP(MONTH(B370)/3,0)</f>
        <v>4</v>
      </c>
      <c r="N370" s="20" t="str">
        <f>TEXT(B370,"dddd")</f>
        <v>Wednesday</v>
      </c>
      <c r="O370" s="20" t="str">
        <f>TEXT(B370,"mmmm")</f>
        <v>November</v>
      </c>
    </row>
    <row r="371" spans="1:15" x14ac:dyDescent="0.3">
      <c r="A371" s="18">
        <v>370</v>
      </c>
      <c r="B371" s="19">
        <v>45215</v>
      </c>
      <c r="C371" s="20" t="s">
        <v>378</v>
      </c>
      <c r="D371" s="20" t="s">
        <v>5</v>
      </c>
      <c r="E371" s="18">
        <v>23</v>
      </c>
      <c r="F371" s="18" t="str">
        <f t="shared" si="10"/>
        <v>Young</v>
      </c>
      <c r="G371" s="20" t="s">
        <v>11</v>
      </c>
      <c r="H371" s="18">
        <v>2</v>
      </c>
      <c r="I371" s="18">
        <v>30</v>
      </c>
      <c r="J371" s="18">
        <v>60</v>
      </c>
      <c r="K371" s="21" t="str">
        <f t="shared" si="11"/>
        <v>Low</v>
      </c>
      <c r="L371" s="18">
        <f>YEAR(B371)</f>
        <v>2023</v>
      </c>
      <c r="M371" s="18">
        <f>ROUNDUP(MONTH(B371)/3,0)</f>
        <v>4</v>
      </c>
      <c r="N371" s="20" t="str">
        <f>TEXT(B371,"dddd")</f>
        <v>Monday</v>
      </c>
      <c r="O371" s="20" t="str">
        <f>TEXT(B371,"mmmm")</f>
        <v>October</v>
      </c>
    </row>
    <row r="372" spans="1:15" x14ac:dyDescent="0.3">
      <c r="A372" s="18">
        <v>371</v>
      </c>
      <c r="B372" s="19">
        <v>44978</v>
      </c>
      <c r="C372" s="20" t="s">
        <v>379</v>
      </c>
      <c r="D372" s="20" t="s">
        <v>8</v>
      </c>
      <c r="E372" s="18">
        <v>20</v>
      </c>
      <c r="F372" s="18" t="str">
        <f t="shared" si="10"/>
        <v>Young</v>
      </c>
      <c r="G372" s="20" t="s">
        <v>6</v>
      </c>
      <c r="H372" s="18">
        <v>1</v>
      </c>
      <c r="I372" s="18">
        <v>25</v>
      </c>
      <c r="J372" s="18">
        <v>25</v>
      </c>
      <c r="K372" s="21" t="str">
        <f t="shared" si="11"/>
        <v>Low</v>
      </c>
      <c r="L372" s="18">
        <f>YEAR(B372)</f>
        <v>2023</v>
      </c>
      <c r="M372" s="18">
        <f>ROUNDUP(MONTH(B372)/3,0)</f>
        <v>1</v>
      </c>
      <c r="N372" s="20" t="str">
        <f>TEXT(B372,"dddd")</f>
        <v>Tuesday</v>
      </c>
      <c r="O372" s="20" t="str">
        <f>TEXT(B372,"mmmm")</f>
        <v>February</v>
      </c>
    </row>
    <row r="373" spans="1:15" x14ac:dyDescent="0.3">
      <c r="A373" s="18">
        <v>372</v>
      </c>
      <c r="B373" s="19">
        <v>44964</v>
      </c>
      <c r="C373" s="20" t="s">
        <v>380</v>
      </c>
      <c r="D373" s="20" t="s">
        <v>8</v>
      </c>
      <c r="E373" s="18">
        <v>24</v>
      </c>
      <c r="F373" s="18" t="str">
        <f t="shared" si="10"/>
        <v>Young</v>
      </c>
      <c r="G373" s="20" t="s">
        <v>6</v>
      </c>
      <c r="H373" s="18">
        <v>3</v>
      </c>
      <c r="I373" s="18">
        <v>500</v>
      </c>
      <c r="J373" s="18">
        <v>1500</v>
      </c>
      <c r="K373" s="21" t="str">
        <f t="shared" si="11"/>
        <v>Medium</v>
      </c>
      <c r="L373" s="18">
        <f>YEAR(B373)</f>
        <v>2023</v>
      </c>
      <c r="M373" s="18">
        <f>ROUNDUP(MONTH(B373)/3,0)</f>
        <v>1</v>
      </c>
      <c r="N373" s="20" t="str">
        <f>TEXT(B373,"dddd")</f>
        <v>Tuesday</v>
      </c>
      <c r="O373" s="20" t="str">
        <f>TEXT(B373,"mmmm")</f>
        <v>February</v>
      </c>
    </row>
    <row r="374" spans="1:15" x14ac:dyDescent="0.3">
      <c r="A374" s="18">
        <v>373</v>
      </c>
      <c r="B374" s="19">
        <v>45202</v>
      </c>
      <c r="C374" s="20" t="s">
        <v>381</v>
      </c>
      <c r="D374" s="20" t="s">
        <v>8</v>
      </c>
      <c r="E374" s="18">
        <v>25</v>
      </c>
      <c r="F374" s="18" t="str">
        <f t="shared" si="10"/>
        <v>Young</v>
      </c>
      <c r="G374" s="20" t="s">
        <v>6</v>
      </c>
      <c r="H374" s="18">
        <v>2</v>
      </c>
      <c r="I374" s="18">
        <v>300</v>
      </c>
      <c r="J374" s="18">
        <v>600</v>
      </c>
      <c r="K374" s="21" t="str">
        <f t="shared" si="11"/>
        <v>Medium</v>
      </c>
      <c r="L374" s="18">
        <f>YEAR(B374)</f>
        <v>2023</v>
      </c>
      <c r="M374" s="18">
        <f>ROUNDUP(MONTH(B374)/3,0)</f>
        <v>4</v>
      </c>
      <c r="N374" s="20" t="str">
        <f>TEXT(B374,"dddd")</f>
        <v>Tuesday</v>
      </c>
      <c r="O374" s="20" t="str">
        <f>TEXT(B374,"mmmm")</f>
        <v>October</v>
      </c>
    </row>
    <row r="375" spans="1:15" x14ac:dyDescent="0.3">
      <c r="A375" s="18">
        <v>374</v>
      </c>
      <c r="B375" s="19">
        <v>45036</v>
      </c>
      <c r="C375" s="20" t="s">
        <v>382</v>
      </c>
      <c r="D375" s="20" t="s">
        <v>8</v>
      </c>
      <c r="E375" s="18">
        <v>59</v>
      </c>
      <c r="F375" s="18" t="str">
        <f t="shared" si="10"/>
        <v>Adult</v>
      </c>
      <c r="G375" s="20" t="s">
        <v>6</v>
      </c>
      <c r="H375" s="18">
        <v>3</v>
      </c>
      <c r="I375" s="18">
        <v>25</v>
      </c>
      <c r="J375" s="18">
        <v>75</v>
      </c>
      <c r="K375" s="21" t="str">
        <f t="shared" si="11"/>
        <v>Low</v>
      </c>
      <c r="L375" s="18">
        <f>YEAR(B375)</f>
        <v>2023</v>
      </c>
      <c r="M375" s="18">
        <f>ROUNDUP(MONTH(B375)/3,0)</f>
        <v>2</v>
      </c>
      <c r="N375" s="20" t="str">
        <f>TEXT(B375,"dddd")</f>
        <v>Thursday</v>
      </c>
      <c r="O375" s="20" t="str">
        <f>TEXT(B375,"mmmm")</f>
        <v>April</v>
      </c>
    </row>
    <row r="376" spans="1:15" x14ac:dyDescent="0.3">
      <c r="A376" s="18">
        <v>375</v>
      </c>
      <c r="B376" s="19">
        <v>45186</v>
      </c>
      <c r="C376" s="20" t="s">
        <v>383</v>
      </c>
      <c r="D376" s="20" t="s">
        <v>5</v>
      </c>
      <c r="E376" s="18">
        <v>32</v>
      </c>
      <c r="F376" s="18" t="str">
        <f t="shared" si="10"/>
        <v>Adult</v>
      </c>
      <c r="G376" s="20" t="s">
        <v>9</v>
      </c>
      <c r="H376" s="18">
        <v>1</v>
      </c>
      <c r="I376" s="18">
        <v>50</v>
      </c>
      <c r="J376" s="18">
        <v>50</v>
      </c>
      <c r="K376" s="21" t="str">
        <f t="shared" si="11"/>
        <v>Low</v>
      </c>
      <c r="L376" s="18">
        <f>YEAR(B376)</f>
        <v>2023</v>
      </c>
      <c r="M376" s="18">
        <f>ROUNDUP(MONTH(B376)/3,0)</f>
        <v>3</v>
      </c>
      <c r="N376" s="20" t="str">
        <f>TEXT(B376,"dddd")</f>
        <v>Sunday</v>
      </c>
      <c r="O376" s="20" t="str">
        <f>TEXT(B376,"mmmm")</f>
        <v>September</v>
      </c>
    </row>
    <row r="377" spans="1:15" x14ac:dyDescent="0.3">
      <c r="A377" s="18">
        <v>376</v>
      </c>
      <c r="B377" s="19">
        <v>45062</v>
      </c>
      <c r="C377" s="20" t="s">
        <v>384</v>
      </c>
      <c r="D377" s="20" t="s">
        <v>8</v>
      </c>
      <c r="E377" s="18">
        <v>64</v>
      </c>
      <c r="F377" s="18" t="str">
        <f t="shared" si="10"/>
        <v>Senior</v>
      </c>
      <c r="G377" s="20" t="s">
        <v>6</v>
      </c>
      <c r="H377" s="18">
        <v>1</v>
      </c>
      <c r="I377" s="18">
        <v>30</v>
      </c>
      <c r="J377" s="18">
        <v>30</v>
      </c>
      <c r="K377" s="21" t="str">
        <f t="shared" si="11"/>
        <v>Low</v>
      </c>
      <c r="L377" s="18">
        <f>YEAR(B377)</f>
        <v>2023</v>
      </c>
      <c r="M377" s="18">
        <f>ROUNDUP(MONTH(B377)/3,0)</f>
        <v>2</v>
      </c>
      <c r="N377" s="20" t="str">
        <f>TEXT(B377,"dddd")</f>
        <v>Tuesday</v>
      </c>
      <c r="O377" s="20" t="str">
        <f>TEXT(B377,"mmmm")</f>
        <v>May</v>
      </c>
    </row>
    <row r="378" spans="1:15" x14ac:dyDescent="0.3">
      <c r="A378" s="18">
        <v>377</v>
      </c>
      <c r="B378" s="19">
        <v>44994</v>
      </c>
      <c r="C378" s="20" t="s">
        <v>385</v>
      </c>
      <c r="D378" s="20" t="s">
        <v>8</v>
      </c>
      <c r="E378" s="18">
        <v>46</v>
      </c>
      <c r="F378" s="18" t="str">
        <f t="shared" si="10"/>
        <v>Adult</v>
      </c>
      <c r="G378" s="20" t="s">
        <v>9</v>
      </c>
      <c r="H378" s="18">
        <v>4</v>
      </c>
      <c r="I378" s="18">
        <v>50</v>
      </c>
      <c r="J378" s="18">
        <v>200</v>
      </c>
      <c r="K378" s="21" t="str">
        <f t="shared" si="11"/>
        <v>Low</v>
      </c>
      <c r="L378" s="18">
        <f>YEAR(B378)</f>
        <v>2023</v>
      </c>
      <c r="M378" s="18">
        <f>ROUNDUP(MONTH(B378)/3,0)</f>
        <v>1</v>
      </c>
      <c r="N378" s="20" t="str">
        <f>TEXT(B378,"dddd")</f>
        <v>Thursday</v>
      </c>
      <c r="O378" s="20" t="str">
        <f>TEXT(B378,"mmmm")</f>
        <v>March</v>
      </c>
    </row>
    <row r="379" spans="1:15" x14ac:dyDescent="0.3">
      <c r="A379" s="18">
        <v>378</v>
      </c>
      <c r="B379" s="19">
        <v>45105</v>
      </c>
      <c r="C379" s="20" t="s">
        <v>386</v>
      </c>
      <c r="D379" s="20" t="s">
        <v>5</v>
      </c>
      <c r="E379" s="18">
        <v>50</v>
      </c>
      <c r="F379" s="18" t="str">
        <f t="shared" si="10"/>
        <v>Adult</v>
      </c>
      <c r="G379" s="20" t="s">
        <v>6</v>
      </c>
      <c r="H379" s="18">
        <v>1</v>
      </c>
      <c r="I379" s="18">
        <v>300</v>
      </c>
      <c r="J379" s="18">
        <v>300</v>
      </c>
      <c r="K379" s="21" t="str">
        <f t="shared" si="11"/>
        <v>Low</v>
      </c>
      <c r="L379" s="18">
        <f>YEAR(B379)</f>
        <v>2023</v>
      </c>
      <c r="M379" s="18">
        <f>ROUNDUP(MONTH(B379)/3,0)</f>
        <v>2</v>
      </c>
      <c r="N379" s="20" t="str">
        <f>TEXT(B379,"dddd")</f>
        <v>Wednesday</v>
      </c>
      <c r="O379" s="20" t="str">
        <f>TEXT(B379,"mmmm")</f>
        <v>June</v>
      </c>
    </row>
    <row r="380" spans="1:15" x14ac:dyDescent="0.3">
      <c r="A380" s="18">
        <v>379</v>
      </c>
      <c r="B380" s="19">
        <v>44962</v>
      </c>
      <c r="C380" s="20" t="s">
        <v>387</v>
      </c>
      <c r="D380" s="20" t="s">
        <v>8</v>
      </c>
      <c r="E380" s="18">
        <v>47</v>
      </c>
      <c r="F380" s="18" t="str">
        <f t="shared" si="10"/>
        <v>Adult</v>
      </c>
      <c r="G380" s="20" t="s">
        <v>9</v>
      </c>
      <c r="H380" s="18">
        <v>1</v>
      </c>
      <c r="I380" s="18">
        <v>25</v>
      </c>
      <c r="J380" s="18">
        <v>25</v>
      </c>
      <c r="K380" s="21" t="str">
        <f t="shared" si="11"/>
        <v>Low</v>
      </c>
      <c r="L380" s="18">
        <f>YEAR(B380)</f>
        <v>2023</v>
      </c>
      <c r="M380" s="18">
        <f>ROUNDUP(MONTH(B380)/3,0)</f>
        <v>1</v>
      </c>
      <c r="N380" s="20" t="str">
        <f>TEXT(B380,"dddd")</f>
        <v>Sunday</v>
      </c>
      <c r="O380" s="20" t="str">
        <f>TEXT(B380,"mmmm")</f>
        <v>February</v>
      </c>
    </row>
    <row r="381" spans="1:15" x14ac:dyDescent="0.3">
      <c r="A381" s="18">
        <v>380</v>
      </c>
      <c r="B381" s="19">
        <v>45052</v>
      </c>
      <c r="C381" s="20" t="s">
        <v>388</v>
      </c>
      <c r="D381" s="20" t="s">
        <v>5</v>
      </c>
      <c r="E381" s="18">
        <v>56</v>
      </c>
      <c r="F381" s="18" t="str">
        <f t="shared" si="10"/>
        <v>Adult</v>
      </c>
      <c r="G381" s="20" t="s">
        <v>11</v>
      </c>
      <c r="H381" s="18">
        <v>2</v>
      </c>
      <c r="I381" s="18">
        <v>300</v>
      </c>
      <c r="J381" s="18">
        <v>600</v>
      </c>
      <c r="K381" s="21" t="str">
        <f t="shared" si="11"/>
        <v>Medium</v>
      </c>
      <c r="L381" s="18">
        <f>YEAR(B381)</f>
        <v>2023</v>
      </c>
      <c r="M381" s="18">
        <f>ROUNDUP(MONTH(B381)/3,0)</f>
        <v>2</v>
      </c>
      <c r="N381" s="20" t="str">
        <f>TEXT(B381,"dddd")</f>
        <v>Saturday</v>
      </c>
      <c r="O381" s="20" t="str">
        <f>TEXT(B381,"mmmm")</f>
        <v>May</v>
      </c>
    </row>
    <row r="382" spans="1:15" x14ac:dyDescent="0.3">
      <c r="A382" s="18">
        <v>381</v>
      </c>
      <c r="B382" s="19">
        <v>45116</v>
      </c>
      <c r="C382" s="20" t="s">
        <v>389</v>
      </c>
      <c r="D382" s="20" t="s">
        <v>8</v>
      </c>
      <c r="E382" s="18">
        <v>44</v>
      </c>
      <c r="F382" s="18" t="str">
        <f t="shared" si="10"/>
        <v>Adult</v>
      </c>
      <c r="G382" s="20" t="s">
        <v>9</v>
      </c>
      <c r="H382" s="18">
        <v>4</v>
      </c>
      <c r="I382" s="18">
        <v>25</v>
      </c>
      <c r="J382" s="18">
        <v>100</v>
      </c>
      <c r="K382" s="21" t="str">
        <f t="shared" si="11"/>
        <v>Low</v>
      </c>
      <c r="L382" s="18">
        <f>YEAR(B382)</f>
        <v>2023</v>
      </c>
      <c r="M382" s="18">
        <f>ROUNDUP(MONTH(B382)/3,0)</f>
        <v>3</v>
      </c>
      <c r="N382" s="20" t="str">
        <f>TEXT(B382,"dddd")</f>
        <v>Sunday</v>
      </c>
      <c r="O382" s="20" t="str">
        <f>TEXT(B382,"mmmm")</f>
        <v>July</v>
      </c>
    </row>
    <row r="383" spans="1:15" x14ac:dyDescent="0.3">
      <c r="A383" s="18">
        <v>382</v>
      </c>
      <c r="B383" s="19">
        <v>45072</v>
      </c>
      <c r="C383" s="20" t="s">
        <v>390</v>
      </c>
      <c r="D383" s="20" t="s">
        <v>8</v>
      </c>
      <c r="E383" s="18">
        <v>53</v>
      </c>
      <c r="F383" s="18" t="str">
        <f t="shared" si="10"/>
        <v>Adult</v>
      </c>
      <c r="G383" s="20" t="s">
        <v>9</v>
      </c>
      <c r="H383" s="18">
        <v>2</v>
      </c>
      <c r="I383" s="18">
        <v>500</v>
      </c>
      <c r="J383" s="18">
        <v>1000</v>
      </c>
      <c r="K383" s="21" t="str">
        <f t="shared" si="11"/>
        <v>Medium</v>
      </c>
      <c r="L383" s="18">
        <f>YEAR(B383)</f>
        <v>2023</v>
      </c>
      <c r="M383" s="18">
        <f>ROUNDUP(MONTH(B383)/3,0)</f>
        <v>2</v>
      </c>
      <c r="N383" s="20" t="str">
        <f>TEXT(B383,"dddd")</f>
        <v>Friday</v>
      </c>
      <c r="O383" s="20" t="str">
        <f>TEXT(B383,"mmmm")</f>
        <v>May</v>
      </c>
    </row>
    <row r="384" spans="1:15" x14ac:dyDescent="0.3">
      <c r="A384" s="18">
        <v>383</v>
      </c>
      <c r="B384" s="19">
        <v>45007</v>
      </c>
      <c r="C384" s="20" t="s">
        <v>391</v>
      </c>
      <c r="D384" s="20" t="s">
        <v>8</v>
      </c>
      <c r="E384" s="18">
        <v>46</v>
      </c>
      <c r="F384" s="18" t="str">
        <f t="shared" si="10"/>
        <v>Adult</v>
      </c>
      <c r="G384" s="20" t="s">
        <v>6</v>
      </c>
      <c r="H384" s="18">
        <v>3</v>
      </c>
      <c r="I384" s="18">
        <v>30</v>
      </c>
      <c r="J384" s="18">
        <v>90</v>
      </c>
      <c r="K384" s="21" t="str">
        <f t="shared" si="11"/>
        <v>Low</v>
      </c>
      <c r="L384" s="18">
        <f>YEAR(B384)</f>
        <v>2023</v>
      </c>
      <c r="M384" s="18">
        <f>ROUNDUP(MONTH(B384)/3,0)</f>
        <v>1</v>
      </c>
      <c r="N384" s="20" t="str">
        <f>TEXT(B384,"dddd")</f>
        <v>Wednesday</v>
      </c>
      <c r="O384" s="20" t="str">
        <f>TEXT(B384,"mmmm")</f>
        <v>March</v>
      </c>
    </row>
    <row r="385" spans="1:15" x14ac:dyDescent="0.3">
      <c r="A385" s="18">
        <v>384</v>
      </c>
      <c r="B385" s="19">
        <v>45151</v>
      </c>
      <c r="C385" s="20" t="s">
        <v>392</v>
      </c>
      <c r="D385" s="20" t="s">
        <v>5</v>
      </c>
      <c r="E385" s="18">
        <v>55</v>
      </c>
      <c r="F385" s="18" t="str">
        <f t="shared" si="10"/>
        <v>Adult</v>
      </c>
      <c r="G385" s="20" t="s">
        <v>9</v>
      </c>
      <c r="H385" s="18">
        <v>1</v>
      </c>
      <c r="I385" s="18">
        <v>500</v>
      </c>
      <c r="J385" s="18">
        <v>500</v>
      </c>
      <c r="K385" s="21" t="str">
        <f t="shared" si="11"/>
        <v>Low</v>
      </c>
      <c r="L385" s="18">
        <f>YEAR(B385)</f>
        <v>2023</v>
      </c>
      <c r="M385" s="18">
        <f>ROUNDUP(MONTH(B385)/3,0)</f>
        <v>3</v>
      </c>
      <c r="N385" s="20" t="str">
        <f>TEXT(B385,"dddd")</f>
        <v>Sunday</v>
      </c>
      <c r="O385" s="20" t="str">
        <f>TEXT(B385,"mmmm")</f>
        <v>August</v>
      </c>
    </row>
    <row r="386" spans="1:15" x14ac:dyDescent="0.3">
      <c r="A386" s="18">
        <v>385</v>
      </c>
      <c r="B386" s="19">
        <v>45205</v>
      </c>
      <c r="C386" s="20" t="s">
        <v>393</v>
      </c>
      <c r="D386" s="20" t="s">
        <v>5</v>
      </c>
      <c r="E386" s="18">
        <v>50</v>
      </c>
      <c r="F386" s="18" t="str">
        <f t="shared" si="10"/>
        <v>Adult</v>
      </c>
      <c r="G386" s="20" t="s">
        <v>11</v>
      </c>
      <c r="H386" s="18">
        <v>3</v>
      </c>
      <c r="I386" s="18">
        <v>500</v>
      </c>
      <c r="J386" s="18">
        <v>1500</v>
      </c>
      <c r="K386" s="21" t="str">
        <f t="shared" si="11"/>
        <v>Medium</v>
      </c>
      <c r="L386" s="18">
        <f>YEAR(B386)</f>
        <v>2023</v>
      </c>
      <c r="M386" s="18">
        <f>ROUNDUP(MONTH(B386)/3,0)</f>
        <v>4</v>
      </c>
      <c r="N386" s="20" t="str">
        <f>TEXT(B386,"dddd")</f>
        <v>Friday</v>
      </c>
      <c r="O386" s="20" t="str">
        <f>TEXT(B386,"mmmm")</f>
        <v>October</v>
      </c>
    </row>
    <row r="387" spans="1:15" x14ac:dyDescent="0.3">
      <c r="A387" s="18">
        <v>386</v>
      </c>
      <c r="B387" s="19">
        <v>45287</v>
      </c>
      <c r="C387" s="20" t="s">
        <v>394</v>
      </c>
      <c r="D387" s="20" t="s">
        <v>8</v>
      </c>
      <c r="E387" s="18">
        <v>54</v>
      </c>
      <c r="F387" s="18" t="str">
        <f t="shared" ref="F387:F450" si="12">IF(E387&gt;60,"Senior",IF(E387&gt;30,"Adult","Young"))</f>
        <v>Adult</v>
      </c>
      <c r="G387" s="20" t="s">
        <v>11</v>
      </c>
      <c r="H387" s="18">
        <v>2</v>
      </c>
      <c r="I387" s="18">
        <v>300</v>
      </c>
      <c r="J387" s="18">
        <v>600</v>
      </c>
      <c r="K387" s="21" t="str">
        <f t="shared" ref="K387:K450" si="13">IF(J387&gt;1500,"High",IF(J387&gt;500,"Medium","Low"))</f>
        <v>Medium</v>
      </c>
      <c r="L387" s="18">
        <f>YEAR(B387)</f>
        <v>2023</v>
      </c>
      <c r="M387" s="18">
        <f>ROUNDUP(MONTH(B387)/3,0)</f>
        <v>4</v>
      </c>
      <c r="N387" s="20" t="str">
        <f>TEXT(B387,"dddd")</f>
        <v>Wednesday</v>
      </c>
      <c r="O387" s="20" t="str">
        <f>TEXT(B387,"mmmm")</f>
        <v>December</v>
      </c>
    </row>
    <row r="388" spans="1:15" x14ac:dyDescent="0.3">
      <c r="A388" s="18">
        <v>387</v>
      </c>
      <c r="B388" s="19">
        <v>45081</v>
      </c>
      <c r="C388" s="20" t="s">
        <v>395</v>
      </c>
      <c r="D388" s="20" t="s">
        <v>5</v>
      </c>
      <c r="E388" s="18">
        <v>44</v>
      </c>
      <c r="F388" s="18" t="str">
        <f t="shared" si="12"/>
        <v>Adult</v>
      </c>
      <c r="G388" s="20" t="s">
        <v>6</v>
      </c>
      <c r="H388" s="18">
        <v>1</v>
      </c>
      <c r="I388" s="18">
        <v>30</v>
      </c>
      <c r="J388" s="18">
        <v>30</v>
      </c>
      <c r="K388" s="21" t="str">
        <f t="shared" si="13"/>
        <v>Low</v>
      </c>
      <c r="L388" s="18">
        <f>YEAR(B388)</f>
        <v>2023</v>
      </c>
      <c r="M388" s="18">
        <f>ROUNDUP(MONTH(B388)/3,0)</f>
        <v>2</v>
      </c>
      <c r="N388" s="20" t="str">
        <f>TEXT(B388,"dddd")</f>
        <v>Sunday</v>
      </c>
      <c r="O388" s="20" t="str">
        <f>TEXT(B388,"mmmm")</f>
        <v>June</v>
      </c>
    </row>
    <row r="389" spans="1:15" x14ac:dyDescent="0.3">
      <c r="A389" s="18">
        <v>388</v>
      </c>
      <c r="B389" s="19">
        <v>45240</v>
      </c>
      <c r="C389" s="20" t="s">
        <v>396</v>
      </c>
      <c r="D389" s="20" t="s">
        <v>5</v>
      </c>
      <c r="E389" s="18">
        <v>50</v>
      </c>
      <c r="F389" s="18" t="str">
        <f t="shared" si="12"/>
        <v>Adult</v>
      </c>
      <c r="G389" s="20" t="s">
        <v>11</v>
      </c>
      <c r="H389" s="18">
        <v>1</v>
      </c>
      <c r="I389" s="18">
        <v>25</v>
      </c>
      <c r="J389" s="18">
        <v>25</v>
      </c>
      <c r="K389" s="21" t="str">
        <f t="shared" si="13"/>
        <v>Low</v>
      </c>
      <c r="L389" s="18">
        <f>YEAR(B389)</f>
        <v>2023</v>
      </c>
      <c r="M389" s="18">
        <f>ROUNDUP(MONTH(B389)/3,0)</f>
        <v>4</v>
      </c>
      <c r="N389" s="20" t="str">
        <f>TEXT(B389,"dddd")</f>
        <v>Friday</v>
      </c>
      <c r="O389" s="20" t="str">
        <f>TEXT(B389,"mmmm")</f>
        <v>November</v>
      </c>
    </row>
    <row r="390" spans="1:15" x14ac:dyDescent="0.3">
      <c r="A390" s="18">
        <v>389</v>
      </c>
      <c r="B390" s="19">
        <v>45261</v>
      </c>
      <c r="C390" s="20" t="s">
        <v>397</v>
      </c>
      <c r="D390" s="20" t="s">
        <v>5</v>
      </c>
      <c r="E390" s="18">
        <v>21</v>
      </c>
      <c r="F390" s="18" t="str">
        <f t="shared" si="12"/>
        <v>Young</v>
      </c>
      <c r="G390" s="20" t="s">
        <v>9</v>
      </c>
      <c r="H390" s="18">
        <v>2</v>
      </c>
      <c r="I390" s="18">
        <v>25</v>
      </c>
      <c r="J390" s="18">
        <v>50</v>
      </c>
      <c r="K390" s="21" t="str">
        <f t="shared" si="13"/>
        <v>Low</v>
      </c>
      <c r="L390" s="18">
        <f>YEAR(B390)</f>
        <v>2023</v>
      </c>
      <c r="M390" s="18">
        <f>ROUNDUP(MONTH(B390)/3,0)</f>
        <v>4</v>
      </c>
      <c r="N390" s="20" t="str">
        <f>TEXT(B390,"dddd")</f>
        <v>Friday</v>
      </c>
      <c r="O390" s="20" t="str">
        <f>TEXT(B390,"mmmm")</f>
        <v>December</v>
      </c>
    </row>
    <row r="391" spans="1:15" x14ac:dyDescent="0.3">
      <c r="A391" s="18">
        <v>390</v>
      </c>
      <c r="B391" s="19">
        <v>45197</v>
      </c>
      <c r="C391" s="20" t="s">
        <v>398</v>
      </c>
      <c r="D391" s="20" t="s">
        <v>5</v>
      </c>
      <c r="E391" s="18">
        <v>39</v>
      </c>
      <c r="F391" s="18" t="str">
        <f t="shared" si="12"/>
        <v>Adult</v>
      </c>
      <c r="G391" s="20" t="s">
        <v>11</v>
      </c>
      <c r="H391" s="18">
        <v>2</v>
      </c>
      <c r="I391" s="18">
        <v>50</v>
      </c>
      <c r="J391" s="18">
        <v>100</v>
      </c>
      <c r="K391" s="21" t="str">
        <f t="shared" si="13"/>
        <v>Low</v>
      </c>
      <c r="L391" s="18">
        <f>YEAR(B391)</f>
        <v>2023</v>
      </c>
      <c r="M391" s="18">
        <f>ROUNDUP(MONTH(B391)/3,0)</f>
        <v>3</v>
      </c>
      <c r="N391" s="20" t="str">
        <f>TEXT(B391,"dddd")</f>
        <v>Thursday</v>
      </c>
      <c r="O391" s="20" t="str">
        <f>TEXT(B391,"mmmm")</f>
        <v>September</v>
      </c>
    </row>
    <row r="392" spans="1:15" x14ac:dyDescent="0.3">
      <c r="A392" s="18">
        <v>391</v>
      </c>
      <c r="B392" s="19">
        <v>44931</v>
      </c>
      <c r="C392" s="20" t="s">
        <v>399</v>
      </c>
      <c r="D392" s="20" t="s">
        <v>5</v>
      </c>
      <c r="E392" s="18">
        <v>19</v>
      </c>
      <c r="F392" s="18" t="str">
        <f t="shared" si="12"/>
        <v>Young</v>
      </c>
      <c r="G392" s="20" t="s">
        <v>6</v>
      </c>
      <c r="H392" s="18">
        <v>2</v>
      </c>
      <c r="I392" s="18">
        <v>25</v>
      </c>
      <c r="J392" s="18">
        <v>50</v>
      </c>
      <c r="K392" s="21" t="str">
        <f t="shared" si="13"/>
        <v>Low</v>
      </c>
      <c r="L392" s="18">
        <f>YEAR(B392)</f>
        <v>2023</v>
      </c>
      <c r="M392" s="18">
        <f>ROUNDUP(MONTH(B392)/3,0)</f>
        <v>1</v>
      </c>
      <c r="N392" s="20" t="str">
        <f>TEXT(B392,"dddd")</f>
        <v>Thursday</v>
      </c>
      <c r="O392" s="20" t="str">
        <f>TEXT(B392,"mmmm")</f>
        <v>January</v>
      </c>
    </row>
    <row r="393" spans="1:15" x14ac:dyDescent="0.3">
      <c r="A393" s="18">
        <v>392</v>
      </c>
      <c r="B393" s="19">
        <v>45268</v>
      </c>
      <c r="C393" s="20" t="s">
        <v>400</v>
      </c>
      <c r="D393" s="20" t="s">
        <v>5</v>
      </c>
      <c r="E393" s="18">
        <v>27</v>
      </c>
      <c r="F393" s="18" t="str">
        <f t="shared" si="12"/>
        <v>Young</v>
      </c>
      <c r="G393" s="20" t="s">
        <v>9</v>
      </c>
      <c r="H393" s="18">
        <v>2</v>
      </c>
      <c r="I393" s="18">
        <v>300</v>
      </c>
      <c r="J393" s="18">
        <v>600</v>
      </c>
      <c r="K393" s="21" t="str">
        <f t="shared" si="13"/>
        <v>Medium</v>
      </c>
      <c r="L393" s="18">
        <f>YEAR(B393)</f>
        <v>2023</v>
      </c>
      <c r="M393" s="18">
        <f>ROUNDUP(MONTH(B393)/3,0)</f>
        <v>4</v>
      </c>
      <c r="N393" s="20" t="str">
        <f>TEXT(B393,"dddd")</f>
        <v>Friday</v>
      </c>
      <c r="O393" s="20" t="str">
        <f>TEXT(B393,"mmmm")</f>
        <v>December</v>
      </c>
    </row>
    <row r="394" spans="1:15" x14ac:dyDescent="0.3">
      <c r="A394" s="18">
        <v>393</v>
      </c>
      <c r="B394" s="19">
        <v>45210</v>
      </c>
      <c r="C394" s="20" t="s">
        <v>401</v>
      </c>
      <c r="D394" s="20" t="s">
        <v>8</v>
      </c>
      <c r="E394" s="18">
        <v>22</v>
      </c>
      <c r="F394" s="18" t="str">
        <f t="shared" si="12"/>
        <v>Young</v>
      </c>
      <c r="G394" s="20" t="s">
        <v>6</v>
      </c>
      <c r="H394" s="18">
        <v>2</v>
      </c>
      <c r="I394" s="18">
        <v>500</v>
      </c>
      <c r="J394" s="18">
        <v>1000</v>
      </c>
      <c r="K394" s="21" t="str">
        <f t="shared" si="13"/>
        <v>Medium</v>
      </c>
      <c r="L394" s="18">
        <f>YEAR(B394)</f>
        <v>2023</v>
      </c>
      <c r="M394" s="18">
        <f>ROUNDUP(MONTH(B394)/3,0)</f>
        <v>4</v>
      </c>
      <c r="N394" s="20" t="str">
        <f>TEXT(B394,"dddd")</f>
        <v>Wednesday</v>
      </c>
      <c r="O394" s="20" t="str">
        <f>TEXT(B394,"mmmm")</f>
        <v>October</v>
      </c>
    </row>
    <row r="395" spans="1:15" x14ac:dyDescent="0.3">
      <c r="A395" s="18">
        <v>394</v>
      </c>
      <c r="B395" s="19">
        <v>45080</v>
      </c>
      <c r="C395" s="20" t="s">
        <v>402</v>
      </c>
      <c r="D395" s="20" t="s">
        <v>8</v>
      </c>
      <c r="E395" s="18">
        <v>27</v>
      </c>
      <c r="F395" s="18" t="str">
        <f t="shared" si="12"/>
        <v>Young</v>
      </c>
      <c r="G395" s="20" t="s">
        <v>9</v>
      </c>
      <c r="H395" s="18">
        <v>1</v>
      </c>
      <c r="I395" s="18">
        <v>500</v>
      </c>
      <c r="J395" s="18">
        <v>500</v>
      </c>
      <c r="K395" s="21" t="str">
        <f t="shared" si="13"/>
        <v>Low</v>
      </c>
      <c r="L395" s="18">
        <f>YEAR(B395)</f>
        <v>2023</v>
      </c>
      <c r="M395" s="18">
        <f>ROUNDUP(MONTH(B395)/3,0)</f>
        <v>2</v>
      </c>
      <c r="N395" s="20" t="str">
        <f>TEXT(B395,"dddd")</f>
        <v>Saturday</v>
      </c>
      <c r="O395" s="20" t="str">
        <f>TEXT(B395,"mmmm")</f>
        <v>June</v>
      </c>
    </row>
    <row r="396" spans="1:15" x14ac:dyDescent="0.3">
      <c r="A396" s="18">
        <v>395</v>
      </c>
      <c r="B396" s="19">
        <v>45266</v>
      </c>
      <c r="C396" s="20" t="s">
        <v>403</v>
      </c>
      <c r="D396" s="20" t="s">
        <v>5</v>
      </c>
      <c r="E396" s="18">
        <v>50</v>
      </c>
      <c r="F396" s="18" t="str">
        <f t="shared" si="12"/>
        <v>Adult</v>
      </c>
      <c r="G396" s="20" t="s">
        <v>11</v>
      </c>
      <c r="H396" s="18">
        <v>2</v>
      </c>
      <c r="I396" s="18">
        <v>500</v>
      </c>
      <c r="J396" s="18">
        <v>1000</v>
      </c>
      <c r="K396" s="21" t="str">
        <f t="shared" si="13"/>
        <v>Medium</v>
      </c>
      <c r="L396" s="18">
        <f>YEAR(B396)</f>
        <v>2023</v>
      </c>
      <c r="M396" s="18">
        <f>ROUNDUP(MONTH(B396)/3,0)</f>
        <v>4</v>
      </c>
      <c r="N396" s="20" t="str">
        <f>TEXT(B396,"dddd")</f>
        <v>Wednesday</v>
      </c>
      <c r="O396" s="20" t="str">
        <f>TEXT(B396,"mmmm")</f>
        <v>December</v>
      </c>
    </row>
    <row r="397" spans="1:15" x14ac:dyDescent="0.3">
      <c r="A397" s="18">
        <v>396</v>
      </c>
      <c r="B397" s="19">
        <v>44980</v>
      </c>
      <c r="C397" s="20" t="s">
        <v>404</v>
      </c>
      <c r="D397" s="20" t="s">
        <v>8</v>
      </c>
      <c r="E397" s="18">
        <v>55</v>
      </c>
      <c r="F397" s="18" t="str">
        <f t="shared" si="12"/>
        <v>Adult</v>
      </c>
      <c r="G397" s="20" t="s">
        <v>6</v>
      </c>
      <c r="H397" s="18">
        <v>1</v>
      </c>
      <c r="I397" s="18">
        <v>30</v>
      </c>
      <c r="J397" s="18">
        <v>30</v>
      </c>
      <c r="K397" s="21" t="str">
        <f t="shared" si="13"/>
        <v>Low</v>
      </c>
      <c r="L397" s="18">
        <f>YEAR(B397)</f>
        <v>2023</v>
      </c>
      <c r="M397" s="18">
        <f>ROUNDUP(MONTH(B397)/3,0)</f>
        <v>1</v>
      </c>
      <c r="N397" s="20" t="str">
        <f>TEXT(B397,"dddd")</f>
        <v>Thursday</v>
      </c>
      <c r="O397" s="20" t="str">
        <f>TEXT(B397,"mmmm")</f>
        <v>February</v>
      </c>
    </row>
    <row r="398" spans="1:15" x14ac:dyDescent="0.3">
      <c r="A398" s="18">
        <v>397</v>
      </c>
      <c r="B398" s="19">
        <v>44995</v>
      </c>
      <c r="C398" s="20" t="s">
        <v>405</v>
      </c>
      <c r="D398" s="20" t="s">
        <v>8</v>
      </c>
      <c r="E398" s="18">
        <v>30</v>
      </c>
      <c r="F398" s="18" t="str">
        <f t="shared" si="12"/>
        <v>Young</v>
      </c>
      <c r="G398" s="20" t="s">
        <v>6</v>
      </c>
      <c r="H398" s="18">
        <v>1</v>
      </c>
      <c r="I398" s="18">
        <v>25</v>
      </c>
      <c r="J398" s="18">
        <v>25</v>
      </c>
      <c r="K398" s="21" t="str">
        <f t="shared" si="13"/>
        <v>Low</v>
      </c>
      <c r="L398" s="18">
        <f>YEAR(B398)</f>
        <v>2023</v>
      </c>
      <c r="M398" s="18">
        <f>ROUNDUP(MONTH(B398)/3,0)</f>
        <v>1</v>
      </c>
      <c r="N398" s="20" t="str">
        <f>TEXT(B398,"dddd")</f>
        <v>Friday</v>
      </c>
      <c r="O398" s="20" t="str">
        <f>TEXT(B398,"mmmm")</f>
        <v>March</v>
      </c>
    </row>
    <row r="399" spans="1:15" x14ac:dyDescent="0.3">
      <c r="A399" s="18">
        <v>398</v>
      </c>
      <c r="B399" s="19">
        <v>45062</v>
      </c>
      <c r="C399" s="20" t="s">
        <v>406</v>
      </c>
      <c r="D399" s="20" t="s">
        <v>8</v>
      </c>
      <c r="E399" s="18">
        <v>48</v>
      </c>
      <c r="F399" s="18" t="str">
        <f t="shared" si="12"/>
        <v>Adult</v>
      </c>
      <c r="G399" s="20" t="s">
        <v>9</v>
      </c>
      <c r="H399" s="18">
        <v>2</v>
      </c>
      <c r="I399" s="18">
        <v>300</v>
      </c>
      <c r="J399" s="18">
        <v>600</v>
      </c>
      <c r="K399" s="21" t="str">
        <f t="shared" si="13"/>
        <v>Medium</v>
      </c>
      <c r="L399" s="18">
        <f>YEAR(B399)</f>
        <v>2023</v>
      </c>
      <c r="M399" s="18">
        <f>ROUNDUP(MONTH(B399)/3,0)</f>
        <v>2</v>
      </c>
      <c r="N399" s="20" t="str">
        <f>TEXT(B399,"dddd")</f>
        <v>Tuesday</v>
      </c>
      <c r="O399" s="20" t="str">
        <f>TEXT(B399,"mmmm")</f>
        <v>May</v>
      </c>
    </row>
    <row r="400" spans="1:15" x14ac:dyDescent="0.3">
      <c r="A400" s="18">
        <v>399</v>
      </c>
      <c r="B400" s="19">
        <v>44986</v>
      </c>
      <c r="C400" s="20" t="s">
        <v>407</v>
      </c>
      <c r="D400" s="20" t="s">
        <v>8</v>
      </c>
      <c r="E400" s="18">
        <v>64</v>
      </c>
      <c r="F400" s="18" t="str">
        <f t="shared" si="12"/>
        <v>Senior</v>
      </c>
      <c r="G400" s="20" t="s">
        <v>6</v>
      </c>
      <c r="H400" s="18">
        <v>2</v>
      </c>
      <c r="I400" s="18">
        <v>30</v>
      </c>
      <c r="J400" s="18">
        <v>60</v>
      </c>
      <c r="K400" s="21" t="str">
        <f t="shared" si="13"/>
        <v>Low</v>
      </c>
      <c r="L400" s="18">
        <f>YEAR(B400)</f>
        <v>2023</v>
      </c>
      <c r="M400" s="18">
        <f>ROUNDUP(MONTH(B400)/3,0)</f>
        <v>1</v>
      </c>
      <c r="N400" s="20" t="str">
        <f>TEXT(B400,"dddd")</f>
        <v>Wednesday</v>
      </c>
      <c r="O400" s="20" t="str">
        <f>TEXT(B400,"mmmm")</f>
        <v>March</v>
      </c>
    </row>
    <row r="401" spans="1:15" x14ac:dyDescent="0.3">
      <c r="A401" s="18">
        <v>400</v>
      </c>
      <c r="B401" s="19">
        <v>44981</v>
      </c>
      <c r="C401" s="20" t="s">
        <v>408</v>
      </c>
      <c r="D401" s="20" t="s">
        <v>5</v>
      </c>
      <c r="E401" s="18">
        <v>53</v>
      </c>
      <c r="F401" s="18" t="str">
        <f t="shared" si="12"/>
        <v>Adult</v>
      </c>
      <c r="G401" s="20" t="s">
        <v>9</v>
      </c>
      <c r="H401" s="18">
        <v>4</v>
      </c>
      <c r="I401" s="18">
        <v>50</v>
      </c>
      <c r="J401" s="18">
        <v>200</v>
      </c>
      <c r="K401" s="21" t="str">
        <f t="shared" si="13"/>
        <v>Low</v>
      </c>
      <c r="L401" s="18">
        <f>YEAR(B401)</f>
        <v>2023</v>
      </c>
      <c r="M401" s="18">
        <f>ROUNDUP(MONTH(B401)/3,0)</f>
        <v>1</v>
      </c>
      <c r="N401" s="20" t="str">
        <f>TEXT(B401,"dddd")</f>
        <v>Friday</v>
      </c>
      <c r="O401" s="20" t="str">
        <f>TEXT(B401,"mmmm")</f>
        <v>February</v>
      </c>
    </row>
    <row r="402" spans="1:15" x14ac:dyDescent="0.3">
      <c r="A402" s="18">
        <v>401</v>
      </c>
      <c r="B402" s="19">
        <v>45210</v>
      </c>
      <c r="C402" s="20" t="s">
        <v>409</v>
      </c>
      <c r="D402" s="20" t="s">
        <v>8</v>
      </c>
      <c r="E402" s="18">
        <v>62</v>
      </c>
      <c r="F402" s="18" t="str">
        <f t="shared" si="12"/>
        <v>Senior</v>
      </c>
      <c r="G402" s="20" t="s">
        <v>9</v>
      </c>
      <c r="H402" s="18">
        <v>1</v>
      </c>
      <c r="I402" s="18">
        <v>300</v>
      </c>
      <c r="J402" s="18">
        <v>300</v>
      </c>
      <c r="K402" s="21" t="str">
        <f t="shared" si="13"/>
        <v>Low</v>
      </c>
      <c r="L402" s="18">
        <f>YEAR(B402)</f>
        <v>2023</v>
      </c>
      <c r="M402" s="18">
        <f>ROUNDUP(MONTH(B402)/3,0)</f>
        <v>4</v>
      </c>
      <c r="N402" s="20" t="str">
        <f>TEXT(B402,"dddd")</f>
        <v>Wednesday</v>
      </c>
      <c r="O402" s="20" t="str">
        <f>TEXT(B402,"mmmm")</f>
        <v>October</v>
      </c>
    </row>
    <row r="403" spans="1:15" x14ac:dyDescent="0.3">
      <c r="A403" s="18">
        <v>402</v>
      </c>
      <c r="B403" s="19">
        <v>45006</v>
      </c>
      <c r="C403" s="20" t="s">
        <v>410</v>
      </c>
      <c r="D403" s="20" t="s">
        <v>8</v>
      </c>
      <c r="E403" s="18">
        <v>41</v>
      </c>
      <c r="F403" s="18" t="str">
        <f t="shared" si="12"/>
        <v>Adult</v>
      </c>
      <c r="G403" s="20" t="s">
        <v>9</v>
      </c>
      <c r="H403" s="18">
        <v>2</v>
      </c>
      <c r="I403" s="18">
        <v>300</v>
      </c>
      <c r="J403" s="18">
        <v>600</v>
      </c>
      <c r="K403" s="21" t="str">
        <f t="shared" si="13"/>
        <v>Medium</v>
      </c>
      <c r="L403" s="18">
        <f>YEAR(B403)</f>
        <v>2023</v>
      </c>
      <c r="M403" s="18">
        <f>ROUNDUP(MONTH(B403)/3,0)</f>
        <v>1</v>
      </c>
      <c r="N403" s="20" t="str">
        <f>TEXT(B403,"dddd")</f>
        <v>Tuesday</v>
      </c>
      <c r="O403" s="20" t="str">
        <f>TEXT(B403,"mmmm")</f>
        <v>March</v>
      </c>
    </row>
    <row r="404" spans="1:15" x14ac:dyDescent="0.3">
      <c r="A404" s="18">
        <v>403</v>
      </c>
      <c r="B404" s="19">
        <v>45066</v>
      </c>
      <c r="C404" s="20" t="s">
        <v>411</v>
      </c>
      <c r="D404" s="20" t="s">
        <v>5</v>
      </c>
      <c r="E404" s="18">
        <v>32</v>
      </c>
      <c r="F404" s="18" t="str">
        <f t="shared" si="12"/>
        <v>Adult</v>
      </c>
      <c r="G404" s="20" t="s">
        <v>9</v>
      </c>
      <c r="H404" s="18">
        <v>2</v>
      </c>
      <c r="I404" s="18">
        <v>300</v>
      </c>
      <c r="J404" s="18">
        <v>600</v>
      </c>
      <c r="K404" s="21" t="str">
        <f t="shared" si="13"/>
        <v>Medium</v>
      </c>
      <c r="L404" s="18">
        <f>YEAR(B404)</f>
        <v>2023</v>
      </c>
      <c r="M404" s="18">
        <f>ROUNDUP(MONTH(B404)/3,0)</f>
        <v>2</v>
      </c>
      <c r="N404" s="20" t="str">
        <f>TEXT(B404,"dddd")</f>
        <v>Saturday</v>
      </c>
      <c r="O404" s="20" t="str">
        <f>TEXT(B404,"mmmm")</f>
        <v>May</v>
      </c>
    </row>
    <row r="405" spans="1:15" x14ac:dyDescent="0.3">
      <c r="A405" s="18">
        <v>404</v>
      </c>
      <c r="B405" s="19">
        <v>45071</v>
      </c>
      <c r="C405" s="20" t="s">
        <v>412</v>
      </c>
      <c r="D405" s="20" t="s">
        <v>5</v>
      </c>
      <c r="E405" s="18">
        <v>46</v>
      </c>
      <c r="F405" s="18" t="str">
        <f t="shared" si="12"/>
        <v>Adult</v>
      </c>
      <c r="G405" s="20" t="s">
        <v>11</v>
      </c>
      <c r="H405" s="18">
        <v>2</v>
      </c>
      <c r="I405" s="18">
        <v>500</v>
      </c>
      <c r="J405" s="18">
        <v>1000</v>
      </c>
      <c r="K405" s="21" t="str">
        <f t="shared" si="13"/>
        <v>Medium</v>
      </c>
      <c r="L405" s="18">
        <f>YEAR(B405)</f>
        <v>2023</v>
      </c>
      <c r="M405" s="18">
        <f>ROUNDUP(MONTH(B405)/3,0)</f>
        <v>2</v>
      </c>
      <c r="N405" s="20" t="str">
        <f>TEXT(B405,"dddd")</f>
        <v>Thursday</v>
      </c>
      <c r="O405" s="20" t="str">
        <f>TEXT(B405,"mmmm")</f>
        <v>May</v>
      </c>
    </row>
    <row r="406" spans="1:15" x14ac:dyDescent="0.3">
      <c r="A406" s="18">
        <v>405</v>
      </c>
      <c r="B406" s="19">
        <v>45236</v>
      </c>
      <c r="C406" s="20" t="s">
        <v>413</v>
      </c>
      <c r="D406" s="20" t="s">
        <v>8</v>
      </c>
      <c r="E406" s="18">
        <v>25</v>
      </c>
      <c r="F406" s="18" t="str">
        <f t="shared" si="12"/>
        <v>Young</v>
      </c>
      <c r="G406" s="20" t="s">
        <v>9</v>
      </c>
      <c r="H406" s="18">
        <v>4</v>
      </c>
      <c r="I406" s="18">
        <v>300</v>
      </c>
      <c r="J406" s="18">
        <v>1200</v>
      </c>
      <c r="K406" s="21" t="str">
        <f t="shared" si="13"/>
        <v>Medium</v>
      </c>
      <c r="L406" s="18">
        <f>YEAR(B406)</f>
        <v>2023</v>
      </c>
      <c r="M406" s="18">
        <f>ROUNDUP(MONTH(B406)/3,0)</f>
        <v>4</v>
      </c>
      <c r="N406" s="20" t="str">
        <f>TEXT(B406,"dddd")</f>
        <v>Monday</v>
      </c>
      <c r="O406" s="20" t="str">
        <f>TEXT(B406,"mmmm")</f>
        <v>November</v>
      </c>
    </row>
    <row r="407" spans="1:15" x14ac:dyDescent="0.3">
      <c r="A407" s="18">
        <v>406</v>
      </c>
      <c r="B407" s="19">
        <v>45034</v>
      </c>
      <c r="C407" s="20" t="s">
        <v>414</v>
      </c>
      <c r="D407" s="20" t="s">
        <v>8</v>
      </c>
      <c r="E407" s="18">
        <v>22</v>
      </c>
      <c r="F407" s="18" t="str">
        <f t="shared" si="12"/>
        <v>Young</v>
      </c>
      <c r="G407" s="20" t="s">
        <v>6</v>
      </c>
      <c r="H407" s="18">
        <v>4</v>
      </c>
      <c r="I407" s="18">
        <v>25</v>
      </c>
      <c r="J407" s="18">
        <v>100</v>
      </c>
      <c r="K407" s="21" t="str">
        <f t="shared" si="13"/>
        <v>Low</v>
      </c>
      <c r="L407" s="18">
        <f>YEAR(B407)</f>
        <v>2023</v>
      </c>
      <c r="M407" s="18">
        <f>ROUNDUP(MONTH(B407)/3,0)</f>
        <v>2</v>
      </c>
      <c r="N407" s="20" t="str">
        <f>TEXT(B407,"dddd")</f>
        <v>Tuesday</v>
      </c>
      <c r="O407" s="20" t="str">
        <f>TEXT(B407,"mmmm")</f>
        <v>April</v>
      </c>
    </row>
    <row r="408" spans="1:15" x14ac:dyDescent="0.3">
      <c r="A408" s="18">
        <v>407</v>
      </c>
      <c r="B408" s="19">
        <v>45102</v>
      </c>
      <c r="C408" s="20" t="s">
        <v>415</v>
      </c>
      <c r="D408" s="20" t="s">
        <v>8</v>
      </c>
      <c r="E408" s="18">
        <v>46</v>
      </c>
      <c r="F408" s="18" t="str">
        <f t="shared" si="12"/>
        <v>Adult</v>
      </c>
      <c r="G408" s="20" t="s">
        <v>11</v>
      </c>
      <c r="H408" s="18">
        <v>3</v>
      </c>
      <c r="I408" s="18">
        <v>300</v>
      </c>
      <c r="J408" s="18">
        <v>900</v>
      </c>
      <c r="K408" s="21" t="str">
        <f t="shared" si="13"/>
        <v>Medium</v>
      </c>
      <c r="L408" s="18">
        <f>YEAR(B408)</f>
        <v>2023</v>
      </c>
      <c r="M408" s="18">
        <f>ROUNDUP(MONTH(B408)/3,0)</f>
        <v>2</v>
      </c>
      <c r="N408" s="20" t="str">
        <f>TEXT(B408,"dddd")</f>
        <v>Sunday</v>
      </c>
      <c r="O408" s="20" t="str">
        <f>TEXT(B408,"mmmm")</f>
        <v>June</v>
      </c>
    </row>
    <row r="409" spans="1:15" x14ac:dyDescent="0.3">
      <c r="A409" s="18">
        <v>408</v>
      </c>
      <c r="B409" s="19">
        <v>45031</v>
      </c>
      <c r="C409" s="20" t="s">
        <v>416</v>
      </c>
      <c r="D409" s="20" t="s">
        <v>8</v>
      </c>
      <c r="E409" s="18">
        <v>64</v>
      </c>
      <c r="F409" s="18" t="str">
        <f t="shared" si="12"/>
        <v>Senior</v>
      </c>
      <c r="G409" s="20" t="s">
        <v>6</v>
      </c>
      <c r="H409" s="18">
        <v>1</v>
      </c>
      <c r="I409" s="18">
        <v>500</v>
      </c>
      <c r="J409" s="18">
        <v>500</v>
      </c>
      <c r="K409" s="21" t="str">
        <f t="shared" si="13"/>
        <v>Low</v>
      </c>
      <c r="L409" s="18">
        <f>YEAR(B409)</f>
        <v>2023</v>
      </c>
      <c r="M409" s="18">
        <f>ROUNDUP(MONTH(B409)/3,0)</f>
        <v>2</v>
      </c>
      <c r="N409" s="20" t="str">
        <f>TEXT(B409,"dddd")</f>
        <v>Saturday</v>
      </c>
      <c r="O409" s="20" t="str">
        <f>TEXT(B409,"mmmm")</f>
        <v>April</v>
      </c>
    </row>
    <row r="410" spans="1:15" x14ac:dyDescent="0.3">
      <c r="A410" s="18">
        <v>409</v>
      </c>
      <c r="B410" s="19">
        <v>45278</v>
      </c>
      <c r="C410" s="20" t="s">
        <v>417</v>
      </c>
      <c r="D410" s="20" t="s">
        <v>8</v>
      </c>
      <c r="E410" s="18">
        <v>21</v>
      </c>
      <c r="F410" s="18" t="str">
        <f t="shared" si="12"/>
        <v>Young</v>
      </c>
      <c r="G410" s="20" t="s">
        <v>11</v>
      </c>
      <c r="H410" s="18">
        <v>3</v>
      </c>
      <c r="I410" s="18">
        <v>300</v>
      </c>
      <c r="J410" s="18">
        <v>900</v>
      </c>
      <c r="K410" s="21" t="str">
        <f t="shared" si="13"/>
        <v>Medium</v>
      </c>
      <c r="L410" s="18">
        <f>YEAR(B410)</f>
        <v>2023</v>
      </c>
      <c r="M410" s="18">
        <f>ROUNDUP(MONTH(B410)/3,0)</f>
        <v>4</v>
      </c>
      <c r="N410" s="20" t="str">
        <f>TEXT(B410,"dddd")</f>
        <v>Monday</v>
      </c>
      <c r="O410" s="20" t="str">
        <f>TEXT(B410,"mmmm")</f>
        <v>December</v>
      </c>
    </row>
    <row r="411" spans="1:15" x14ac:dyDescent="0.3">
      <c r="A411" s="18">
        <v>410</v>
      </c>
      <c r="B411" s="19">
        <v>45251</v>
      </c>
      <c r="C411" s="20" t="s">
        <v>418</v>
      </c>
      <c r="D411" s="20" t="s">
        <v>8</v>
      </c>
      <c r="E411" s="18">
        <v>29</v>
      </c>
      <c r="F411" s="18" t="str">
        <f t="shared" si="12"/>
        <v>Young</v>
      </c>
      <c r="G411" s="20" t="s">
        <v>9</v>
      </c>
      <c r="H411" s="18">
        <v>2</v>
      </c>
      <c r="I411" s="18">
        <v>50</v>
      </c>
      <c r="J411" s="18">
        <v>100</v>
      </c>
      <c r="K411" s="21" t="str">
        <f t="shared" si="13"/>
        <v>Low</v>
      </c>
      <c r="L411" s="18">
        <f>YEAR(B411)</f>
        <v>2023</v>
      </c>
      <c r="M411" s="18">
        <f>ROUNDUP(MONTH(B411)/3,0)</f>
        <v>4</v>
      </c>
      <c r="N411" s="20" t="str">
        <f>TEXT(B411,"dddd")</f>
        <v>Tuesday</v>
      </c>
      <c r="O411" s="20" t="str">
        <f>TEXT(B411,"mmmm")</f>
        <v>November</v>
      </c>
    </row>
    <row r="412" spans="1:15" x14ac:dyDescent="0.3">
      <c r="A412" s="18">
        <v>411</v>
      </c>
      <c r="B412" s="19">
        <v>45062</v>
      </c>
      <c r="C412" s="20" t="s">
        <v>419</v>
      </c>
      <c r="D412" s="20" t="s">
        <v>5</v>
      </c>
      <c r="E412" s="18">
        <v>62</v>
      </c>
      <c r="F412" s="18" t="str">
        <f t="shared" si="12"/>
        <v>Senior</v>
      </c>
      <c r="G412" s="20" t="s">
        <v>11</v>
      </c>
      <c r="H412" s="18">
        <v>4</v>
      </c>
      <c r="I412" s="18">
        <v>50</v>
      </c>
      <c r="J412" s="18">
        <v>200</v>
      </c>
      <c r="K412" s="21" t="str">
        <f t="shared" si="13"/>
        <v>Low</v>
      </c>
      <c r="L412" s="18">
        <f>YEAR(B412)</f>
        <v>2023</v>
      </c>
      <c r="M412" s="18">
        <f>ROUNDUP(MONTH(B412)/3,0)</f>
        <v>2</v>
      </c>
      <c r="N412" s="20" t="str">
        <f>TEXT(B412,"dddd")</f>
        <v>Tuesday</v>
      </c>
      <c r="O412" s="20" t="str">
        <f>TEXT(B412,"mmmm")</f>
        <v>May</v>
      </c>
    </row>
    <row r="413" spans="1:15" x14ac:dyDescent="0.3">
      <c r="A413" s="18">
        <v>412</v>
      </c>
      <c r="B413" s="19">
        <v>45185</v>
      </c>
      <c r="C413" s="20" t="s">
        <v>420</v>
      </c>
      <c r="D413" s="20" t="s">
        <v>8</v>
      </c>
      <c r="E413" s="18">
        <v>19</v>
      </c>
      <c r="F413" s="18" t="str">
        <f t="shared" si="12"/>
        <v>Young</v>
      </c>
      <c r="G413" s="20" t="s">
        <v>11</v>
      </c>
      <c r="H413" s="18">
        <v>4</v>
      </c>
      <c r="I413" s="18">
        <v>500</v>
      </c>
      <c r="J413" s="18">
        <v>2000</v>
      </c>
      <c r="K413" s="21" t="str">
        <f t="shared" si="13"/>
        <v>High</v>
      </c>
      <c r="L413" s="18">
        <f>YEAR(B413)</f>
        <v>2023</v>
      </c>
      <c r="M413" s="18">
        <f>ROUNDUP(MONTH(B413)/3,0)</f>
        <v>3</v>
      </c>
      <c r="N413" s="20" t="str">
        <f>TEXT(B413,"dddd")</f>
        <v>Saturday</v>
      </c>
      <c r="O413" s="20" t="str">
        <f>TEXT(B413,"mmmm")</f>
        <v>September</v>
      </c>
    </row>
    <row r="414" spans="1:15" x14ac:dyDescent="0.3">
      <c r="A414" s="18">
        <v>413</v>
      </c>
      <c r="B414" s="19">
        <v>45177</v>
      </c>
      <c r="C414" s="20" t="s">
        <v>421</v>
      </c>
      <c r="D414" s="20" t="s">
        <v>8</v>
      </c>
      <c r="E414" s="18">
        <v>44</v>
      </c>
      <c r="F414" s="18" t="str">
        <f t="shared" si="12"/>
        <v>Adult</v>
      </c>
      <c r="G414" s="20" t="s">
        <v>6</v>
      </c>
      <c r="H414" s="18">
        <v>3</v>
      </c>
      <c r="I414" s="18">
        <v>25</v>
      </c>
      <c r="J414" s="18">
        <v>75</v>
      </c>
      <c r="K414" s="21" t="str">
        <f t="shared" si="13"/>
        <v>Low</v>
      </c>
      <c r="L414" s="18">
        <f>YEAR(B414)</f>
        <v>2023</v>
      </c>
      <c r="M414" s="18">
        <f>ROUNDUP(MONTH(B414)/3,0)</f>
        <v>3</v>
      </c>
      <c r="N414" s="20" t="str">
        <f>TEXT(B414,"dddd")</f>
        <v>Friday</v>
      </c>
      <c r="O414" s="20" t="str">
        <f>TEXT(B414,"mmmm")</f>
        <v>September</v>
      </c>
    </row>
    <row r="415" spans="1:15" x14ac:dyDescent="0.3">
      <c r="A415" s="18">
        <v>414</v>
      </c>
      <c r="B415" s="19">
        <v>45055</v>
      </c>
      <c r="C415" s="20" t="s">
        <v>422</v>
      </c>
      <c r="D415" s="20" t="s">
        <v>5</v>
      </c>
      <c r="E415" s="18">
        <v>48</v>
      </c>
      <c r="F415" s="18" t="str">
        <f t="shared" si="12"/>
        <v>Adult</v>
      </c>
      <c r="G415" s="20" t="s">
        <v>6</v>
      </c>
      <c r="H415" s="18">
        <v>4</v>
      </c>
      <c r="I415" s="18">
        <v>25</v>
      </c>
      <c r="J415" s="18">
        <v>100</v>
      </c>
      <c r="K415" s="21" t="str">
        <f t="shared" si="13"/>
        <v>Low</v>
      </c>
      <c r="L415" s="18">
        <f>YEAR(B415)</f>
        <v>2023</v>
      </c>
      <c r="M415" s="18">
        <f>ROUNDUP(MONTH(B415)/3,0)</f>
        <v>2</v>
      </c>
      <c r="N415" s="20" t="str">
        <f>TEXT(B415,"dddd")</f>
        <v>Tuesday</v>
      </c>
      <c r="O415" s="20" t="str">
        <f>TEXT(B415,"mmmm")</f>
        <v>May</v>
      </c>
    </row>
    <row r="416" spans="1:15" x14ac:dyDescent="0.3">
      <c r="A416" s="18">
        <v>415</v>
      </c>
      <c r="B416" s="19">
        <v>44953</v>
      </c>
      <c r="C416" s="20" t="s">
        <v>423</v>
      </c>
      <c r="D416" s="20" t="s">
        <v>5</v>
      </c>
      <c r="E416" s="18">
        <v>53</v>
      </c>
      <c r="F416" s="18" t="str">
        <f t="shared" si="12"/>
        <v>Adult</v>
      </c>
      <c r="G416" s="20" t="s">
        <v>9</v>
      </c>
      <c r="H416" s="18">
        <v>2</v>
      </c>
      <c r="I416" s="18">
        <v>30</v>
      </c>
      <c r="J416" s="18">
        <v>60</v>
      </c>
      <c r="K416" s="21" t="str">
        <f t="shared" si="13"/>
        <v>Low</v>
      </c>
      <c r="L416" s="18">
        <f>YEAR(B416)</f>
        <v>2023</v>
      </c>
      <c r="M416" s="18">
        <f>ROUNDUP(MONTH(B416)/3,0)</f>
        <v>1</v>
      </c>
      <c r="N416" s="20" t="str">
        <f>TEXT(B416,"dddd")</f>
        <v>Friday</v>
      </c>
      <c r="O416" s="20" t="str">
        <f>TEXT(B416,"mmmm")</f>
        <v>January</v>
      </c>
    </row>
    <row r="417" spans="1:15" x14ac:dyDescent="0.3">
      <c r="A417" s="18">
        <v>416</v>
      </c>
      <c r="B417" s="19">
        <v>44974</v>
      </c>
      <c r="C417" s="20" t="s">
        <v>424</v>
      </c>
      <c r="D417" s="20" t="s">
        <v>5</v>
      </c>
      <c r="E417" s="18">
        <v>53</v>
      </c>
      <c r="F417" s="18" t="str">
        <f t="shared" si="12"/>
        <v>Adult</v>
      </c>
      <c r="G417" s="20" t="s">
        <v>11</v>
      </c>
      <c r="H417" s="18">
        <v>4</v>
      </c>
      <c r="I417" s="18">
        <v>500</v>
      </c>
      <c r="J417" s="18">
        <v>2000</v>
      </c>
      <c r="K417" s="21" t="str">
        <f t="shared" si="13"/>
        <v>High</v>
      </c>
      <c r="L417" s="18">
        <f>YEAR(B417)</f>
        <v>2023</v>
      </c>
      <c r="M417" s="18">
        <f>ROUNDUP(MONTH(B417)/3,0)</f>
        <v>1</v>
      </c>
      <c r="N417" s="20" t="str">
        <f>TEXT(B417,"dddd")</f>
        <v>Friday</v>
      </c>
      <c r="O417" s="20" t="str">
        <f>TEXT(B417,"mmmm")</f>
        <v>February</v>
      </c>
    </row>
    <row r="418" spans="1:15" x14ac:dyDescent="0.3">
      <c r="A418" s="18">
        <v>417</v>
      </c>
      <c r="B418" s="19">
        <v>45251</v>
      </c>
      <c r="C418" s="20" t="s">
        <v>425</v>
      </c>
      <c r="D418" s="20" t="s">
        <v>5</v>
      </c>
      <c r="E418" s="18">
        <v>43</v>
      </c>
      <c r="F418" s="18" t="str">
        <f t="shared" si="12"/>
        <v>Adult</v>
      </c>
      <c r="G418" s="20" t="s">
        <v>11</v>
      </c>
      <c r="H418" s="18">
        <v>3</v>
      </c>
      <c r="I418" s="18">
        <v>300</v>
      </c>
      <c r="J418" s="18">
        <v>900</v>
      </c>
      <c r="K418" s="21" t="str">
        <f t="shared" si="13"/>
        <v>Medium</v>
      </c>
      <c r="L418" s="18">
        <f>YEAR(B418)</f>
        <v>2023</v>
      </c>
      <c r="M418" s="18">
        <f>ROUNDUP(MONTH(B418)/3,0)</f>
        <v>4</v>
      </c>
      <c r="N418" s="20" t="str">
        <f>TEXT(B418,"dddd")</f>
        <v>Tuesday</v>
      </c>
      <c r="O418" s="20" t="str">
        <f>TEXT(B418,"mmmm")</f>
        <v>November</v>
      </c>
    </row>
    <row r="419" spans="1:15" x14ac:dyDescent="0.3">
      <c r="A419" s="18">
        <v>418</v>
      </c>
      <c r="B419" s="19">
        <v>45143</v>
      </c>
      <c r="C419" s="20" t="s">
        <v>426</v>
      </c>
      <c r="D419" s="20" t="s">
        <v>8</v>
      </c>
      <c r="E419" s="18">
        <v>60</v>
      </c>
      <c r="F419" s="18" t="str">
        <f t="shared" si="12"/>
        <v>Adult</v>
      </c>
      <c r="G419" s="20" t="s">
        <v>11</v>
      </c>
      <c r="H419" s="18">
        <v>2</v>
      </c>
      <c r="I419" s="18">
        <v>500</v>
      </c>
      <c r="J419" s="18">
        <v>1000</v>
      </c>
      <c r="K419" s="21" t="str">
        <f t="shared" si="13"/>
        <v>Medium</v>
      </c>
      <c r="L419" s="18">
        <f>YEAR(B419)</f>
        <v>2023</v>
      </c>
      <c r="M419" s="18">
        <f>ROUNDUP(MONTH(B419)/3,0)</f>
        <v>3</v>
      </c>
      <c r="N419" s="20" t="str">
        <f>TEXT(B419,"dddd")</f>
        <v>Saturday</v>
      </c>
      <c r="O419" s="20" t="str">
        <f>TEXT(B419,"mmmm")</f>
        <v>August</v>
      </c>
    </row>
    <row r="420" spans="1:15" x14ac:dyDescent="0.3">
      <c r="A420" s="18">
        <v>419</v>
      </c>
      <c r="B420" s="19">
        <v>45068</v>
      </c>
      <c r="C420" s="20" t="s">
        <v>427</v>
      </c>
      <c r="D420" s="20" t="s">
        <v>8</v>
      </c>
      <c r="E420" s="18">
        <v>44</v>
      </c>
      <c r="F420" s="18" t="str">
        <f t="shared" si="12"/>
        <v>Adult</v>
      </c>
      <c r="G420" s="20" t="s">
        <v>9</v>
      </c>
      <c r="H420" s="18">
        <v>3</v>
      </c>
      <c r="I420" s="18">
        <v>30</v>
      </c>
      <c r="J420" s="18">
        <v>90</v>
      </c>
      <c r="K420" s="21" t="str">
        <f t="shared" si="13"/>
        <v>Low</v>
      </c>
      <c r="L420" s="18">
        <f>YEAR(B420)</f>
        <v>2023</v>
      </c>
      <c r="M420" s="18">
        <f>ROUNDUP(MONTH(B420)/3,0)</f>
        <v>2</v>
      </c>
      <c r="N420" s="20" t="str">
        <f>TEXT(B420,"dddd")</f>
        <v>Monday</v>
      </c>
      <c r="O420" s="20" t="str">
        <f>TEXT(B420,"mmmm")</f>
        <v>May</v>
      </c>
    </row>
    <row r="421" spans="1:15" x14ac:dyDescent="0.3">
      <c r="A421" s="18">
        <v>420</v>
      </c>
      <c r="B421" s="19">
        <v>44949</v>
      </c>
      <c r="C421" s="20" t="s">
        <v>428</v>
      </c>
      <c r="D421" s="20" t="s">
        <v>8</v>
      </c>
      <c r="E421" s="18">
        <v>22</v>
      </c>
      <c r="F421" s="18" t="str">
        <f t="shared" si="12"/>
        <v>Young</v>
      </c>
      <c r="G421" s="20" t="s">
        <v>9</v>
      </c>
      <c r="H421" s="18">
        <v>4</v>
      </c>
      <c r="I421" s="18">
        <v>500</v>
      </c>
      <c r="J421" s="18">
        <v>2000</v>
      </c>
      <c r="K421" s="21" t="str">
        <f t="shared" si="13"/>
        <v>High</v>
      </c>
      <c r="L421" s="18">
        <f>YEAR(B421)</f>
        <v>2023</v>
      </c>
      <c r="M421" s="18">
        <f>ROUNDUP(MONTH(B421)/3,0)</f>
        <v>1</v>
      </c>
      <c r="N421" s="20" t="str">
        <f>TEXT(B421,"dddd")</f>
        <v>Monday</v>
      </c>
      <c r="O421" s="20" t="str">
        <f>TEXT(B421,"mmmm")</f>
        <v>January</v>
      </c>
    </row>
    <row r="422" spans="1:15" x14ac:dyDescent="0.3">
      <c r="A422" s="18">
        <v>421</v>
      </c>
      <c r="B422" s="19">
        <v>44928</v>
      </c>
      <c r="C422" s="20" t="s">
        <v>429</v>
      </c>
      <c r="D422" s="20" t="s">
        <v>8</v>
      </c>
      <c r="E422" s="18">
        <v>37</v>
      </c>
      <c r="F422" s="18" t="str">
        <f t="shared" si="12"/>
        <v>Adult</v>
      </c>
      <c r="G422" s="20" t="s">
        <v>9</v>
      </c>
      <c r="H422" s="18">
        <v>3</v>
      </c>
      <c r="I422" s="18">
        <v>500</v>
      </c>
      <c r="J422" s="18">
        <v>1500</v>
      </c>
      <c r="K422" s="21" t="str">
        <f t="shared" si="13"/>
        <v>Medium</v>
      </c>
      <c r="L422" s="18">
        <f>YEAR(B422)</f>
        <v>2023</v>
      </c>
      <c r="M422" s="18">
        <f>ROUNDUP(MONTH(B422)/3,0)</f>
        <v>1</v>
      </c>
      <c r="N422" s="20" t="str">
        <f>TEXT(B422,"dddd")</f>
        <v>Monday</v>
      </c>
      <c r="O422" s="20" t="str">
        <f>TEXT(B422,"mmmm")</f>
        <v>January</v>
      </c>
    </row>
    <row r="423" spans="1:15" x14ac:dyDescent="0.3">
      <c r="A423" s="18">
        <v>422</v>
      </c>
      <c r="B423" s="19">
        <v>45097</v>
      </c>
      <c r="C423" s="20" t="s">
        <v>430</v>
      </c>
      <c r="D423" s="20" t="s">
        <v>8</v>
      </c>
      <c r="E423" s="18">
        <v>28</v>
      </c>
      <c r="F423" s="18" t="str">
        <f t="shared" si="12"/>
        <v>Young</v>
      </c>
      <c r="G423" s="20" t="s">
        <v>9</v>
      </c>
      <c r="H423" s="18">
        <v>3</v>
      </c>
      <c r="I423" s="18">
        <v>30</v>
      </c>
      <c r="J423" s="18">
        <v>90</v>
      </c>
      <c r="K423" s="21" t="str">
        <f t="shared" si="13"/>
        <v>Low</v>
      </c>
      <c r="L423" s="18">
        <f>YEAR(B423)</f>
        <v>2023</v>
      </c>
      <c r="M423" s="18">
        <f>ROUNDUP(MONTH(B423)/3,0)</f>
        <v>2</v>
      </c>
      <c r="N423" s="20" t="str">
        <f>TEXT(B423,"dddd")</f>
        <v>Tuesday</v>
      </c>
      <c r="O423" s="20" t="str">
        <f>TEXT(B423,"mmmm")</f>
        <v>June</v>
      </c>
    </row>
    <row r="424" spans="1:15" x14ac:dyDescent="0.3">
      <c r="A424" s="18">
        <v>423</v>
      </c>
      <c r="B424" s="19">
        <v>44993</v>
      </c>
      <c r="C424" s="20" t="s">
        <v>431</v>
      </c>
      <c r="D424" s="20" t="s">
        <v>8</v>
      </c>
      <c r="E424" s="18">
        <v>27</v>
      </c>
      <c r="F424" s="18" t="str">
        <f t="shared" si="12"/>
        <v>Young</v>
      </c>
      <c r="G424" s="20" t="s">
        <v>9</v>
      </c>
      <c r="H424" s="18">
        <v>1</v>
      </c>
      <c r="I424" s="18">
        <v>25</v>
      </c>
      <c r="J424" s="18">
        <v>25</v>
      </c>
      <c r="K424" s="21" t="str">
        <f t="shared" si="13"/>
        <v>Low</v>
      </c>
      <c r="L424" s="18">
        <f>YEAR(B424)</f>
        <v>2023</v>
      </c>
      <c r="M424" s="18">
        <f>ROUNDUP(MONTH(B424)/3,0)</f>
        <v>1</v>
      </c>
      <c r="N424" s="20" t="str">
        <f>TEXT(B424,"dddd")</f>
        <v>Wednesday</v>
      </c>
      <c r="O424" s="20" t="str">
        <f>TEXT(B424,"mmmm")</f>
        <v>March</v>
      </c>
    </row>
    <row r="425" spans="1:15" x14ac:dyDescent="0.3">
      <c r="A425" s="18">
        <v>424</v>
      </c>
      <c r="B425" s="19">
        <v>45253</v>
      </c>
      <c r="C425" s="20" t="s">
        <v>432</v>
      </c>
      <c r="D425" s="20" t="s">
        <v>5</v>
      </c>
      <c r="E425" s="18">
        <v>57</v>
      </c>
      <c r="F425" s="18" t="str">
        <f t="shared" si="12"/>
        <v>Adult</v>
      </c>
      <c r="G425" s="20" t="s">
        <v>6</v>
      </c>
      <c r="H425" s="18">
        <v>4</v>
      </c>
      <c r="I425" s="18">
        <v>300</v>
      </c>
      <c r="J425" s="18">
        <v>1200</v>
      </c>
      <c r="K425" s="21" t="str">
        <f t="shared" si="13"/>
        <v>Medium</v>
      </c>
      <c r="L425" s="18">
        <f>YEAR(B425)</f>
        <v>2023</v>
      </c>
      <c r="M425" s="18">
        <f>ROUNDUP(MONTH(B425)/3,0)</f>
        <v>4</v>
      </c>
      <c r="N425" s="20" t="str">
        <f>TEXT(B425,"dddd")</f>
        <v>Thursday</v>
      </c>
      <c r="O425" s="20" t="str">
        <f>TEXT(B425,"mmmm")</f>
        <v>November</v>
      </c>
    </row>
    <row r="426" spans="1:15" x14ac:dyDescent="0.3">
      <c r="A426" s="18">
        <v>425</v>
      </c>
      <c r="B426" s="19">
        <v>45061</v>
      </c>
      <c r="C426" s="20" t="s">
        <v>433</v>
      </c>
      <c r="D426" s="20" t="s">
        <v>8</v>
      </c>
      <c r="E426" s="18">
        <v>55</v>
      </c>
      <c r="F426" s="18" t="str">
        <f t="shared" si="12"/>
        <v>Adult</v>
      </c>
      <c r="G426" s="20" t="s">
        <v>11</v>
      </c>
      <c r="H426" s="18">
        <v>4</v>
      </c>
      <c r="I426" s="18">
        <v>30</v>
      </c>
      <c r="J426" s="18">
        <v>120</v>
      </c>
      <c r="K426" s="21" t="str">
        <f t="shared" si="13"/>
        <v>Low</v>
      </c>
      <c r="L426" s="18">
        <f>YEAR(B426)</f>
        <v>2023</v>
      </c>
      <c r="M426" s="18">
        <f>ROUNDUP(MONTH(B426)/3,0)</f>
        <v>2</v>
      </c>
      <c r="N426" s="20" t="str">
        <f>TEXT(B426,"dddd")</f>
        <v>Monday</v>
      </c>
      <c r="O426" s="20" t="str">
        <f>TEXT(B426,"mmmm")</f>
        <v>May</v>
      </c>
    </row>
    <row r="427" spans="1:15" x14ac:dyDescent="0.3">
      <c r="A427" s="18">
        <v>426</v>
      </c>
      <c r="B427" s="19">
        <v>45009</v>
      </c>
      <c r="C427" s="20" t="s">
        <v>434</v>
      </c>
      <c r="D427" s="20" t="s">
        <v>5</v>
      </c>
      <c r="E427" s="18">
        <v>23</v>
      </c>
      <c r="F427" s="18" t="str">
        <f t="shared" si="12"/>
        <v>Young</v>
      </c>
      <c r="G427" s="20" t="s">
        <v>11</v>
      </c>
      <c r="H427" s="18">
        <v>3</v>
      </c>
      <c r="I427" s="18">
        <v>50</v>
      </c>
      <c r="J427" s="18">
        <v>150</v>
      </c>
      <c r="K427" s="21" t="str">
        <f t="shared" si="13"/>
        <v>Low</v>
      </c>
      <c r="L427" s="18">
        <f>YEAR(B427)</f>
        <v>2023</v>
      </c>
      <c r="M427" s="18">
        <f>ROUNDUP(MONTH(B427)/3,0)</f>
        <v>1</v>
      </c>
      <c r="N427" s="20" t="str">
        <f>TEXT(B427,"dddd")</f>
        <v>Friday</v>
      </c>
      <c r="O427" s="20" t="str">
        <f>TEXT(B427,"mmmm")</f>
        <v>March</v>
      </c>
    </row>
    <row r="428" spans="1:15" x14ac:dyDescent="0.3">
      <c r="A428" s="18">
        <v>427</v>
      </c>
      <c r="B428" s="19">
        <v>45153</v>
      </c>
      <c r="C428" s="20" t="s">
        <v>435</v>
      </c>
      <c r="D428" s="20" t="s">
        <v>5</v>
      </c>
      <c r="E428" s="18">
        <v>25</v>
      </c>
      <c r="F428" s="18" t="str">
        <f t="shared" si="12"/>
        <v>Young</v>
      </c>
      <c r="G428" s="20" t="s">
        <v>11</v>
      </c>
      <c r="H428" s="18">
        <v>1</v>
      </c>
      <c r="I428" s="18">
        <v>25</v>
      </c>
      <c r="J428" s="18">
        <v>25</v>
      </c>
      <c r="K428" s="21" t="str">
        <f t="shared" si="13"/>
        <v>Low</v>
      </c>
      <c r="L428" s="18">
        <f>YEAR(B428)</f>
        <v>2023</v>
      </c>
      <c r="M428" s="18">
        <f>ROUNDUP(MONTH(B428)/3,0)</f>
        <v>3</v>
      </c>
      <c r="N428" s="20" t="str">
        <f>TEXT(B428,"dddd")</f>
        <v>Tuesday</v>
      </c>
      <c r="O428" s="20" t="str">
        <f>TEXT(B428,"mmmm")</f>
        <v>August</v>
      </c>
    </row>
    <row r="429" spans="1:15" x14ac:dyDescent="0.3">
      <c r="A429" s="18">
        <v>428</v>
      </c>
      <c r="B429" s="19">
        <v>45209</v>
      </c>
      <c r="C429" s="20" t="s">
        <v>436</v>
      </c>
      <c r="D429" s="20" t="s">
        <v>8</v>
      </c>
      <c r="E429" s="18">
        <v>40</v>
      </c>
      <c r="F429" s="18" t="str">
        <f t="shared" si="12"/>
        <v>Adult</v>
      </c>
      <c r="G429" s="20" t="s">
        <v>11</v>
      </c>
      <c r="H429" s="18">
        <v>4</v>
      </c>
      <c r="I429" s="18">
        <v>50</v>
      </c>
      <c r="J429" s="18">
        <v>200</v>
      </c>
      <c r="K429" s="21" t="str">
        <f t="shared" si="13"/>
        <v>Low</v>
      </c>
      <c r="L429" s="18">
        <f>YEAR(B429)</f>
        <v>2023</v>
      </c>
      <c r="M429" s="18">
        <f>ROUNDUP(MONTH(B429)/3,0)</f>
        <v>4</v>
      </c>
      <c r="N429" s="20" t="str">
        <f>TEXT(B429,"dddd")</f>
        <v>Tuesday</v>
      </c>
      <c r="O429" s="20" t="str">
        <f>TEXT(B429,"mmmm")</f>
        <v>October</v>
      </c>
    </row>
    <row r="430" spans="1:15" x14ac:dyDescent="0.3">
      <c r="A430" s="18">
        <v>429</v>
      </c>
      <c r="B430" s="19">
        <v>45288</v>
      </c>
      <c r="C430" s="20" t="s">
        <v>437</v>
      </c>
      <c r="D430" s="20" t="s">
        <v>5</v>
      </c>
      <c r="E430" s="18">
        <v>64</v>
      </c>
      <c r="F430" s="18" t="str">
        <f t="shared" si="12"/>
        <v>Senior</v>
      </c>
      <c r="G430" s="20" t="s">
        <v>11</v>
      </c>
      <c r="H430" s="18">
        <v>2</v>
      </c>
      <c r="I430" s="18">
        <v>25</v>
      </c>
      <c r="J430" s="18">
        <v>50</v>
      </c>
      <c r="K430" s="21" t="str">
        <f t="shared" si="13"/>
        <v>Low</v>
      </c>
      <c r="L430" s="18">
        <f>YEAR(B430)</f>
        <v>2023</v>
      </c>
      <c r="M430" s="18">
        <f>ROUNDUP(MONTH(B430)/3,0)</f>
        <v>4</v>
      </c>
      <c r="N430" s="20" t="str">
        <f>TEXT(B430,"dddd")</f>
        <v>Thursday</v>
      </c>
      <c r="O430" s="20" t="str">
        <f>TEXT(B430,"mmmm")</f>
        <v>December</v>
      </c>
    </row>
    <row r="431" spans="1:15" x14ac:dyDescent="0.3">
      <c r="A431" s="18">
        <v>430</v>
      </c>
      <c r="B431" s="19">
        <v>45145</v>
      </c>
      <c r="C431" s="20" t="s">
        <v>438</v>
      </c>
      <c r="D431" s="20" t="s">
        <v>8</v>
      </c>
      <c r="E431" s="18">
        <v>43</v>
      </c>
      <c r="F431" s="18" t="str">
        <f t="shared" si="12"/>
        <v>Adult</v>
      </c>
      <c r="G431" s="20" t="s">
        <v>11</v>
      </c>
      <c r="H431" s="18">
        <v>3</v>
      </c>
      <c r="I431" s="18">
        <v>300</v>
      </c>
      <c r="J431" s="18">
        <v>900</v>
      </c>
      <c r="K431" s="21" t="str">
        <f t="shared" si="13"/>
        <v>Medium</v>
      </c>
      <c r="L431" s="18">
        <f>YEAR(B431)</f>
        <v>2023</v>
      </c>
      <c r="M431" s="18">
        <f>ROUNDUP(MONTH(B431)/3,0)</f>
        <v>3</v>
      </c>
      <c r="N431" s="20" t="str">
        <f>TEXT(B431,"dddd")</f>
        <v>Monday</v>
      </c>
      <c r="O431" s="20" t="str">
        <f>TEXT(B431,"mmmm")</f>
        <v>August</v>
      </c>
    </row>
    <row r="432" spans="1:15" x14ac:dyDescent="0.3">
      <c r="A432" s="18">
        <v>431</v>
      </c>
      <c r="B432" s="19">
        <v>45214</v>
      </c>
      <c r="C432" s="20" t="s">
        <v>439</v>
      </c>
      <c r="D432" s="20" t="s">
        <v>5</v>
      </c>
      <c r="E432" s="18">
        <v>63</v>
      </c>
      <c r="F432" s="18" t="str">
        <f t="shared" si="12"/>
        <v>Senior</v>
      </c>
      <c r="G432" s="20" t="s">
        <v>11</v>
      </c>
      <c r="H432" s="18">
        <v>4</v>
      </c>
      <c r="I432" s="18">
        <v>300</v>
      </c>
      <c r="J432" s="18">
        <v>1200</v>
      </c>
      <c r="K432" s="21" t="str">
        <f t="shared" si="13"/>
        <v>Medium</v>
      </c>
      <c r="L432" s="18">
        <f>YEAR(B432)</f>
        <v>2023</v>
      </c>
      <c r="M432" s="18">
        <f>ROUNDUP(MONTH(B432)/3,0)</f>
        <v>4</v>
      </c>
      <c r="N432" s="20" t="str">
        <f>TEXT(B432,"dddd")</f>
        <v>Sunday</v>
      </c>
      <c r="O432" s="20" t="str">
        <f>TEXT(B432,"mmmm")</f>
        <v>October</v>
      </c>
    </row>
    <row r="433" spans="1:15" x14ac:dyDescent="0.3">
      <c r="A433" s="18">
        <v>432</v>
      </c>
      <c r="B433" s="19">
        <v>44931</v>
      </c>
      <c r="C433" s="20" t="s">
        <v>440</v>
      </c>
      <c r="D433" s="20" t="s">
        <v>8</v>
      </c>
      <c r="E433" s="18">
        <v>60</v>
      </c>
      <c r="F433" s="18" t="str">
        <f t="shared" si="12"/>
        <v>Adult</v>
      </c>
      <c r="G433" s="20" t="s">
        <v>11</v>
      </c>
      <c r="H433" s="18">
        <v>2</v>
      </c>
      <c r="I433" s="18">
        <v>500</v>
      </c>
      <c r="J433" s="18">
        <v>1000</v>
      </c>
      <c r="K433" s="21" t="str">
        <f t="shared" si="13"/>
        <v>Medium</v>
      </c>
      <c r="L433" s="18">
        <f>YEAR(B433)</f>
        <v>2023</v>
      </c>
      <c r="M433" s="18">
        <f>ROUNDUP(MONTH(B433)/3,0)</f>
        <v>1</v>
      </c>
      <c r="N433" s="20" t="str">
        <f>TEXT(B433,"dddd")</f>
        <v>Thursday</v>
      </c>
      <c r="O433" s="20" t="str">
        <f>TEXT(B433,"mmmm")</f>
        <v>January</v>
      </c>
    </row>
    <row r="434" spans="1:15" x14ac:dyDescent="0.3">
      <c r="A434" s="18">
        <v>433</v>
      </c>
      <c r="B434" s="19">
        <v>44984</v>
      </c>
      <c r="C434" s="20" t="s">
        <v>441</v>
      </c>
      <c r="D434" s="20" t="s">
        <v>5</v>
      </c>
      <c r="E434" s="18">
        <v>29</v>
      </c>
      <c r="F434" s="18" t="str">
        <f t="shared" si="12"/>
        <v>Young</v>
      </c>
      <c r="G434" s="20" t="s">
        <v>6</v>
      </c>
      <c r="H434" s="18">
        <v>4</v>
      </c>
      <c r="I434" s="18">
        <v>50</v>
      </c>
      <c r="J434" s="18">
        <v>200</v>
      </c>
      <c r="K434" s="21" t="str">
        <f t="shared" si="13"/>
        <v>Low</v>
      </c>
      <c r="L434" s="18">
        <f>YEAR(B434)</f>
        <v>2023</v>
      </c>
      <c r="M434" s="18">
        <f>ROUNDUP(MONTH(B434)/3,0)</f>
        <v>1</v>
      </c>
      <c r="N434" s="20" t="str">
        <f>TEXT(B434,"dddd")</f>
        <v>Monday</v>
      </c>
      <c r="O434" s="20" t="str">
        <f>TEXT(B434,"mmmm")</f>
        <v>February</v>
      </c>
    </row>
    <row r="435" spans="1:15" x14ac:dyDescent="0.3">
      <c r="A435" s="18">
        <v>434</v>
      </c>
      <c r="B435" s="19">
        <v>44965</v>
      </c>
      <c r="C435" s="20" t="s">
        <v>442</v>
      </c>
      <c r="D435" s="20" t="s">
        <v>8</v>
      </c>
      <c r="E435" s="18">
        <v>43</v>
      </c>
      <c r="F435" s="18" t="str">
        <f t="shared" si="12"/>
        <v>Adult</v>
      </c>
      <c r="G435" s="20" t="s">
        <v>11</v>
      </c>
      <c r="H435" s="18">
        <v>2</v>
      </c>
      <c r="I435" s="18">
        <v>25</v>
      </c>
      <c r="J435" s="18">
        <v>50</v>
      </c>
      <c r="K435" s="21" t="str">
        <f t="shared" si="13"/>
        <v>Low</v>
      </c>
      <c r="L435" s="18">
        <f>YEAR(B435)</f>
        <v>2023</v>
      </c>
      <c r="M435" s="18">
        <f>ROUNDUP(MONTH(B435)/3,0)</f>
        <v>1</v>
      </c>
      <c r="N435" s="20" t="str">
        <f>TEXT(B435,"dddd")</f>
        <v>Wednesday</v>
      </c>
      <c r="O435" s="20" t="str">
        <f>TEXT(B435,"mmmm")</f>
        <v>February</v>
      </c>
    </row>
    <row r="436" spans="1:15" x14ac:dyDescent="0.3">
      <c r="A436" s="18">
        <v>435</v>
      </c>
      <c r="B436" s="19">
        <v>45280</v>
      </c>
      <c r="C436" s="20" t="s">
        <v>443</v>
      </c>
      <c r="D436" s="20" t="s">
        <v>8</v>
      </c>
      <c r="E436" s="18">
        <v>30</v>
      </c>
      <c r="F436" s="18" t="str">
        <f t="shared" si="12"/>
        <v>Young</v>
      </c>
      <c r="G436" s="20" t="s">
        <v>6</v>
      </c>
      <c r="H436" s="18">
        <v>3</v>
      </c>
      <c r="I436" s="18">
        <v>300</v>
      </c>
      <c r="J436" s="18">
        <v>900</v>
      </c>
      <c r="K436" s="21" t="str">
        <f t="shared" si="13"/>
        <v>Medium</v>
      </c>
      <c r="L436" s="18">
        <f>YEAR(B436)</f>
        <v>2023</v>
      </c>
      <c r="M436" s="18">
        <f>ROUNDUP(MONTH(B436)/3,0)</f>
        <v>4</v>
      </c>
      <c r="N436" s="20" t="str">
        <f>TEXT(B436,"dddd")</f>
        <v>Wednesday</v>
      </c>
      <c r="O436" s="20" t="str">
        <f>TEXT(B436,"mmmm")</f>
        <v>December</v>
      </c>
    </row>
    <row r="437" spans="1:15" x14ac:dyDescent="0.3">
      <c r="A437" s="18">
        <v>436</v>
      </c>
      <c r="B437" s="19">
        <v>45003</v>
      </c>
      <c r="C437" s="20" t="s">
        <v>444</v>
      </c>
      <c r="D437" s="20" t="s">
        <v>8</v>
      </c>
      <c r="E437" s="18">
        <v>57</v>
      </c>
      <c r="F437" s="18" t="str">
        <f t="shared" si="12"/>
        <v>Adult</v>
      </c>
      <c r="G437" s="20" t="s">
        <v>9</v>
      </c>
      <c r="H437" s="18">
        <v>4</v>
      </c>
      <c r="I437" s="18">
        <v>30</v>
      </c>
      <c r="J437" s="18">
        <v>120</v>
      </c>
      <c r="K437" s="21" t="str">
        <f t="shared" si="13"/>
        <v>Low</v>
      </c>
      <c r="L437" s="18">
        <f>YEAR(B437)</f>
        <v>2023</v>
      </c>
      <c r="M437" s="18">
        <f>ROUNDUP(MONTH(B437)/3,0)</f>
        <v>1</v>
      </c>
      <c r="N437" s="20" t="str">
        <f>TEXT(B437,"dddd")</f>
        <v>Saturday</v>
      </c>
      <c r="O437" s="20" t="str">
        <f>TEXT(B437,"mmmm")</f>
        <v>March</v>
      </c>
    </row>
    <row r="438" spans="1:15" x14ac:dyDescent="0.3">
      <c r="A438" s="18">
        <v>437</v>
      </c>
      <c r="B438" s="19">
        <v>45206</v>
      </c>
      <c r="C438" s="20" t="s">
        <v>445</v>
      </c>
      <c r="D438" s="20" t="s">
        <v>8</v>
      </c>
      <c r="E438" s="18">
        <v>35</v>
      </c>
      <c r="F438" s="18" t="str">
        <f t="shared" si="12"/>
        <v>Adult</v>
      </c>
      <c r="G438" s="20" t="s">
        <v>11</v>
      </c>
      <c r="H438" s="18">
        <v>4</v>
      </c>
      <c r="I438" s="18">
        <v>300</v>
      </c>
      <c r="J438" s="18">
        <v>1200</v>
      </c>
      <c r="K438" s="21" t="str">
        <f t="shared" si="13"/>
        <v>Medium</v>
      </c>
      <c r="L438" s="18">
        <f>YEAR(B438)</f>
        <v>2023</v>
      </c>
      <c r="M438" s="18">
        <f>ROUNDUP(MONTH(B438)/3,0)</f>
        <v>4</v>
      </c>
      <c r="N438" s="20" t="str">
        <f>TEXT(B438,"dddd")</f>
        <v>Saturday</v>
      </c>
      <c r="O438" s="20" t="str">
        <f>TEXT(B438,"mmmm")</f>
        <v>October</v>
      </c>
    </row>
    <row r="439" spans="1:15" x14ac:dyDescent="0.3">
      <c r="A439" s="18">
        <v>438</v>
      </c>
      <c r="B439" s="19">
        <v>44945</v>
      </c>
      <c r="C439" s="20" t="s">
        <v>446</v>
      </c>
      <c r="D439" s="20" t="s">
        <v>8</v>
      </c>
      <c r="E439" s="18">
        <v>42</v>
      </c>
      <c r="F439" s="18" t="str">
        <f t="shared" si="12"/>
        <v>Adult</v>
      </c>
      <c r="G439" s="20" t="s">
        <v>9</v>
      </c>
      <c r="H439" s="18">
        <v>1</v>
      </c>
      <c r="I439" s="18">
        <v>30</v>
      </c>
      <c r="J439" s="18">
        <v>30</v>
      </c>
      <c r="K439" s="21" t="str">
        <f t="shared" si="13"/>
        <v>Low</v>
      </c>
      <c r="L439" s="18">
        <f>YEAR(B439)</f>
        <v>2023</v>
      </c>
      <c r="M439" s="18">
        <f>ROUNDUP(MONTH(B439)/3,0)</f>
        <v>1</v>
      </c>
      <c r="N439" s="20" t="str">
        <f>TEXT(B439,"dddd")</f>
        <v>Thursday</v>
      </c>
      <c r="O439" s="20" t="str">
        <f>TEXT(B439,"mmmm")</f>
        <v>January</v>
      </c>
    </row>
    <row r="440" spans="1:15" x14ac:dyDescent="0.3">
      <c r="A440" s="18">
        <v>439</v>
      </c>
      <c r="B440" s="19">
        <v>45116</v>
      </c>
      <c r="C440" s="20" t="s">
        <v>447</v>
      </c>
      <c r="D440" s="20" t="s">
        <v>5</v>
      </c>
      <c r="E440" s="18">
        <v>50</v>
      </c>
      <c r="F440" s="18" t="str">
        <f t="shared" si="12"/>
        <v>Adult</v>
      </c>
      <c r="G440" s="20" t="s">
        <v>9</v>
      </c>
      <c r="H440" s="18">
        <v>3</v>
      </c>
      <c r="I440" s="18">
        <v>25</v>
      </c>
      <c r="J440" s="18">
        <v>75</v>
      </c>
      <c r="K440" s="21" t="str">
        <f t="shared" si="13"/>
        <v>Low</v>
      </c>
      <c r="L440" s="18">
        <f>YEAR(B440)</f>
        <v>2023</v>
      </c>
      <c r="M440" s="18">
        <f>ROUNDUP(MONTH(B440)/3,0)</f>
        <v>3</v>
      </c>
      <c r="N440" s="20" t="str">
        <f>TEXT(B440,"dddd")</f>
        <v>Sunday</v>
      </c>
      <c r="O440" s="20" t="str">
        <f>TEXT(B440,"mmmm")</f>
        <v>July</v>
      </c>
    </row>
    <row r="441" spans="1:15" x14ac:dyDescent="0.3">
      <c r="A441" s="18">
        <v>440</v>
      </c>
      <c r="B441" s="19">
        <v>45225</v>
      </c>
      <c r="C441" s="20" t="s">
        <v>448</v>
      </c>
      <c r="D441" s="20" t="s">
        <v>5</v>
      </c>
      <c r="E441" s="18">
        <v>64</v>
      </c>
      <c r="F441" s="18" t="str">
        <f t="shared" si="12"/>
        <v>Senior</v>
      </c>
      <c r="G441" s="20" t="s">
        <v>9</v>
      </c>
      <c r="H441" s="18">
        <v>2</v>
      </c>
      <c r="I441" s="18">
        <v>300</v>
      </c>
      <c r="J441" s="18">
        <v>600</v>
      </c>
      <c r="K441" s="21" t="str">
        <f t="shared" si="13"/>
        <v>Medium</v>
      </c>
      <c r="L441" s="18">
        <f>YEAR(B441)</f>
        <v>2023</v>
      </c>
      <c r="M441" s="18">
        <f>ROUNDUP(MONTH(B441)/3,0)</f>
        <v>4</v>
      </c>
      <c r="N441" s="20" t="str">
        <f>TEXT(B441,"dddd")</f>
        <v>Thursday</v>
      </c>
      <c r="O441" s="20" t="str">
        <f>TEXT(B441,"mmmm")</f>
        <v>October</v>
      </c>
    </row>
    <row r="442" spans="1:15" x14ac:dyDescent="0.3">
      <c r="A442" s="18">
        <v>441</v>
      </c>
      <c r="B442" s="19">
        <v>45209</v>
      </c>
      <c r="C442" s="20" t="s">
        <v>449</v>
      </c>
      <c r="D442" s="20" t="s">
        <v>5</v>
      </c>
      <c r="E442" s="18">
        <v>57</v>
      </c>
      <c r="F442" s="18" t="str">
        <f t="shared" si="12"/>
        <v>Adult</v>
      </c>
      <c r="G442" s="20" t="s">
        <v>6</v>
      </c>
      <c r="H442" s="18">
        <v>4</v>
      </c>
      <c r="I442" s="18">
        <v>300</v>
      </c>
      <c r="J442" s="18">
        <v>1200</v>
      </c>
      <c r="K442" s="21" t="str">
        <f t="shared" si="13"/>
        <v>Medium</v>
      </c>
      <c r="L442" s="18">
        <f>YEAR(B442)</f>
        <v>2023</v>
      </c>
      <c r="M442" s="18">
        <f>ROUNDUP(MONTH(B442)/3,0)</f>
        <v>4</v>
      </c>
      <c r="N442" s="20" t="str">
        <f>TEXT(B442,"dddd")</f>
        <v>Tuesday</v>
      </c>
      <c r="O442" s="20" t="str">
        <f>TEXT(B442,"mmmm")</f>
        <v>October</v>
      </c>
    </row>
    <row r="443" spans="1:15" x14ac:dyDescent="0.3">
      <c r="A443" s="18">
        <v>442</v>
      </c>
      <c r="B443" s="19">
        <v>45002</v>
      </c>
      <c r="C443" s="20" t="s">
        <v>450</v>
      </c>
      <c r="D443" s="20" t="s">
        <v>8</v>
      </c>
      <c r="E443" s="18">
        <v>60</v>
      </c>
      <c r="F443" s="18" t="str">
        <f t="shared" si="12"/>
        <v>Adult</v>
      </c>
      <c r="G443" s="20" t="s">
        <v>9</v>
      </c>
      <c r="H443" s="18">
        <v>4</v>
      </c>
      <c r="I443" s="18">
        <v>25</v>
      </c>
      <c r="J443" s="18">
        <v>100</v>
      </c>
      <c r="K443" s="21" t="str">
        <f t="shared" si="13"/>
        <v>Low</v>
      </c>
      <c r="L443" s="18">
        <f>YEAR(B443)</f>
        <v>2023</v>
      </c>
      <c r="M443" s="18">
        <f>ROUNDUP(MONTH(B443)/3,0)</f>
        <v>1</v>
      </c>
      <c r="N443" s="20" t="str">
        <f>TEXT(B443,"dddd")</f>
        <v>Friday</v>
      </c>
      <c r="O443" s="20" t="str">
        <f>TEXT(B443,"mmmm")</f>
        <v>March</v>
      </c>
    </row>
    <row r="444" spans="1:15" x14ac:dyDescent="0.3">
      <c r="A444" s="18">
        <v>443</v>
      </c>
      <c r="B444" s="19">
        <v>45147</v>
      </c>
      <c r="C444" s="20" t="s">
        <v>451</v>
      </c>
      <c r="D444" s="20" t="s">
        <v>5</v>
      </c>
      <c r="E444" s="18">
        <v>29</v>
      </c>
      <c r="F444" s="18" t="str">
        <f t="shared" si="12"/>
        <v>Young</v>
      </c>
      <c r="G444" s="20" t="s">
        <v>9</v>
      </c>
      <c r="H444" s="18">
        <v>2</v>
      </c>
      <c r="I444" s="18">
        <v>300</v>
      </c>
      <c r="J444" s="18">
        <v>600</v>
      </c>
      <c r="K444" s="21" t="str">
        <f t="shared" si="13"/>
        <v>Medium</v>
      </c>
      <c r="L444" s="18">
        <f>YEAR(B444)</f>
        <v>2023</v>
      </c>
      <c r="M444" s="18">
        <f>ROUNDUP(MONTH(B444)/3,0)</f>
        <v>3</v>
      </c>
      <c r="N444" s="20" t="str">
        <f>TEXT(B444,"dddd")</f>
        <v>Wednesday</v>
      </c>
      <c r="O444" s="20" t="str">
        <f>TEXT(B444,"mmmm")</f>
        <v>August</v>
      </c>
    </row>
    <row r="445" spans="1:15" x14ac:dyDescent="0.3">
      <c r="A445" s="18">
        <v>444</v>
      </c>
      <c r="B445" s="19">
        <v>44992</v>
      </c>
      <c r="C445" s="20" t="s">
        <v>452</v>
      </c>
      <c r="D445" s="20" t="s">
        <v>8</v>
      </c>
      <c r="E445" s="18">
        <v>61</v>
      </c>
      <c r="F445" s="18" t="str">
        <f t="shared" si="12"/>
        <v>Senior</v>
      </c>
      <c r="G445" s="20" t="s">
        <v>9</v>
      </c>
      <c r="H445" s="18">
        <v>3</v>
      </c>
      <c r="I445" s="18">
        <v>30</v>
      </c>
      <c r="J445" s="18">
        <v>90</v>
      </c>
      <c r="K445" s="21" t="str">
        <f t="shared" si="13"/>
        <v>Low</v>
      </c>
      <c r="L445" s="18">
        <f>YEAR(B445)</f>
        <v>2023</v>
      </c>
      <c r="M445" s="18">
        <f>ROUNDUP(MONTH(B445)/3,0)</f>
        <v>1</v>
      </c>
      <c r="N445" s="20" t="str">
        <f>TEXT(B445,"dddd")</f>
        <v>Tuesday</v>
      </c>
      <c r="O445" s="20" t="str">
        <f>TEXT(B445,"mmmm")</f>
        <v>March</v>
      </c>
    </row>
    <row r="446" spans="1:15" x14ac:dyDescent="0.3">
      <c r="A446" s="18">
        <v>445</v>
      </c>
      <c r="B446" s="19">
        <v>44948</v>
      </c>
      <c r="C446" s="20" t="s">
        <v>453</v>
      </c>
      <c r="D446" s="20" t="s">
        <v>8</v>
      </c>
      <c r="E446" s="18">
        <v>53</v>
      </c>
      <c r="F446" s="18" t="str">
        <f t="shared" si="12"/>
        <v>Adult</v>
      </c>
      <c r="G446" s="20" t="s">
        <v>11</v>
      </c>
      <c r="H446" s="18">
        <v>1</v>
      </c>
      <c r="I446" s="18">
        <v>300</v>
      </c>
      <c r="J446" s="18">
        <v>300</v>
      </c>
      <c r="K446" s="21" t="str">
        <f t="shared" si="13"/>
        <v>Low</v>
      </c>
      <c r="L446" s="18">
        <f>YEAR(B446)</f>
        <v>2023</v>
      </c>
      <c r="M446" s="18">
        <f>ROUNDUP(MONTH(B446)/3,0)</f>
        <v>1</v>
      </c>
      <c r="N446" s="20" t="str">
        <f>TEXT(B446,"dddd")</f>
        <v>Sunday</v>
      </c>
      <c r="O446" s="20" t="str">
        <f>TEXT(B446,"mmmm")</f>
        <v>January</v>
      </c>
    </row>
    <row r="447" spans="1:15" x14ac:dyDescent="0.3">
      <c r="A447" s="18">
        <v>446</v>
      </c>
      <c r="B447" s="19">
        <v>45084</v>
      </c>
      <c r="C447" s="20" t="s">
        <v>454</v>
      </c>
      <c r="D447" s="20" t="s">
        <v>5</v>
      </c>
      <c r="E447" s="18">
        <v>21</v>
      </c>
      <c r="F447" s="18" t="str">
        <f t="shared" si="12"/>
        <v>Young</v>
      </c>
      <c r="G447" s="20" t="s">
        <v>11</v>
      </c>
      <c r="H447" s="18">
        <v>1</v>
      </c>
      <c r="I447" s="18">
        <v>50</v>
      </c>
      <c r="J447" s="18">
        <v>50</v>
      </c>
      <c r="K447" s="21" t="str">
        <f t="shared" si="13"/>
        <v>Low</v>
      </c>
      <c r="L447" s="18">
        <f>YEAR(B447)</f>
        <v>2023</v>
      </c>
      <c r="M447" s="18">
        <f>ROUNDUP(MONTH(B447)/3,0)</f>
        <v>2</v>
      </c>
      <c r="N447" s="20" t="str">
        <f>TEXT(B447,"dddd")</f>
        <v>Wednesday</v>
      </c>
      <c r="O447" s="20" t="str">
        <f>TEXT(B447,"mmmm")</f>
        <v>June</v>
      </c>
    </row>
    <row r="448" spans="1:15" x14ac:dyDescent="0.3">
      <c r="A448" s="18">
        <v>447</v>
      </c>
      <c r="B448" s="19">
        <v>45113</v>
      </c>
      <c r="C448" s="20" t="s">
        <v>455</v>
      </c>
      <c r="D448" s="20" t="s">
        <v>5</v>
      </c>
      <c r="E448" s="18">
        <v>22</v>
      </c>
      <c r="F448" s="18" t="str">
        <f t="shared" si="12"/>
        <v>Young</v>
      </c>
      <c r="G448" s="20" t="s">
        <v>6</v>
      </c>
      <c r="H448" s="18">
        <v>4</v>
      </c>
      <c r="I448" s="18">
        <v>500</v>
      </c>
      <c r="J448" s="18">
        <v>2000</v>
      </c>
      <c r="K448" s="21" t="str">
        <f t="shared" si="13"/>
        <v>High</v>
      </c>
      <c r="L448" s="18">
        <f>YEAR(B448)</f>
        <v>2023</v>
      </c>
      <c r="M448" s="18">
        <f>ROUNDUP(MONTH(B448)/3,0)</f>
        <v>3</v>
      </c>
      <c r="N448" s="20" t="str">
        <f>TEXT(B448,"dddd")</f>
        <v>Thursday</v>
      </c>
      <c r="O448" s="20" t="str">
        <f>TEXT(B448,"mmmm")</f>
        <v>July</v>
      </c>
    </row>
    <row r="449" spans="1:15" x14ac:dyDescent="0.3">
      <c r="A449" s="18">
        <v>448</v>
      </c>
      <c r="B449" s="19">
        <v>44947</v>
      </c>
      <c r="C449" s="20" t="s">
        <v>456</v>
      </c>
      <c r="D449" s="20" t="s">
        <v>8</v>
      </c>
      <c r="E449" s="18">
        <v>54</v>
      </c>
      <c r="F449" s="18" t="str">
        <f t="shared" si="12"/>
        <v>Adult</v>
      </c>
      <c r="G449" s="20" t="s">
        <v>6</v>
      </c>
      <c r="H449" s="18">
        <v>2</v>
      </c>
      <c r="I449" s="18">
        <v>30</v>
      </c>
      <c r="J449" s="18">
        <v>60</v>
      </c>
      <c r="K449" s="21" t="str">
        <f t="shared" si="13"/>
        <v>Low</v>
      </c>
      <c r="L449" s="18">
        <f>YEAR(B449)</f>
        <v>2023</v>
      </c>
      <c r="M449" s="18">
        <f>ROUNDUP(MONTH(B449)/3,0)</f>
        <v>1</v>
      </c>
      <c r="N449" s="20" t="str">
        <f>TEXT(B449,"dddd")</f>
        <v>Saturday</v>
      </c>
      <c r="O449" s="20" t="str">
        <f>TEXT(B449,"mmmm")</f>
        <v>January</v>
      </c>
    </row>
    <row r="450" spans="1:15" x14ac:dyDescent="0.3">
      <c r="A450" s="18">
        <v>449</v>
      </c>
      <c r="B450" s="19">
        <v>45110</v>
      </c>
      <c r="C450" s="20" t="s">
        <v>457</v>
      </c>
      <c r="D450" s="20" t="s">
        <v>5</v>
      </c>
      <c r="E450" s="18">
        <v>25</v>
      </c>
      <c r="F450" s="18" t="str">
        <f t="shared" si="12"/>
        <v>Young</v>
      </c>
      <c r="G450" s="20" t="s">
        <v>11</v>
      </c>
      <c r="H450" s="18">
        <v>4</v>
      </c>
      <c r="I450" s="18">
        <v>50</v>
      </c>
      <c r="J450" s="18">
        <v>200</v>
      </c>
      <c r="K450" s="21" t="str">
        <f t="shared" si="13"/>
        <v>Low</v>
      </c>
      <c r="L450" s="18">
        <f>YEAR(B450)</f>
        <v>2023</v>
      </c>
      <c r="M450" s="18">
        <f>ROUNDUP(MONTH(B450)/3,0)</f>
        <v>3</v>
      </c>
      <c r="N450" s="20" t="str">
        <f>TEXT(B450,"dddd")</f>
        <v>Monday</v>
      </c>
      <c r="O450" s="20" t="str">
        <f>TEXT(B450,"mmmm")</f>
        <v>July</v>
      </c>
    </row>
    <row r="451" spans="1:15" x14ac:dyDescent="0.3">
      <c r="A451" s="18">
        <v>450</v>
      </c>
      <c r="B451" s="19">
        <v>45034</v>
      </c>
      <c r="C451" s="20" t="s">
        <v>458</v>
      </c>
      <c r="D451" s="20" t="s">
        <v>8</v>
      </c>
      <c r="E451" s="18">
        <v>59</v>
      </c>
      <c r="F451" s="18" t="str">
        <f t="shared" ref="F451:F514" si="14">IF(E451&gt;60,"Senior",IF(E451&gt;30,"Adult","Young"))</f>
        <v>Adult</v>
      </c>
      <c r="G451" s="20" t="s">
        <v>6</v>
      </c>
      <c r="H451" s="18">
        <v>2</v>
      </c>
      <c r="I451" s="18">
        <v>25</v>
      </c>
      <c r="J451" s="18">
        <v>50</v>
      </c>
      <c r="K451" s="21" t="str">
        <f t="shared" ref="K451:K514" si="15">IF(J451&gt;1500,"High",IF(J451&gt;500,"Medium","Low"))</f>
        <v>Low</v>
      </c>
      <c r="L451" s="18">
        <f>YEAR(B451)</f>
        <v>2023</v>
      </c>
      <c r="M451" s="18">
        <f>ROUNDUP(MONTH(B451)/3,0)</f>
        <v>2</v>
      </c>
      <c r="N451" s="20" t="str">
        <f>TEXT(B451,"dddd")</f>
        <v>Tuesday</v>
      </c>
      <c r="O451" s="20" t="str">
        <f>TEXT(B451,"mmmm")</f>
        <v>April</v>
      </c>
    </row>
    <row r="452" spans="1:15" x14ac:dyDescent="0.3">
      <c r="A452" s="18">
        <v>451</v>
      </c>
      <c r="B452" s="19">
        <v>45276</v>
      </c>
      <c r="C452" s="20" t="s">
        <v>459</v>
      </c>
      <c r="D452" s="20" t="s">
        <v>8</v>
      </c>
      <c r="E452" s="18">
        <v>45</v>
      </c>
      <c r="F452" s="18" t="str">
        <f t="shared" si="14"/>
        <v>Adult</v>
      </c>
      <c r="G452" s="20" t="s">
        <v>11</v>
      </c>
      <c r="H452" s="18">
        <v>1</v>
      </c>
      <c r="I452" s="18">
        <v>30</v>
      </c>
      <c r="J452" s="18">
        <v>30</v>
      </c>
      <c r="K452" s="21" t="str">
        <f t="shared" si="15"/>
        <v>Low</v>
      </c>
      <c r="L452" s="18">
        <f>YEAR(B452)</f>
        <v>2023</v>
      </c>
      <c r="M452" s="18">
        <f>ROUNDUP(MONTH(B452)/3,0)</f>
        <v>4</v>
      </c>
      <c r="N452" s="20" t="str">
        <f>TEXT(B452,"dddd")</f>
        <v>Saturday</v>
      </c>
      <c r="O452" s="20" t="str">
        <f>TEXT(B452,"mmmm")</f>
        <v>December</v>
      </c>
    </row>
    <row r="453" spans="1:15" x14ac:dyDescent="0.3">
      <c r="A453" s="18">
        <v>452</v>
      </c>
      <c r="B453" s="19">
        <v>45054</v>
      </c>
      <c r="C453" s="20" t="s">
        <v>460</v>
      </c>
      <c r="D453" s="20" t="s">
        <v>8</v>
      </c>
      <c r="E453" s="18">
        <v>48</v>
      </c>
      <c r="F453" s="18" t="str">
        <f t="shared" si="14"/>
        <v>Adult</v>
      </c>
      <c r="G453" s="20" t="s">
        <v>9</v>
      </c>
      <c r="H453" s="18">
        <v>3</v>
      </c>
      <c r="I453" s="18">
        <v>500</v>
      </c>
      <c r="J453" s="18">
        <v>1500</v>
      </c>
      <c r="K453" s="21" t="str">
        <f t="shared" si="15"/>
        <v>Medium</v>
      </c>
      <c r="L453" s="18">
        <f>YEAR(B453)</f>
        <v>2023</v>
      </c>
      <c r="M453" s="18">
        <f>ROUNDUP(MONTH(B453)/3,0)</f>
        <v>2</v>
      </c>
      <c r="N453" s="20" t="str">
        <f>TEXT(B453,"dddd")</f>
        <v>Monday</v>
      </c>
      <c r="O453" s="20" t="str">
        <f>TEXT(B453,"mmmm")</f>
        <v>May</v>
      </c>
    </row>
    <row r="454" spans="1:15" x14ac:dyDescent="0.3">
      <c r="A454" s="18">
        <v>453</v>
      </c>
      <c r="B454" s="19">
        <v>45268</v>
      </c>
      <c r="C454" s="20" t="s">
        <v>461</v>
      </c>
      <c r="D454" s="20" t="s">
        <v>8</v>
      </c>
      <c r="E454" s="18">
        <v>26</v>
      </c>
      <c r="F454" s="18" t="str">
        <f t="shared" si="14"/>
        <v>Young</v>
      </c>
      <c r="G454" s="20" t="s">
        <v>9</v>
      </c>
      <c r="H454" s="18">
        <v>2</v>
      </c>
      <c r="I454" s="18">
        <v>500</v>
      </c>
      <c r="J454" s="18">
        <v>1000</v>
      </c>
      <c r="K454" s="21" t="str">
        <f t="shared" si="15"/>
        <v>Medium</v>
      </c>
      <c r="L454" s="18">
        <f>YEAR(B454)</f>
        <v>2023</v>
      </c>
      <c r="M454" s="18">
        <f>ROUNDUP(MONTH(B454)/3,0)</f>
        <v>4</v>
      </c>
      <c r="N454" s="20" t="str">
        <f>TEXT(B454,"dddd")</f>
        <v>Friday</v>
      </c>
      <c r="O454" s="20" t="str">
        <f>TEXT(B454,"mmmm")</f>
        <v>December</v>
      </c>
    </row>
    <row r="455" spans="1:15" x14ac:dyDescent="0.3">
      <c r="A455" s="18">
        <v>454</v>
      </c>
      <c r="B455" s="19">
        <v>44979</v>
      </c>
      <c r="C455" s="20" t="s">
        <v>462</v>
      </c>
      <c r="D455" s="20" t="s">
        <v>8</v>
      </c>
      <c r="E455" s="18">
        <v>46</v>
      </c>
      <c r="F455" s="18" t="str">
        <f t="shared" si="14"/>
        <v>Adult</v>
      </c>
      <c r="G455" s="20" t="s">
        <v>6</v>
      </c>
      <c r="H455" s="18">
        <v>1</v>
      </c>
      <c r="I455" s="18">
        <v>25</v>
      </c>
      <c r="J455" s="18">
        <v>25</v>
      </c>
      <c r="K455" s="21" t="str">
        <f t="shared" si="15"/>
        <v>Low</v>
      </c>
      <c r="L455" s="18">
        <f>YEAR(B455)</f>
        <v>2023</v>
      </c>
      <c r="M455" s="18">
        <f>ROUNDUP(MONTH(B455)/3,0)</f>
        <v>1</v>
      </c>
      <c r="N455" s="20" t="str">
        <f>TEXT(B455,"dddd")</f>
        <v>Wednesday</v>
      </c>
      <c r="O455" s="20" t="str">
        <f>TEXT(B455,"mmmm")</f>
        <v>February</v>
      </c>
    </row>
    <row r="456" spans="1:15" x14ac:dyDescent="0.3">
      <c r="A456" s="18">
        <v>455</v>
      </c>
      <c r="B456" s="19">
        <v>45108</v>
      </c>
      <c r="C456" s="20" t="s">
        <v>463</v>
      </c>
      <c r="D456" s="20" t="s">
        <v>5</v>
      </c>
      <c r="E456" s="18">
        <v>31</v>
      </c>
      <c r="F456" s="18" t="str">
        <f t="shared" si="14"/>
        <v>Adult</v>
      </c>
      <c r="G456" s="20" t="s">
        <v>11</v>
      </c>
      <c r="H456" s="18">
        <v>4</v>
      </c>
      <c r="I456" s="18">
        <v>25</v>
      </c>
      <c r="J456" s="18">
        <v>100</v>
      </c>
      <c r="K456" s="21" t="str">
        <f t="shared" si="15"/>
        <v>Low</v>
      </c>
      <c r="L456" s="18">
        <f>YEAR(B456)</f>
        <v>2023</v>
      </c>
      <c r="M456" s="18">
        <f>ROUNDUP(MONTH(B456)/3,0)</f>
        <v>3</v>
      </c>
      <c r="N456" s="20" t="str">
        <f>TEXT(B456,"dddd")</f>
        <v>Saturday</v>
      </c>
      <c r="O456" s="20" t="str">
        <f>TEXT(B456,"mmmm")</f>
        <v>July</v>
      </c>
    </row>
    <row r="457" spans="1:15" x14ac:dyDescent="0.3">
      <c r="A457" s="18">
        <v>456</v>
      </c>
      <c r="B457" s="19">
        <v>45213</v>
      </c>
      <c r="C457" s="20" t="s">
        <v>464</v>
      </c>
      <c r="D457" s="20" t="s">
        <v>5</v>
      </c>
      <c r="E457" s="18">
        <v>57</v>
      </c>
      <c r="F457" s="18" t="str">
        <f t="shared" si="14"/>
        <v>Adult</v>
      </c>
      <c r="G457" s="20" t="s">
        <v>11</v>
      </c>
      <c r="H457" s="18">
        <v>2</v>
      </c>
      <c r="I457" s="18">
        <v>30</v>
      </c>
      <c r="J457" s="18">
        <v>60</v>
      </c>
      <c r="K457" s="21" t="str">
        <f t="shared" si="15"/>
        <v>Low</v>
      </c>
      <c r="L457" s="18">
        <f>YEAR(B457)</f>
        <v>2023</v>
      </c>
      <c r="M457" s="18">
        <f>ROUNDUP(MONTH(B457)/3,0)</f>
        <v>4</v>
      </c>
      <c r="N457" s="20" t="str">
        <f>TEXT(B457,"dddd")</f>
        <v>Saturday</v>
      </c>
      <c r="O457" s="20" t="str">
        <f>TEXT(B457,"mmmm")</f>
        <v>October</v>
      </c>
    </row>
    <row r="458" spans="1:15" x14ac:dyDescent="0.3">
      <c r="A458" s="18">
        <v>457</v>
      </c>
      <c r="B458" s="19">
        <v>45135</v>
      </c>
      <c r="C458" s="20" t="s">
        <v>465</v>
      </c>
      <c r="D458" s="20" t="s">
        <v>8</v>
      </c>
      <c r="E458" s="18">
        <v>58</v>
      </c>
      <c r="F458" s="18" t="str">
        <f t="shared" si="14"/>
        <v>Adult</v>
      </c>
      <c r="G458" s="20" t="s">
        <v>6</v>
      </c>
      <c r="H458" s="18">
        <v>3</v>
      </c>
      <c r="I458" s="18">
        <v>300</v>
      </c>
      <c r="J458" s="18">
        <v>900</v>
      </c>
      <c r="K458" s="21" t="str">
        <f t="shared" si="15"/>
        <v>Medium</v>
      </c>
      <c r="L458" s="18">
        <f>YEAR(B458)</f>
        <v>2023</v>
      </c>
      <c r="M458" s="18">
        <f>ROUNDUP(MONTH(B458)/3,0)</f>
        <v>3</v>
      </c>
      <c r="N458" s="20" t="str">
        <f>TEXT(B458,"dddd")</f>
        <v>Friday</v>
      </c>
      <c r="O458" s="20" t="str">
        <f>TEXT(B458,"mmmm")</f>
        <v>July</v>
      </c>
    </row>
    <row r="459" spans="1:15" x14ac:dyDescent="0.3">
      <c r="A459" s="18">
        <v>458</v>
      </c>
      <c r="B459" s="19">
        <v>45244</v>
      </c>
      <c r="C459" s="20" t="s">
        <v>466</v>
      </c>
      <c r="D459" s="20" t="s">
        <v>8</v>
      </c>
      <c r="E459" s="18">
        <v>39</v>
      </c>
      <c r="F459" s="18" t="str">
        <f t="shared" si="14"/>
        <v>Adult</v>
      </c>
      <c r="G459" s="20" t="s">
        <v>11</v>
      </c>
      <c r="H459" s="18">
        <v>4</v>
      </c>
      <c r="I459" s="18">
        <v>25</v>
      </c>
      <c r="J459" s="18">
        <v>100</v>
      </c>
      <c r="K459" s="21" t="str">
        <f t="shared" si="15"/>
        <v>Low</v>
      </c>
      <c r="L459" s="18">
        <f>YEAR(B459)</f>
        <v>2023</v>
      </c>
      <c r="M459" s="18">
        <f>ROUNDUP(MONTH(B459)/3,0)</f>
        <v>4</v>
      </c>
      <c r="N459" s="20" t="str">
        <f>TEXT(B459,"dddd")</f>
        <v>Tuesday</v>
      </c>
      <c r="O459" s="20" t="str">
        <f>TEXT(B459,"mmmm")</f>
        <v>November</v>
      </c>
    </row>
    <row r="460" spans="1:15" x14ac:dyDescent="0.3">
      <c r="A460" s="18">
        <v>459</v>
      </c>
      <c r="B460" s="19">
        <v>45006</v>
      </c>
      <c r="C460" s="20" t="s">
        <v>467</v>
      </c>
      <c r="D460" s="20" t="s">
        <v>5</v>
      </c>
      <c r="E460" s="18">
        <v>28</v>
      </c>
      <c r="F460" s="18" t="str">
        <f t="shared" si="14"/>
        <v>Young</v>
      </c>
      <c r="G460" s="20" t="s">
        <v>9</v>
      </c>
      <c r="H460" s="18">
        <v>4</v>
      </c>
      <c r="I460" s="18">
        <v>300</v>
      </c>
      <c r="J460" s="18">
        <v>1200</v>
      </c>
      <c r="K460" s="21" t="str">
        <f t="shared" si="15"/>
        <v>Medium</v>
      </c>
      <c r="L460" s="18">
        <f>YEAR(B460)</f>
        <v>2023</v>
      </c>
      <c r="M460" s="18">
        <f>ROUNDUP(MONTH(B460)/3,0)</f>
        <v>1</v>
      </c>
      <c r="N460" s="20" t="str">
        <f>TEXT(B460,"dddd")</f>
        <v>Tuesday</v>
      </c>
      <c r="O460" s="20" t="str">
        <f>TEXT(B460,"mmmm")</f>
        <v>March</v>
      </c>
    </row>
    <row r="461" spans="1:15" x14ac:dyDescent="0.3">
      <c r="A461" s="18">
        <v>460</v>
      </c>
      <c r="B461" s="19">
        <v>45048</v>
      </c>
      <c r="C461" s="20" t="s">
        <v>468</v>
      </c>
      <c r="D461" s="20" t="s">
        <v>5</v>
      </c>
      <c r="E461" s="18">
        <v>40</v>
      </c>
      <c r="F461" s="18" t="str">
        <f t="shared" si="14"/>
        <v>Adult</v>
      </c>
      <c r="G461" s="20" t="s">
        <v>6</v>
      </c>
      <c r="H461" s="18">
        <v>1</v>
      </c>
      <c r="I461" s="18">
        <v>50</v>
      </c>
      <c r="J461" s="18">
        <v>50</v>
      </c>
      <c r="K461" s="21" t="str">
        <f t="shared" si="15"/>
        <v>Low</v>
      </c>
      <c r="L461" s="18">
        <f>YEAR(B461)</f>
        <v>2023</v>
      </c>
      <c r="M461" s="18">
        <f>ROUNDUP(MONTH(B461)/3,0)</f>
        <v>2</v>
      </c>
      <c r="N461" s="20" t="str">
        <f>TEXT(B461,"dddd")</f>
        <v>Tuesday</v>
      </c>
      <c r="O461" s="20" t="str">
        <f>TEXT(B461,"mmmm")</f>
        <v>May</v>
      </c>
    </row>
    <row r="462" spans="1:15" x14ac:dyDescent="0.3">
      <c r="A462" s="18">
        <v>461</v>
      </c>
      <c r="B462" s="19">
        <v>45010</v>
      </c>
      <c r="C462" s="20" t="s">
        <v>469</v>
      </c>
      <c r="D462" s="20" t="s">
        <v>8</v>
      </c>
      <c r="E462" s="18">
        <v>18</v>
      </c>
      <c r="F462" s="18" t="str">
        <f t="shared" si="14"/>
        <v>Young</v>
      </c>
      <c r="G462" s="20" t="s">
        <v>6</v>
      </c>
      <c r="H462" s="18">
        <v>2</v>
      </c>
      <c r="I462" s="18">
        <v>500</v>
      </c>
      <c r="J462" s="18">
        <v>1000</v>
      </c>
      <c r="K462" s="21" t="str">
        <f t="shared" si="15"/>
        <v>Medium</v>
      </c>
      <c r="L462" s="18">
        <f>YEAR(B462)</f>
        <v>2023</v>
      </c>
      <c r="M462" s="18">
        <f>ROUNDUP(MONTH(B462)/3,0)</f>
        <v>1</v>
      </c>
      <c r="N462" s="20" t="str">
        <f>TEXT(B462,"dddd")</f>
        <v>Saturday</v>
      </c>
      <c r="O462" s="20" t="str">
        <f>TEXT(B462,"mmmm")</f>
        <v>March</v>
      </c>
    </row>
    <row r="463" spans="1:15" x14ac:dyDescent="0.3">
      <c r="A463" s="18">
        <v>462</v>
      </c>
      <c r="B463" s="19">
        <v>45017</v>
      </c>
      <c r="C463" s="20" t="s">
        <v>470</v>
      </c>
      <c r="D463" s="20" t="s">
        <v>5</v>
      </c>
      <c r="E463" s="18">
        <v>63</v>
      </c>
      <c r="F463" s="18" t="str">
        <f t="shared" si="14"/>
        <v>Senior</v>
      </c>
      <c r="G463" s="20" t="s">
        <v>11</v>
      </c>
      <c r="H463" s="18">
        <v>4</v>
      </c>
      <c r="I463" s="18">
        <v>300</v>
      </c>
      <c r="J463" s="18">
        <v>1200</v>
      </c>
      <c r="K463" s="21" t="str">
        <f t="shared" si="15"/>
        <v>Medium</v>
      </c>
      <c r="L463" s="18">
        <f>YEAR(B463)</f>
        <v>2023</v>
      </c>
      <c r="M463" s="18">
        <f>ROUNDUP(MONTH(B463)/3,0)</f>
        <v>2</v>
      </c>
      <c r="N463" s="20" t="str">
        <f>TEXT(B463,"dddd")</f>
        <v>Saturday</v>
      </c>
      <c r="O463" s="20" t="str">
        <f>TEXT(B463,"mmmm")</f>
        <v>April</v>
      </c>
    </row>
    <row r="464" spans="1:15" x14ac:dyDescent="0.3">
      <c r="A464" s="18">
        <v>463</v>
      </c>
      <c r="B464" s="19">
        <v>45138</v>
      </c>
      <c r="C464" s="20" t="s">
        <v>471</v>
      </c>
      <c r="D464" s="20" t="s">
        <v>8</v>
      </c>
      <c r="E464" s="18">
        <v>54</v>
      </c>
      <c r="F464" s="18" t="str">
        <f t="shared" si="14"/>
        <v>Adult</v>
      </c>
      <c r="G464" s="20" t="s">
        <v>6</v>
      </c>
      <c r="H464" s="18">
        <v>3</v>
      </c>
      <c r="I464" s="18">
        <v>500</v>
      </c>
      <c r="J464" s="18">
        <v>1500</v>
      </c>
      <c r="K464" s="21" t="str">
        <f t="shared" si="15"/>
        <v>Medium</v>
      </c>
      <c r="L464" s="18">
        <f>YEAR(B464)</f>
        <v>2023</v>
      </c>
      <c r="M464" s="18">
        <f>ROUNDUP(MONTH(B464)/3,0)</f>
        <v>3</v>
      </c>
      <c r="N464" s="20" t="str">
        <f>TEXT(B464,"dddd")</f>
        <v>Monday</v>
      </c>
      <c r="O464" s="20" t="str">
        <f>TEXT(B464,"mmmm")</f>
        <v>July</v>
      </c>
    </row>
    <row r="465" spans="1:15" x14ac:dyDescent="0.3">
      <c r="A465" s="18">
        <v>464</v>
      </c>
      <c r="B465" s="19">
        <v>44939</v>
      </c>
      <c r="C465" s="20" t="s">
        <v>472</v>
      </c>
      <c r="D465" s="20" t="s">
        <v>5</v>
      </c>
      <c r="E465" s="18">
        <v>38</v>
      </c>
      <c r="F465" s="18" t="str">
        <f t="shared" si="14"/>
        <v>Adult</v>
      </c>
      <c r="G465" s="20" t="s">
        <v>11</v>
      </c>
      <c r="H465" s="18">
        <v>2</v>
      </c>
      <c r="I465" s="18">
        <v>300</v>
      </c>
      <c r="J465" s="18">
        <v>600</v>
      </c>
      <c r="K465" s="21" t="str">
        <f t="shared" si="15"/>
        <v>Medium</v>
      </c>
      <c r="L465" s="18">
        <f>YEAR(B465)</f>
        <v>2023</v>
      </c>
      <c r="M465" s="18">
        <f>ROUNDUP(MONTH(B465)/3,0)</f>
        <v>1</v>
      </c>
      <c r="N465" s="20" t="str">
        <f>TEXT(B465,"dddd")</f>
        <v>Friday</v>
      </c>
      <c r="O465" s="20" t="str">
        <f>TEXT(B465,"mmmm")</f>
        <v>January</v>
      </c>
    </row>
    <row r="466" spans="1:15" x14ac:dyDescent="0.3">
      <c r="A466" s="18">
        <v>465</v>
      </c>
      <c r="B466" s="19">
        <v>45018</v>
      </c>
      <c r="C466" s="20" t="s">
        <v>473</v>
      </c>
      <c r="D466" s="20" t="s">
        <v>8</v>
      </c>
      <c r="E466" s="18">
        <v>43</v>
      </c>
      <c r="F466" s="18" t="str">
        <f t="shared" si="14"/>
        <v>Adult</v>
      </c>
      <c r="G466" s="20" t="s">
        <v>11</v>
      </c>
      <c r="H466" s="18">
        <v>3</v>
      </c>
      <c r="I466" s="18">
        <v>50</v>
      </c>
      <c r="J466" s="18">
        <v>150</v>
      </c>
      <c r="K466" s="21" t="str">
        <f t="shared" si="15"/>
        <v>Low</v>
      </c>
      <c r="L466" s="18">
        <f>YEAR(B466)</f>
        <v>2023</v>
      </c>
      <c r="M466" s="18">
        <f>ROUNDUP(MONTH(B466)/3,0)</f>
        <v>2</v>
      </c>
      <c r="N466" s="20" t="str">
        <f>TEXT(B466,"dddd")</f>
        <v>Sunday</v>
      </c>
      <c r="O466" s="20" t="str">
        <f>TEXT(B466,"mmmm")</f>
        <v>April</v>
      </c>
    </row>
    <row r="467" spans="1:15" x14ac:dyDescent="0.3">
      <c r="A467" s="18">
        <v>466</v>
      </c>
      <c r="B467" s="19">
        <v>45097</v>
      </c>
      <c r="C467" s="20" t="s">
        <v>474</v>
      </c>
      <c r="D467" s="20" t="s">
        <v>5</v>
      </c>
      <c r="E467" s="18">
        <v>63</v>
      </c>
      <c r="F467" s="18" t="str">
        <f t="shared" si="14"/>
        <v>Senior</v>
      </c>
      <c r="G467" s="20" t="s">
        <v>11</v>
      </c>
      <c r="H467" s="18">
        <v>4</v>
      </c>
      <c r="I467" s="18">
        <v>25</v>
      </c>
      <c r="J467" s="18">
        <v>100</v>
      </c>
      <c r="K467" s="21" t="str">
        <f t="shared" si="15"/>
        <v>Low</v>
      </c>
      <c r="L467" s="18">
        <f>YEAR(B467)</f>
        <v>2023</v>
      </c>
      <c r="M467" s="18">
        <f>ROUNDUP(MONTH(B467)/3,0)</f>
        <v>2</v>
      </c>
      <c r="N467" s="20" t="str">
        <f>TEXT(B467,"dddd")</f>
        <v>Tuesday</v>
      </c>
      <c r="O467" s="20" t="str">
        <f>TEXT(B467,"mmmm")</f>
        <v>June</v>
      </c>
    </row>
    <row r="468" spans="1:15" x14ac:dyDescent="0.3">
      <c r="A468" s="18">
        <v>467</v>
      </c>
      <c r="B468" s="19">
        <v>45137</v>
      </c>
      <c r="C468" s="20" t="s">
        <v>475</v>
      </c>
      <c r="D468" s="20" t="s">
        <v>8</v>
      </c>
      <c r="E468" s="18">
        <v>53</v>
      </c>
      <c r="F468" s="18" t="str">
        <f t="shared" si="14"/>
        <v>Adult</v>
      </c>
      <c r="G468" s="20" t="s">
        <v>11</v>
      </c>
      <c r="H468" s="18">
        <v>3</v>
      </c>
      <c r="I468" s="18">
        <v>50</v>
      </c>
      <c r="J468" s="18">
        <v>150</v>
      </c>
      <c r="K468" s="21" t="str">
        <f t="shared" si="15"/>
        <v>Low</v>
      </c>
      <c r="L468" s="18">
        <f>YEAR(B468)</f>
        <v>2023</v>
      </c>
      <c r="M468" s="18">
        <f>ROUNDUP(MONTH(B468)/3,0)</f>
        <v>3</v>
      </c>
      <c r="N468" s="20" t="str">
        <f>TEXT(B468,"dddd")</f>
        <v>Sunday</v>
      </c>
      <c r="O468" s="20" t="str">
        <f>TEXT(B468,"mmmm")</f>
        <v>July</v>
      </c>
    </row>
    <row r="469" spans="1:15" x14ac:dyDescent="0.3">
      <c r="A469" s="18">
        <v>468</v>
      </c>
      <c r="B469" s="19">
        <v>45269</v>
      </c>
      <c r="C469" s="20" t="s">
        <v>476</v>
      </c>
      <c r="D469" s="20" t="s">
        <v>5</v>
      </c>
      <c r="E469" s="18">
        <v>40</v>
      </c>
      <c r="F469" s="18" t="str">
        <f t="shared" si="14"/>
        <v>Adult</v>
      </c>
      <c r="G469" s="20" t="s">
        <v>11</v>
      </c>
      <c r="H469" s="18">
        <v>1</v>
      </c>
      <c r="I469" s="18">
        <v>25</v>
      </c>
      <c r="J469" s="18">
        <v>25</v>
      </c>
      <c r="K469" s="21" t="str">
        <f t="shared" si="15"/>
        <v>Low</v>
      </c>
      <c r="L469" s="18">
        <f>YEAR(B469)</f>
        <v>2023</v>
      </c>
      <c r="M469" s="18">
        <f>ROUNDUP(MONTH(B469)/3,0)</f>
        <v>4</v>
      </c>
      <c r="N469" s="20" t="str">
        <f>TEXT(B469,"dddd")</f>
        <v>Saturday</v>
      </c>
      <c r="O469" s="20" t="str">
        <f>TEXT(B469,"mmmm")</f>
        <v>December</v>
      </c>
    </row>
    <row r="470" spans="1:15" x14ac:dyDescent="0.3">
      <c r="A470" s="18">
        <v>469</v>
      </c>
      <c r="B470" s="19">
        <v>45054</v>
      </c>
      <c r="C470" s="20" t="s">
        <v>477</v>
      </c>
      <c r="D470" s="20" t="s">
        <v>5</v>
      </c>
      <c r="E470" s="18">
        <v>18</v>
      </c>
      <c r="F470" s="18" t="str">
        <f t="shared" si="14"/>
        <v>Young</v>
      </c>
      <c r="G470" s="20" t="s">
        <v>6</v>
      </c>
      <c r="H470" s="18">
        <v>3</v>
      </c>
      <c r="I470" s="18">
        <v>25</v>
      </c>
      <c r="J470" s="18">
        <v>75</v>
      </c>
      <c r="K470" s="21" t="str">
        <f t="shared" si="15"/>
        <v>Low</v>
      </c>
      <c r="L470" s="18">
        <f>YEAR(B470)</f>
        <v>2023</v>
      </c>
      <c r="M470" s="18">
        <f>ROUNDUP(MONTH(B470)/3,0)</f>
        <v>2</v>
      </c>
      <c r="N470" s="20" t="str">
        <f>TEXT(B470,"dddd")</f>
        <v>Monday</v>
      </c>
      <c r="O470" s="20" t="str">
        <f>TEXT(B470,"mmmm")</f>
        <v>May</v>
      </c>
    </row>
    <row r="471" spans="1:15" x14ac:dyDescent="0.3">
      <c r="A471" s="18">
        <v>470</v>
      </c>
      <c r="B471" s="19">
        <v>45063</v>
      </c>
      <c r="C471" s="20" t="s">
        <v>478</v>
      </c>
      <c r="D471" s="20" t="s">
        <v>8</v>
      </c>
      <c r="E471" s="18">
        <v>57</v>
      </c>
      <c r="F471" s="18" t="str">
        <f t="shared" si="14"/>
        <v>Adult</v>
      </c>
      <c r="G471" s="20" t="s">
        <v>9</v>
      </c>
      <c r="H471" s="18">
        <v>2</v>
      </c>
      <c r="I471" s="18">
        <v>500</v>
      </c>
      <c r="J471" s="18">
        <v>1000</v>
      </c>
      <c r="K471" s="21" t="str">
        <f t="shared" si="15"/>
        <v>Medium</v>
      </c>
      <c r="L471" s="18">
        <f>YEAR(B471)</f>
        <v>2023</v>
      </c>
      <c r="M471" s="18">
        <f>ROUNDUP(MONTH(B471)/3,0)</f>
        <v>2</v>
      </c>
      <c r="N471" s="20" t="str">
        <f>TEXT(B471,"dddd")</f>
        <v>Wednesday</v>
      </c>
      <c r="O471" s="20" t="str">
        <f>TEXT(B471,"mmmm")</f>
        <v>May</v>
      </c>
    </row>
    <row r="472" spans="1:15" x14ac:dyDescent="0.3">
      <c r="A472" s="18">
        <v>471</v>
      </c>
      <c r="B472" s="19">
        <v>45008</v>
      </c>
      <c r="C472" s="20" t="s">
        <v>479</v>
      </c>
      <c r="D472" s="20" t="s">
        <v>5</v>
      </c>
      <c r="E472" s="18">
        <v>32</v>
      </c>
      <c r="F472" s="18" t="str">
        <f t="shared" si="14"/>
        <v>Adult</v>
      </c>
      <c r="G472" s="20" t="s">
        <v>9</v>
      </c>
      <c r="H472" s="18">
        <v>3</v>
      </c>
      <c r="I472" s="18">
        <v>50</v>
      </c>
      <c r="J472" s="18">
        <v>150</v>
      </c>
      <c r="K472" s="21" t="str">
        <f t="shared" si="15"/>
        <v>Low</v>
      </c>
      <c r="L472" s="18">
        <f>YEAR(B472)</f>
        <v>2023</v>
      </c>
      <c r="M472" s="18">
        <f>ROUNDUP(MONTH(B472)/3,0)</f>
        <v>1</v>
      </c>
      <c r="N472" s="20" t="str">
        <f>TEXT(B472,"dddd")</f>
        <v>Thursday</v>
      </c>
      <c r="O472" s="20" t="str">
        <f>TEXT(B472,"mmmm")</f>
        <v>March</v>
      </c>
    </row>
    <row r="473" spans="1:15" x14ac:dyDescent="0.3">
      <c r="A473" s="18">
        <v>472</v>
      </c>
      <c r="B473" s="19">
        <v>45286</v>
      </c>
      <c r="C473" s="20" t="s">
        <v>480</v>
      </c>
      <c r="D473" s="20" t="s">
        <v>8</v>
      </c>
      <c r="E473" s="18">
        <v>38</v>
      </c>
      <c r="F473" s="18" t="str">
        <f t="shared" si="14"/>
        <v>Adult</v>
      </c>
      <c r="G473" s="20" t="s">
        <v>6</v>
      </c>
      <c r="H473" s="18">
        <v>3</v>
      </c>
      <c r="I473" s="18">
        <v>300</v>
      </c>
      <c r="J473" s="18">
        <v>900</v>
      </c>
      <c r="K473" s="21" t="str">
        <f t="shared" si="15"/>
        <v>Medium</v>
      </c>
      <c r="L473" s="18">
        <f>YEAR(B473)</f>
        <v>2023</v>
      </c>
      <c r="M473" s="18">
        <f>ROUNDUP(MONTH(B473)/3,0)</f>
        <v>4</v>
      </c>
      <c r="N473" s="20" t="str">
        <f>TEXT(B473,"dddd")</f>
        <v>Tuesday</v>
      </c>
      <c r="O473" s="20" t="str">
        <f>TEXT(B473,"mmmm")</f>
        <v>December</v>
      </c>
    </row>
    <row r="474" spans="1:15" x14ac:dyDescent="0.3">
      <c r="A474" s="18">
        <v>473</v>
      </c>
      <c r="B474" s="19">
        <v>44982</v>
      </c>
      <c r="C474" s="20" t="s">
        <v>481</v>
      </c>
      <c r="D474" s="20" t="s">
        <v>5</v>
      </c>
      <c r="E474" s="18">
        <v>64</v>
      </c>
      <c r="F474" s="18" t="str">
        <f t="shared" si="14"/>
        <v>Senior</v>
      </c>
      <c r="G474" s="20" t="s">
        <v>6</v>
      </c>
      <c r="H474" s="18">
        <v>1</v>
      </c>
      <c r="I474" s="18">
        <v>50</v>
      </c>
      <c r="J474" s="18">
        <v>50</v>
      </c>
      <c r="K474" s="21" t="str">
        <f t="shared" si="15"/>
        <v>Low</v>
      </c>
      <c r="L474" s="18">
        <f>YEAR(B474)</f>
        <v>2023</v>
      </c>
      <c r="M474" s="18">
        <f>ROUNDUP(MONTH(B474)/3,0)</f>
        <v>1</v>
      </c>
      <c r="N474" s="20" t="str">
        <f>TEXT(B474,"dddd")</f>
        <v>Saturday</v>
      </c>
      <c r="O474" s="20" t="str">
        <f>TEXT(B474,"mmmm")</f>
        <v>February</v>
      </c>
    </row>
    <row r="475" spans="1:15" x14ac:dyDescent="0.3">
      <c r="A475" s="18">
        <v>474</v>
      </c>
      <c r="B475" s="19">
        <v>45122</v>
      </c>
      <c r="C475" s="20" t="s">
        <v>482</v>
      </c>
      <c r="D475" s="20" t="s">
        <v>8</v>
      </c>
      <c r="E475" s="18">
        <v>26</v>
      </c>
      <c r="F475" s="18" t="str">
        <f t="shared" si="14"/>
        <v>Young</v>
      </c>
      <c r="G475" s="20" t="s">
        <v>9</v>
      </c>
      <c r="H475" s="18">
        <v>3</v>
      </c>
      <c r="I475" s="18">
        <v>500</v>
      </c>
      <c r="J475" s="18">
        <v>1500</v>
      </c>
      <c r="K475" s="21" t="str">
        <f t="shared" si="15"/>
        <v>Medium</v>
      </c>
      <c r="L475" s="18">
        <f>YEAR(B475)</f>
        <v>2023</v>
      </c>
      <c r="M475" s="18">
        <f>ROUNDUP(MONTH(B475)/3,0)</f>
        <v>3</v>
      </c>
      <c r="N475" s="20" t="str">
        <f>TEXT(B475,"dddd")</f>
        <v>Saturday</v>
      </c>
      <c r="O475" s="20" t="str">
        <f>TEXT(B475,"mmmm")</f>
        <v>July</v>
      </c>
    </row>
    <row r="476" spans="1:15" x14ac:dyDescent="0.3">
      <c r="A476" s="18">
        <v>475</v>
      </c>
      <c r="B476" s="19">
        <v>44946</v>
      </c>
      <c r="C476" s="20" t="s">
        <v>483</v>
      </c>
      <c r="D476" s="20" t="s">
        <v>5</v>
      </c>
      <c r="E476" s="18">
        <v>26</v>
      </c>
      <c r="F476" s="18" t="str">
        <f t="shared" si="14"/>
        <v>Young</v>
      </c>
      <c r="G476" s="20" t="s">
        <v>9</v>
      </c>
      <c r="H476" s="18">
        <v>3</v>
      </c>
      <c r="I476" s="18">
        <v>25</v>
      </c>
      <c r="J476" s="18">
        <v>75</v>
      </c>
      <c r="K476" s="21" t="str">
        <f t="shared" si="15"/>
        <v>Low</v>
      </c>
      <c r="L476" s="18">
        <f>YEAR(B476)</f>
        <v>2023</v>
      </c>
      <c r="M476" s="18">
        <f>ROUNDUP(MONTH(B476)/3,0)</f>
        <v>1</v>
      </c>
      <c r="N476" s="20" t="str">
        <f>TEXT(B476,"dddd")</f>
        <v>Friday</v>
      </c>
      <c r="O476" s="20" t="str">
        <f>TEXT(B476,"mmmm")</f>
        <v>January</v>
      </c>
    </row>
    <row r="477" spans="1:15" x14ac:dyDescent="0.3">
      <c r="A477" s="18">
        <v>476</v>
      </c>
      <c r="B477" s="19">
        <v>45167</v>
      </c>
      <c r="C477" s="20" t="s">
        <v>484</v>
      </c>
      <c r="D477" s="20" t="s">
        <v>8</v>
      </c>
      <c r="E477" s="18">
        <v>27</v>
      </c>
      <c r="F477" s="18" t="str">
        <f t="shared" si="14"/>
        <v>Young</v>
      </c>
      <c r="G477" s="20" t="s">
        <v>9</v>
      </c>
      <c r="H477" s="18">
        <v>4</v>
      </c>
      <c r="I477" s="18">
        <v>500</v>
      </c>
      <c r="J477" s="18">
        <v>2000</v>
      </c>
      <c r="K477" s="21" t="str">
        <f t="shared" si="15"/>
        <v>High</v>
      </c>
      <c r="L477" s="18">
        <f>YEAR(B477)</f>
        <v>2023</v>
      </c>
      <c r="M477" s="18">
        <f>ROUNDUP(MONTH(B477)/3,0)</f>
        <v>3</v>
      </c>
      <c r="N477" s="20" t="str">
        <f>TEXT(B477,"dddd")</f>
        <v>Tuesday</v>
      </c>
      <c r="O477" s="20" t="str">
        <f>TEXT(B477,"mmmm")</f>
        <v>August</v>
      </c>
    </row>
    <row r="478" spans="1:15" x14ac:dyDescent="0.3">
      <c r="A478" s="18">
        <v>477</v>
      </c>
      <c r="B478" s="19">
        <v>45040</v>
      </c>
      <c r="C478" s="20" t="s">
        <v>485</v>
      </c>
      <c r="D478" s="20" t="s">
        <v>5</v>
      </c>
      <c r="E478" s="18">
        <v>43</v>
      </c>
      <c r="F478" s="18" t="str">
        <f t="shared" si="14"/>
        <v>Adult</v>
      </c>
      <c r="G478" s="20" t="s">
        <v>9</v>
      </c>
      <c r="H478" s="18">
        <v>4</v>
      </c>
      <c r="I478" s="18">
        <v>30</v>
      </c>
      <c r="J478" s="18">
        <v>120</v>
      </c>
      <c r="K478" s="21" t="str">
        <f t="shared" si="15"/>
        <v>Low</v>
      </c>
      <c r="L478" s="18">
        <f>YEAR(B478)</f>
        <v>2023</v>
      </c>
      <c r="M478" s="18">
        <f>ROUNDUP(MONTH(B478)/3,0)</f>
        <v>2</v>
      </c>
      <c r="N478" s="20" t="str">
        <f>TEXT(B478,"dddd")</f>
        <v>Monday</v>
      </c>
      <c r="O478" s="20" t="str">
        <f>TEXT(B478,"mmmm")</f>
        <v>April</v>
      </c>
    </row>
    <row r="479" spans="1:15" x14ac:dyDescent="0.3">
      <c r="A479" s="18">
        <v>478</v>
      </c>
      <c r="B479" s="19">
        <v>45029</v>
      </c>
      <c r="C479" s="20" t="s">
        <v>486</v>
      </c>
      <c r="D479" s="20" t="s">
        <v>8</v>
      </c>
      <c r="E479" s="18">
        <v>58</v>
      </c>
      <c r="F479" s="18" t="str">
        <f t="shared" si="14"/>
        <v>Adult</v>
      </c>
      <c r="G479" s="20" t="s">
        <v>9</v>
      </c>
      <c r="H479" s="18">
        <v>2</v>
      </c>
      <c r="I479" s="18">
        <v>30</v>
      </c>
      <c r="J479" s="18">
        <v>60</v>
      </c>
      <c r="K479" s="21" t="str">
        <f t="shared" si="15"/>
        <v>Low</v>
      </c>
      <c r="L479" s="18">
        <f>YEAR(B479)</f>
        <v>2023</v>
      </c>
      <c r="M479" s="18">
        <f>ROUNDUP(MONTH(B479)/3,0)</f>
        <v>2</v>
      </c>
      <c r="N479" s="20" t="str">
        <f>TEXT(B479,"dddd")</f>
        <v>Thursday</v>
      </c>
      <c r="O479" s="20" t="str">
        <f>TEXT(B479,"mmmm")</f>
        <v>April</v>
      </c>
    </row>
    <row r="480" spans="1:15" x14ac:dyDescent="0.3">
      <c r="A480" s="18">
        <v>479</v>
      </c>
      <c r="B480" s="19">
        <v>45162</v>
      </c>
      <c r="C480" s="20" t="s">
        <v>487</v>
      </c>
      <c r="D480" s="20" t="s">
        <v>5</v>
      </c>
      <c r="E480" s="18">
        <v>52</v>
      </c>
      <c r="F480" s="18" t="str">
        <f t="shared" si="14"/>
        <v>Adult</v>
      </c>
      <c r="G480" s="20" t="s">
        <v>11</v>
      </c>
      <c r="H480" s="18">
        <v>4</v>
      </c>
      <c r="I480" s="18">
        <v>300</v>
      </c>
      <c r="J480" s="18">
        <v>1200</v>
      </c>
      <c r="K480" s="21" t="str">
        <f t="shared" si="15"/>
        <v>Medium</v>
      </c>
      <c r="L480" s="18">
        <f>YEAR(B480)</f>
        <v>2023</v>
      </c>
      <c r="M480" s="18">
        <f>ROUNDUP(MONTH(B480)/3,0)</f>
        <v>3</v>
      </c>
      <c r="N480" s="20" t="str">
        <f>TEXT(B480,"dddd")</f>
        <v>Thursday</v>
      </c>
      <c r="O480" s="20" t="str">
        <f>TEXT(B480,"mmmm")</f>
        <v>August</v>
      </c>
    </row>
    <row r="481" spans="1:15" x14ac:dyDescent="0.3">
      <c r="A481" s="18">
        <v>480</v>
      </c>
      <c r="B481" s="19">
        <v>45106</v>
      </c>
      <c r="C481" s="20" t="s">
        <v>488</v>
      </c>
      <c r="D481" s="20" t="s">
        <v>8</v>
      </c>
      <c r="E481" s="18">
        <v>42</v>
      </c>
      <c r="F481" s="18" t="str">
        <f t="shared" si="14"/>
        <v>Adult</v>
      </c>
      <c r="G481" s="20" t="s">
        <v>6</v>
      </c>
      <c r="H481" s="18">
        <v>4</v>
      </c>
      <c r="I481" s="18">
        <v>500</v>
      </c>
      <c r="J481" s="18">
        <v>2000</v>
      </c>
      <c r="K481" s="21" t="str">
        <f t="shared" si="15"/>
        <v>High</v>
      </c>
      <c r="L481" s="18">
        <f>YEAR(B481)</f>
        <v>2023</v>
      </c>
      <c r="M481" s="18">
        <f>ROUNDUP(MONTH(B481)/3,0)</f>
        <v>2</v>
      </c>
      <c r="N481" s="20" t="str">
        <f>TEXT(B481,"dddd")</f>
        <v>Thursday</v>
      </c>
      <c r="O481" s="20" t="str">
        <f>TEXT(B481,"mmmm")</f>
        <v>June</v>
      </c>
    </row>
    <row r="482" spans="1:15" x14ac:dyDescent="0.3">
      <c r="A482" s="18">
        <v>481</v>
      </c>
      <c r="B482" s="19">
        <v>45083</v>
      </c>
      <c r="C482" s="20" t="s">
        <v>489</v>
      </c>
      <c r="D482" s="20" t="s">
        <v>8</v>
      </c>
      <c r="E482" s="18">
        <v>43</v>
      </c>
      <c r="F482" s="18" t="str">
        <f t="shared" si="14"/>
        <v>Adult</v>
      </c>
      <c r="G482" s="20" t="s">
        <v>11</v>
      </c>
      <c r="H482" s="18">
        <v>4</v>
      </c>
      <c r="I482" s="18">
        <v>300</v>
      </c>
      <c r="J482" s="18">
        <v>1200</v>
      </c>
      <c r="K482" s="21" t="str">
        <f t="shared" si="15"/>
        <v>Medium</v>
      </c>
      <c r="L482" s="18">
        <f>YEAR(B482)</f>
        <v>2023</v>
      </c>
      <c r="M482" s="18">
        <f>ROUNDUP(MONTH(B482)/3,0)</f>
        <v>2</v>
      </c>
      <c r="N482" s="20" t="str">
        <f>TEXT(B482,"dddd")</f>
        <v>Tuesday</v>
      </c>
      <c r="O482" s="20" t="str">
        <f>TEXT(B482,"mmmm")</f>
        <v>June</v>
      </c>
    </row>
    <row r="483" spans="1:15" x14ac:dyDescent="0.3">
      <c r="A483" s="18">
        <v>482</v>
      </c>
      <c r="B483" s="19">
        <v>45043</v>
      </c>
      <c r="C483" s="20" t="s">
        <v>490</v>
      </c>
      <c r="D483" s="20" t="s">
        <v>8</v>
      </c>
      <c r="E483" s="18">
        <v>28</v>
      </c>
      <c r="F483" s="18" t="str">
        <f t="shared" si="14"/>
        <v>Young</v>
      </c>
      <c r="G483" s="20" t="s">
        <v>9</v>
      </c>
      <c r="H483" s="18">
        <v>4</v>
      </c>
      <c r="I483" s="18">
        <v>300</v>
      </c>
      <c r="J483" s="18">
        <v>1200</v>
      </c>
      <c r="K483" s="21" t="str">
        <f t="shared" si="15"/>
        <v>Medium</v>
      </c>
      <c r="L483" s="18">
        <f>YEAR(B483)</f>
        <v>2023</v>
      </c>
      <c r="M483" s="18">
        <f>ROUNDUP(MONTH(B483)/3,0)</f>
        <v>2</v>
      </c>
      <c r="N483" s="20" t="str">
        <f>TEXT(B483,"dddd")</f>
        <v>Thursday</v>
      </c>
      <c r="O483" s="20" t="str">
        <f>TEXT(B483,"mmmm")</f>
        <v>April</v>
      </c>
    </row>
    <row r="484" spans="1:15" x14ac:dyDescent="0.3">
      <c r="A484" s="18">
        <v>483</v>
      </c>
      <c r="B484" s="19">
        <v>45041</v>
      </c>
      <c r="C484" s="20" t="s">
        <v>491</v>
      </c>
      <c r="D484" s="20" t="s">
        <v>5</v>
      </c>
      <c r="E484" s="18">
        <v>55</v>
      </c>
      <c r="F484" s="18" t="str">
        <f t="shared" si="14"/>
        <v>Adult</v>
      </c>
      <c r="G484" s="20" t="s">
        <v>9</v>
      </c>
      <c r="H484" s="18">
        <v>1</v>
      </c>
      <c r="I484" s="18">
        <v>30</v>
      </c>
      <c r="J484" s="18">
        <v>30</v>
      </c>
      <c r="K484" s="21" t="str">
        <f t="shared" si="15"/>
        <v>Low</v>
      </c>
      <c r="L484" s="18">
        <f>YEAR(B484)</f>
        <v>2023</v>
      </c>
      <c r="M484" s="18">
        <f>ROUNDUP(MONTH(B484)/3,0)</f>
        <v>2</v>
      </c>
      <c r="N484" s="20" t="str">
        <f>TEXT(B484,"dddd")</f>
        <v>Tuesday</v>
      </c>
      <c r="O484" s="20" t="str">
        <f>TEXT(B484,"mmmm")</f>
        <v>April</v>
      </c>
    </row>
    <row r="485" spans="1:15" x14ac:dyDescent="0.3">
      <c r="A485" s="18">
        <v>484</v>
      </c>
      <c r="B485" s="19">
        <v>44939</v>
      </c>
      <c r="C485" s="20" t="s">
        <v>492</v>
      </c>
      <c r="D485" s="20" t="s">
        <v>8</v>
      </c>
      <c r="E485" s="18">
        <v>19</v>
      </c>
      <c r="F485" s="18" t="str">
        <f t="shared" si="14"/>
        <v>Young</v>
      </c>
      <c r="G485" s="20" t="s">
        <v>9</v>
      </c>
      <c r="H485" s="18">
        <v>4</v>
      </c>
      <c r="I485" s="18">
        <v>300</v>
      </c>
      <c r="J485" s="18">
        <v>1200</v>
      </c>
      <c r="K485" s="21" t="str">
        <f t="shared" si="15"/>
        <v>Medium</v>
      </c>
      <c r="L485" s="18">
        <f>YEAR(B485)</f>
        <v>2023</v>
      </c>
      <c r="M485" s="18">
        <f>ROUNDUP(MONTH(B485)/3,0)</f>
        <v>1</v>
      </c>
      <c r="N485" s="20" t="str">
        <f>TEXT(B485,"dddd")</f>
        <v>Friday</v>
      </c>
      <c r="O485" s="20" t="str">
        <f>TEXT(B485,"mmmm")</f>
        <v>January</v>
      </c>
    </row>
    <row r="486" spans="1:15" x14ac:dyDescent="0.3">
      <c r="A486" s="18">
        <v>485</v>
      </c>
      <c r="B486" s="19">
        <v>45264</v>
      </c>
      <c r="C486" s="20" t="s">
        <v>493</v>
      </c>
      <c r="D486" s="20" t="s">
        <v>5</v>
      </c>
      <c r="E486" s="18">
        <v>24</v>
      </c>
      <c r="F486" s="18" t="str">
        <f t="shared" si="14"/>
        <v>Young</v>
      </c>
      <c r="G486" s="20" t="s">
        <v>11</v>
      </c>
      <c r="H486" s="18">
        <v>1</v>
      </c>
      <c r="I486" s="18">
        <v>30</v>
      </c>
      <c r="J486" s="18">
        <v>30</v>
      </c>
      <c r="K486" s="21" t="str">
        <f t="shared" si="15"/>
        <v>Low</v>
      </c>
      <c r="L486" s="18">
        <f>YEAR(B486)</f>
        <v>2023</v>
      </c>
      <c r="M486" s="18">
        <f>ROUNDUP(MONTH(B486)/3,0)</f>
        <v>4</v>
      </c>
      <c r="N486" s="20" t="str">
        <f>TEXT(B486,"dddd")</f>
        <v>Monday</v>
      </c>
      <c r="O486" s="20" t="str">
        <f>TEXT(B486,"mmmm")</f>
        <v>December</v>
      </c>
    </row>
    <row r="487" spans="1:15" x14ac:dyDescent="0.3">
      <c r="A487" s="18">
        <v>486</v>
      </c>
      <c r="B487" s="19">
        <v>45025</v>
      </c>
      <c r="C487" s="20" t="s">
        <v>494</v>
      </c>
      <c r="D487" s="20" t="s">
        <v>8</v>
      </c>
      <c r="E487" s="18">
        <v>35</v>
      </c>
      <c r="F487" s="18" t="str">
        <f t="shared" si="14"/>
        <v>Adult</v>
      </c>
      <c r="G487" s="20" t="s">
        <v>11</v>
      </c>
      <c r="H487" s="18">
        <v>1</v>
      </c>
      <c r="I487" s="18">
        <v>25</v>
      </c>
      <c r="J487" s="18">
        <v>25</v>
      </c>
      <c r="K487" s="21" t="str">
        <f t="shared" si="15"/>
        <v>Low</v>
      </c>
      <c r="L487" s="18">
        <f>YEAR(B487)</f>
        <v>2023</v>
      </c>
      <c r="M487" s="18">
        <f>ROUNDUP(MONTH(B487)/3,0)</f>
        <v>2</v>
      </c>
      <c r="N487" s="20" t="str">
        <f>TEXT(B487,"dddd")</f>
        <v>Sunday</v>
      </c>
      <c r="O487" s="20" t="str">
        <f>TEXT(B487,"mmmm")</f>
        <v>April</v>
      </c>
    </row>
    <row r="488" spans="1:15" x14ac:dyDescent="0.3">
      <c r="A488" s="18">
        <v>487</v>
      </c>
      <c r="B488" s="19">
        <v>45131</v>
      </c>
      <c r="C488" s="20" t="s">
        <v>495</v>
      </c>
      <c r="D488" s="20" t="s">
        <v>5</v>
      </c>
      <c r="E488" s="18">
        <v>44</v>
      </c>
      <c r="F488" s="18" t="str">
        <f t="shared" si="14"/>
        <v>Adult</v>
      </c>
      <c r="G488" s="20" t="s">
        <v>9</v>
      </c>
      <c r="H488" s="18">
        <v>4</v>
      </c>
      <c r="I488" s="18">
        <v>500</v>
      </c>
      <c r="J488" s="18">
        <v>2000</v>
      </c>
      <c r="K488" s="21" t="str">
        <f t="shared" si="15"/>
        <v>High</v>
      </c>
      <c r="L488" s="18">
        <f>YEAR(B488)</f>
        <v>2023</v>
      </c>
      <c r="M488" s="18">
        <f>ROUNDUP(MONTH(B488)/3,0)</f>
        <v>3</v>
      </c>
      <c r="N488" s="20" t="str">
        <f>TEXT(B488,"dddd")</f>
        <v>Monday</v>
      </c>
      <c r="O488" s="20" t="str">
        <f>TEXT(B488,"mmmm")</f>
        <v>July</v>
      </c>
    </row>
    <row r="489" spans="1:15" x14ac:dyDescent="0.3">
      <c r="A489" s="18">
        <v>488</v>
      </c>
      <c r="B489" s="19">
        <v>45095</v>
      </c>
      <c r="C489" s="20" t="s">
        <v>496</v>
      </c>
      <c r="D489" s="20" t="s">
        <v>8</v>
      </c>
      <c r="E489" s="18">
        <v>51</v>
      </c>
      <c r="F489" s="18" t="str">
        <f t="shared" si="14"/>
        <v>Adult</v>
      </c>
      <c r="G489" s="20" t="s">
        <v>11</v>
      </c>
      <c r="H489" s="18">
        <v>3</v>
      </c>
      <c r="I489" s="18">
        <v>300</v>
      </c>
      <c r="J489" s="18">
        <v>900</v>
      </c>
      <c r="K489" s="21" t="str">
        <f t="shared" si="15"/>
        <v>Medium</v>
      </c>
      <c r="L489" s="18">
        <f>YEAR(B489)</f>
        <v>2023</v>
      </c>
      <c r="M489" s="18">
        <f>ROUNDUP(MONTH(B489)/3,0)</f>
        <v>2</v>
      </c>
      <c r="N489" s="20" t="str">
        <f>TEXT(B489,"dddd")</f>
        <v>Sunday</v>
      </c>
      <c r="O489" s="20" t="str">
        <f>TEXT(B489,"mmmm")</f>
        <v>June</v>
      </c>
    </row>
    <row r="490" spans="1:15" x14ac:dyDescent="0.3">
      <c r="A490" s="18">
        <v>489</v>
      </c>
      <c r="B490" s="19">
        <v>45069</v>
      </c>
      <c r="C490" s="20" t="s">
        <v>497</v>
      </c>
      <c r="D490" s="20" t="s">
        <v>5</v>
      </c>
      <c r="E490" s="18">
        <v>44</v>
      </c>
      <c r="F490" s="18" t="str">
        <f t="shared" si="14"/>
        <v>Adult</v>
      </c>
      <c r="G490" s="20" t="s">
        <v>11</v>
      </c>
      <c r="H490" s="18">
        <v>1</v>
      </c>
      <c r="I490" s="18">
        <v>30</v>
      </c>
      <c r="J490" s="18">
        <v>30</v>
      </c>
      <c r="K490" s="21" t="str">
        <f t="shared" si="15"/>
        <v>Low</v>
      </c>
      <c r="L490" s="18">
        <f>YEAR(B490)</f>
        <v>2023</v>
      </c>
      <c r="M490" s="18">
        <f>ROUNDUP(MONTH(B490)/3,0)</f>
        <v>2</v>
      </c>
      <c r="N490" s="20" t="str">
        <f>TEXT(B490,"dddd")</f>
        <v>Tuesday</v>
      </c>
      <c r="O490" s="20" t="str">
        <f>TEXT(B490,"mmmm")</f>
        <v>May</v>
      </c>
    </row>
    <row r="491" spans="1:15" x14ac:dyDescent="0.3">
      <c r="A491" s="18">
        <v>490</v>
      </c>
      <c r="B491" s="19">
        <v>44962</v>
      </c>
      <c r="C491" s="20" t="s">
        <v>498</v>
      </c>
      <c r="D491" s="20" t="s">
        <v>5</v>
      </c>
      <c r="E491" s="18">
        <v>34</v>
      </c>
      <c r="F491" s="18" t="str">
        <f t="shared" si="14"/>
        <v>Adult</v>
      </c>
      <c r="G491" s="20" t="s">
        <v>9</v>
      </c>
      <c r="H491" s="18">
        <v>3</v>
      </c>
      <c r="I491" s="18">
        <v>50</v>
      </c>
      <c r="J491" s="18">
        <v>150</v>
      </c>
      <c r="K491" s="21" t="str">
        <f t="shared" si="15"/>
        <v>Low</v>
      </c>
      <c r="L491" s="18">
        <f>YEAR(B491)</f>
        <v>2023</v>
      </c>
      <c r="M491" s="18">
        <f>ROUNDUP(MONTH(B491)/3,0)</f>
        <v>1</v>
      </c>
      <c r="N491" s="20" t="str">
        <f>TEXT(B491,"dddd")</f>
        <v>Sunday</v>
      </c>
      <c r="O491" s="20" t="str">
        <f>TEXT(B491,"mmmm")</f>
        <v>February</v>
      </c>
    </row>
    <row r="492" spans="1:15" x14ac:dyDescent="0.3">
      <c r="A492" s="18">
        <v>491</v>
      </c>
      <c r="B492" s="19">
        <v>45069</v>
      </c>
      <c r="C492" s="20" t="s">
        <v>499</v>
      </c>
      <c r="D492" s="20" t="s">
        <v>8</v>
      </c>
      <c r="E492" s="18">
        <v>60</v>
      </c>
      <c r="F492" s="18" t="str">
        <f t="shared" si="14"/>
        <v>Adult</v>
      </c>
      <c r="G492" s="20" t="s">
        <v>11</v>
      </c>
      <c r="H492" s="18">
        <v>3</v>
      </c>
      <c r="I492" s="18">
        <v>300</v>
      </c>
      <c r="J492" s="18">
        <v>900</v>
      </c>
      <c r="K492" s="21" t="str">
        <f t="shared" si="15"/>
        <v>Medium</v>
      </c>
      <c r="L492" s="18">
        <f>YEAR(B492)</f>
        <v>2023</v>
      </c>
      <c r="M492" s="18">
        <f>ROUNDUP(MONTH(B492)/3,0)</f>
        <v>2</v>
      </c>
      <c r="N492" s="20" t="str">
        <f>TEXT(B492,"dddd")</f>
        <v>Tuesday</v>
      </c>
      <c r="O492" s="20" t="str">
        <f>TEXT(B492,"mmmm")</f>
        <v>May</v>
      </c>
    </row>
    <row r="493" spans="1:15" x14ac:dyDescent="0.3">
      <c r="A493" s="18">
        <v>492</v>
      </c>
      <c r="B493" s="19">
        <v>45106</v>
      </c>
      <c r="C493" s="20" t="s">
        <v>500</v>
      </c>
      <c r="D493" s="20" t="s">
        <v>5</v>
      </c>
      <c r="E493" s="18">
        <v>61</v>
      </c>
      <c r="F493" s="18" t="str">
        <f t="shared" si="14"/>
        <v>Senior</v>
      </c>
      <c r="G493" s="20" t="s">
        <v>6</v>
      </c>
      <c r="H493" s="18">
        <v>4</v>
      </c>
      <c r="I493" s="18">
        <v>25</v>
      </c>
      <c r="J493" s="18">
        <v>100</v>
      </c>
      <c r="K493" s="21" t="str">
        <f t="shared" si="15"/>
        <v>Low</v>
      </c>
      <c r="L493" s="18">
        <f>YEAR(B493)</f>
        <v>2023</v>
      </c>
      <c r="M493" s="18">
        <f>ROUNDUP(MONTH(B493)/3,0)</f>
        <v>2</v>
      </c>
      <c r="N493" s="20" t="str">
        <f>TEXT(B493,"dddd")</f>
        <v>Thursday</v>
      </c>
      <c r="O493" s="20" t="str">
        <f>TEXT(B493,"mmmm")</f>
        <v>June</v>
      </c>
    </row>
    <row r="494" spans="1:15" x14ac:dyDescent="0.3">
      <c r="A494" s="18">
        <v>493</v>
      </c>
      <c r="B494" s="19">
        <v>45255</v>
      </c>
      <c r="C494" s="20" t="s">
        <v>501</v>
      </c>
      <c r="D494" s="20" t="s">
        <v>5</v>
      </c>
      <c r="E494" s="18">
        <v>41</v>
      </c>
      <c r="F494" s="18" t="str">
        <f t="shared" si="14"/>
        <v>Adult</v>
      </c>
      <c r="G494" s="20" t="s">
        <v>6</v>
      </c>
      <c r="H494" s="18">
        <v>2</v>
      </c>
      <c r="I494" s="18">
        <v>25</v>
      </c>
      <c r="J494" s="18">
        <v>50</v>
      </c>
      <c r="K494" s="21" t="str">
        <f t="shared" si="15"/>
        <v>Low</v>
      </c>
      <c r="L494" s="18">
        <f>YEAR(B494)</f>
        <v>2023</v>
      </c>
      <c r="M494" s="18">
        <f>ROUNDUP(MONTH(B494)/3,0)</f>
        <v>4</v>
      </c>
      <c r="N494" s="20" t="str">
        <f>TEXT(B494,"dddd")</f>
        <v>Saturday</v>
      </c>
      <c r="O494" s="20" t="str">
        <f>TEXT(B494,"mmmm")</f>
        <v>November</v>
      </c>
    </row>
    <row r="495" spans="1:15" x14ac:dyDescent="0.3">
      <c r="A495" s="18">
        <v>494</v>
      </c>
      <c r="B495" s="19">
        <v>45187</v>
      </c>
      <c r="C495" s="20" t="s">
        <v>502</v>
      </c>
      <c r="D495" s="20" t="s">
        <v>8</v>
      </c>
      <c r="E495" s="18">
        <v>42</v>
      </c>
      <c r="F495" s="18" t="str">
        <f t="shared" si="14"/>
        <v>Adult</v>
      </c>
      <c r="G495" s="20" t="s">
        <v>6</v>
      </c>
      <c r="H495" s="18">
        <v>4</v>
      </c>
      <c r="I495" s="18">
        <v>50</v>
      </c>
      <c r="J495" s="18">
        <v>200</v>
      </c>
      <c r="K495" s="21" t="str">
        <f t="shared" si="15"/>
        <v>Low</v>
      </c>
      <c r="L495" s="18">
        <f>YEAR(B495)</f>
        <v>2023</v>
      </c>
      <c r="M495" s="18">
        <f>ROUNDUP(MONTH(B495)/3,0)</f>
        <v>3</v>
      </c>
      <c r="N495" s="20" t="str">
        <f>TEXT(B495,"dddd")</f>
        <v>Monday</v>
      </c>
      <c r="O495" s="20" t="str">
        <f>TEXT(B495,"mmmm")</f>
        <v>September</v>
      </c>
    </row>
    <row r="496" spans="1:15" x14ac:dyDescent="0.3">
      <c r="A496" s="18">
        <v>495</v>
      </c>
      <c r="B496" s="19">
        <v>45131</v>
      </c>
      <c r="C496" s="20" t="s">
        <v>503</v>
      </c>
      <c r="D496" s="20" t="s">
        <v>5</v>
      </c>
      <c r="E496" s="18">
        <v>24</v>
      </c>
      <c r="F496" s="18" t="str">
        <f t="shared" si="14"/>
        <v>Young</v>
      </c>
      <c r="G496" s="20" t="s">
        <v>6</v>
      </c>
      <c r="H496" s="18">
        <v>2</v>
      </c>
      <c r="I496" s="18">
        <v>30</v>
      </c>
      <c r="J496" s="18">
        <v>60</v>
      </c>
      <c r="K496" s="21" t="str">
        <f t="shared" si="15"/>
        <v>Low</v>
      </c>
      <c r="L496" s="18">
        <f>YEAR(B496)</f>
        <v>2023</v>
      </c>
      <c r="M496" s="18">
        <f>ROUNDUP(MONTH(B496)/3,0)</f>
        <v>3</v>
      </c>
      <c r="N496" s="20" t="str">
        <f>TEXT(B496,"dddd")</f>
        <v>Monday</v>
      </c>
      <c r="O496" s="20" t="str">
        <f>TEXT(B496,"mmmm")</f>
        <v>July</v>
      </c>
    </row>
    <row r="497" spans="1:15" x14ac:dyDescent="0.3">
      <c r="A497" s="18">
        <v>496</v>
      </c>
      <c r="B497" s="19">
        <v>45274</v>
      </c>
      <c r="C497" s="20" t="s">
        <v>504</v>
      </c>
      <c r="D497" s="20" t="s">
        <v>5</v>
      </c>
      <c r="E497" s="18">
        <v>23</v>
      </c>
      <c r="F497" s="18" t="str">
        <f t="shared" si="14"/>
        <v>Young</v>
      </c>
      <c r="G497" s="20" t="s">
        <v>9</v>
      </c>
      <c r="H497" s="18">
        <v>2</v>
      </c>
      <c r="I497" s="18">
        <v>300</v>
      </c>
      <c r="J497" s="18">
        <v>600</v>
      </c>
      <c r="K497" s="21" t="str">
        <f t="shared" si="15"/>
        <v>Medium</v>
      </c>
      <c r="L497" s="18">
        <f>YEAR(B497)</f>
        <v>2023</v>
      </c>
      <c r="M497" s="18">
        <f>ROUNDUP(MONTH(B497)/3,0)</f>
        <v>4</v>
      </c>
      <c r="N497" s="20" t="str">
        <f>TEXT(B497,"dddd")</f>
        <v>Thursday</v>
      </c>
      <c r="O497" s="20" t="str">
        <f>TEXT(B497,"mmmm")</f>
        <v>December</v>
      </c>
    </row>
    <row r="498" spans="1:15" x14ac:dyDescent="0.3">
      <c r="A498" s="18">
        <v>497</v>
      </c>
      <c r="B498" s="19">
        <v>45201</v>
      </c>
      <c r="C498" s="20" t="s">
        <v>505</v>
      </c>
      <c r="D498" s="20" t="s">
        <v>5</v>
      </c>
      <c r="E498" s="18">
        <v>41</v>
      </c>
      <c r="F498" s="18" t="str">
        <f t="shared" si="14"/>
        <v>Adult</v>
      </c>
      <c r="G498" s="20" t="s">
        <v>9</v>
      </c>
      <c r="H498" s="18">
        <v>4</v>
      </c>
      <c r="I498" s="18">
        <v>30</v>
      </c>
      <c r="J498" s="18">
        <v>120</v>
      </c>
      <c r="K498" s="21" t="str">
        <f t="shared" si="15"/>
        <v>Low</v>
      </c>
      <c r="L498" s="18">
        <f>YEAR(B498)</f>
        <v>2023</v>
      </c>
      <c r="M498" s="18">
        <f>ROUNDUP(MONTH(B498)/3,0)</f>
        <v>4</v>
      </c>
      <c r="N498" s="20" t="str">
        <f>TEXT(B498,"dddd")</f>
        <v>Monday</v>
      </c>
      <c r="O498" s="20" t="str">
        <f>TEXT(B498,"mmmm")</f>
        <v>October</v>
      </c>
    </row>
    <row r="499" spans="1:15" x14ac:dyDescent="0.3">
      <c r="A499" s="18">
        <v>498</v>
      </c>
      <c r="B499" s="19">
        <v>45096</v>
      </c>
      <c r="C499" s="20" t="s">
        <v>506</v>
      </c>
      <c r="D499" s="20" t="s">
        <v>8</v>
      </c>
      <c r="E499" s="18">
        <v>50</v>
      </c>
      <c r="F499" s="18" t="str">
        <f t="shared" si="14"/>
        <v>Adult</v>
      </c>
      <c r="G499" s="20" t="s">
        <v>9</v>
      </c>
      <c r="H499" s="18">
        <v>4</v>
      </c>
      <c r="I499" s="18">
        <v>25</v>
      </c>
      <c r="J499" s="18">
        <v>100</v>
      </c>
      <c r="K499" s="21" t="str">
        <f t="shared" si="15"/>
        <v>Low</v>
      </c>
      <c r="L499" s="18">
        <f>YEAR(B499)</f>
        <v>2023</v>
      </c>
      <c r="M499" s="18">
        <f>ROUNDUP(MONTH(B499)/3,0)</f>
        <v>2</v>
      </c>
      <c r="N499" s="20" t="str">
        <f>TEXT(B499,"dddd")</f>
        <v>Monday</v>
      </c>
      <c r="O499" s="20" t="str">
        <f>TEXT(B499,"mmmm")</f>
        <v>June</v>
      </c>
    </row>
    <row r="500" spans="1:15" x14ac:dyDescent="0.3">
      <c r="A500" s="18">
        <v>499</v>
      </c>
      <c r="B500" s="19">
        <v>44941</v>
      </c>
      <c r="C500" s="20" t="s">
        <v>507</v>
      </c>
      <c r="D500" s="20" t="s">
        <v>5</v>
      </c>
      <c r="E500" s="18">
        <v>46</v>
      </c>
      <c r="F500" s="18" t="str">
        <f t="shared" si="14"/>
        <v>Adult</v>
      </c>
      <c r="G500" s="20" t="s">
        <v>6</v>
      </c>
      <c r="H500" s="18">
        <v>2</v>
      </c>
      <c r="I500" s="18">
        <v>30</v>
      </c>
      <c r="J500" s="18">
        <v>60</v>
      </c>
      <c r="K500" s="21" t="str">
        <f t="shared" si="15"/>
        <v>Low</v>
      </c>
      <c r="L500" s="18">
        <f>YEAR(B500)</f>
        <v>2023</v>
      </c>
      <c r="M500" s="18">
        <f>ROUNDUP(MONTH(B500)/3,0)</f>
        <v>1</v>
      </c>
      <c r="N500" s="20" t="str">
        <f>TEXT(B500,"dddd")</f>
        <v>Sunday</v>
      </c>
      <c r="O500" s="20" t="str">
        <f>TEXT(B500,"mmmm")</f>
        <v>January</v>
      </c>
    </row>
    <row r="501" spans="1:15" x14ac:dyDescent="0.3">
      <c r="A501" s="18">
        <v>500</v>
      </c>
      <c r="B501" s="19">
        <v>44986</v>
      </c>
      <c r="C501" s="20" t="s">
        <v>508</v>
      </c>
      <c r="D501" s="20" t="s">
        <v>8</v>
      </c>
      <c r="E501" s="18">
        <v>60</v>
      </c>
      <c r="F501" s="18" t="str">
        <f t="shared" si="14"/>
        <v>Adult</v>
      </c>
      <c r="G501" s="20" t="s">
        <v>6</v>
      </c>
      <c r="H501" s="18">
        <v>4</v>
      </c>
      <c r="I501" s="18">
        <v>25</v>
      </c>
      <c r="J501" s="18">
        <v>100</v>
      </c>
      <c r="K501" s="21" t="str">
        <f t="shared" si="15"/>
        <v>Low</v>
      </c>
      <c r="L501" s="18">
        <f>YEAR(B501)</f>
        <v>2023</v>
      </c>
      <c r="M501" s="18">
        <f>ROUNDUP(MONTH(B501)/3,0)</f>
        <v>1</v>
      </c>
      <c r="N501" s="20" t="str">
        <f>TEXT(B501,"dddd")</f>
        <v>Wednesday</v>
      </c>
      <c r="O501" s="20" t="str">
        <f>TEXT(B501,"mmmm")</f>
        <v>March</v>
      </c>
    </row>
    <row r="502" spans="1:15" x14ac:dyDescent="0.3">
      <c r="A502" s="18">
        <v>501</v>
      </c>
      <c r="B502" s="19">
        <v>45060</v>
      </c>
      <c r="C502" s="20" t="s">
        <v>509</v>
      </c>
      <c r="D502" s="20" t="s">
        <v>5</v>
      </c>
      <c r="E502" s="18">
        <v>39</v>
      </c>
      <c r="F502" s="18" t="str">
        <f t="shared" si="14"/>
        <v>Adult</v>
      </c>
      <c r="G502" s="20" t="s">
        <v>11</v>
      </c>
      <c r="H502" s="18">
        <v>2</v>
      </c>
      <c r="I502" s="18">
        <v>30</v>
      </c>
      <c r="J502" s="18">
        <v>60</v>
      </c>
      <c r="K502" s="21" t="str">
        <f t="shared" si="15"/>
        <v>Low</v>
      </c>
      <c r="L502" s="18">
        <f>YEAR(B502)</f>
        <v>2023</v>
      </c>
      <c r="M502" s="18">
        <f>ROUNDUP(MONTH(B502)/3,0)</f>
        <v>2</v>
      </c>
      <c r="N502" s="20" t="str">
        <f>TEXT(B502,"dddd")</f>
        <v>Sunday</v>
      </c>
      <c r="O502" s="20" t="str">
        <f>TEXT(B502,"mmmm")</f>
        <v>May</v>
      </c>
    </row>
    <row r="503" spans="1:15" x14ac:dyDescent="0.3">
      <c r="A503" s="18">
        <v>502</v>
      </c>
      <c r="B503" s="19">
        <v>45018</v>
      </c>
      <c r="C503" s="20" t="s">
        <v>510</v>
      </c>
      <c r="D503" s="20" t="s">
        <v>5</v>
      </c>
      <c r="E503" s="18">
        <v>43</v>
      </c>
      <c r="F503" s="18" t="str">
        <f t="shared" si="14"/>
        <v>Adult</v>
      </c>
      <c r="G503" s="20" t="s">
        <v>11</v>
      </c>
      <c r="H503" s="18">
        <v>3</v>
      </c>
      <c r="I503" s="18">
        <v>50</v>
      </c>
      <c r="J503" s="18">
        <v>150</v>
      </c>
      <c r="K503" s="21" t="str">
        <f t="shared" si="15"/>
        <v>Low</v>
      </c>
      <c r="L503" s="18">
        <f>YEAR(B503)</f>
        <v>2023</v>
      </c>
      <c r="M503" s="18">
        <f>ROUNDUP(MONTH(B503)/3,0)</f>
        <v>2</v>
      </c>
      <c r="N503" s="20" t="str">
        <f>TEXT(B503,"dddd")</f>
        <v>Sunday</v>
      </c>
      <c r="O503" s="20" t="str">
        <f>TEXT(B503,"mmmm")</f>
        <v>April</v>
      </c>
    </row>
    <row r="504" spans="1:15" x14ac:dyDescent="0.3">
      <c r="A504" s="18">
        <v>503</v>
      </c>
      <c r="B504" s="19">
        <v>45224</v>
      </c>
      <c r="C504" s="20" t="s">
        <v>511</v>
      </c>
      <c r="D504" s="20" t="s">
        <v>5</v>
      </c>
      <c r="E504" s="18">
        <v>45</v>
      </c>
      <c r="F504" s="18" t="str">
        <f t="shared" si="14"/>
        <v>Adult</v>
      </c>
      <c r="G504" s="20" t="s">
        <v>6</v>
      </c>
      <c r="H504" s="18">
        <v>4</v>
      </c>
      <c r="I504" s="18">
        <v>500</v>
      </c>
      <c r="J504" s="18">
        <v>2000</v>
      </c>
      <c r="K504" s="21" t="str">
        <f t="shared" si="15"/>
        <v>High</v>
      </c>
      <c r="L504" s="18">
        <f>YEAR(B504)</f>
        <v>2023</v>
      </c>
      <c r="M504" s="18">
        <f>ROUNDUP(MONTH(B504)/3,0)</f>
        <v>4</v>
      </c>
      <c r="N504" s="20" t="str">
        <f>TEXT(B504,"dddd")</f>
        <v>Wednesday</v>
      </c>
      <c r="O504" s="20" t="str">
        <f>TEXT(B504,"mmmm")</f>
        <v>October</v>
      </c>
    </row>
    <row r="505" spans="1:15" x14ac:dyDescent="0.3">
      <c r="A505" s="18">
        <v>504</v>
      </c>
      <c r="B505" s="19">
        <v>45062</v>
      </c>
      <c r="C505" s="20" t="s">
        <v>512</v>
      </c>
      <c r="D505" s="20" t="s">
        <v>8</v>
      </c>
      <c r="E505" s="18">
        <v>38</v>
      </c>
      <c r="F505" s="18" t="str">
        <f t="shared" si="14"/>
        <v>Adult</v>
      </c>
      <c r="G505" s="20" t="s">
        <v>6</v>
      </c>
      <c r="H505" s="18">
        <v>3</v>
      </c>
      <c r="I505" s="18">
        <v>50</v>
      </c>
      <c r="J505" s="18">
        <v>150</v>
      </c>
      <c r="K505" s="21" t="str">
        <f t="shared" si="15"/>
        <v>Low</v>
      </c>
      <c r="L505" s="18">
        <f>YEAR(B505)</f>
        <v>2023</v>
      </c>
      <c r="M505" s="18">
        <f>ROUNDUP(MONTH(B505)/3,0)</f>
        <v>2</v>
      </c>
      <c r="N505" s="20" t="str">
        <f>TEXT(B505,"dddd")</f>
        <v>Tuesday</v>
      </c>
      <c r="O505" s="20" t="str">
        <f>TEXT(B505,"mmmm")</f>
        <v>May</v>
      </c>
    </row>
    <row r="506" spans="1:15" x14ac:dyDescent="0.3">
      <c r="A506" s="18">
        <v>505</v>
      </c>
      <c r="B506" s="19">
        <v>44946</v>
      </c>
      <c r="C506" s="20" t="s">
        <v>513</v>
      </c>
      <c r="D506" s="20" t="s">
        <v>5</v>
      </c>
      <c r="E506" s="18">
        <v>24</v>
      </c>
      <c r="F506" s="18" t="str">
        <f t="shared" si="14"/>
        <v>Young</v>
      </c>
      <c r="G506" s="20" t="s">
        <v>6</v>
      </c>
      <c r="H506" s="18">
        <v>1</v>
      </c>
      <c r="I506" s="18">
        <v>50</v>
      </c>
      <c r="J506" s="18">
        <v>50</v>
      </c>
      <c r="K506" s="21" t="str">
        <f t="shared" si="15"/>
        <v>Low</v>
      </c>
      <c r="L506" s="18">
        <f>YEAR(B506)</f>
        <v>2023</v>
      </c>
      <c r="M506" s="18">
        <f>ROUNDUP(MONTH(B506)/3,0)</f>
        <v>1</v>
      </c>
      <c r="N506" s="20" t="str">
        <f>TEXT(B506,"dddd")</f>
        <v>Friday</v>
      </c>
      <c r="O506" s="20" t="str">
        <f>TEXT(B506,"mmmm")</f>
        <v>January</v>
      </c>
    </row>
    <row r="507" spans="1:15" x14ac:dyDescent="0.3">
      <c r="A507" s="18">
        <v>506</v>
      </c>
      <c r="B507" s="19">
        <v>44982</v>
      </c>
      <c r="C507" s="20" t="s">
        <v>514</v>
      </c>
      <c r="D507" s="20" t="s">
        <v>5</v>
      </c>
      <c r="E507" s="18">
        <v>34</v>
      </c>
      <c r="F507" s="18" t="str">
        <f t="shared" si="14"/>
        <v>Adult</v>
      </c>
      <c r="G507" s="20" t="s">
        <v>6</v>
      </c>
      <c r="H507" s="18">
        <v>3</v>
      </c>
      <c r="I507" s="18">
        <v>500</v>
      </c>
      <c r="J507" s="18">
        <v>1500</v>
      </c>
      <c r="K507" s="21" t="str">
        <f t="shared" si="15"/>
        <v>Medium</v>
      </c>
      <c r="L507" s="18">
        <f>YEAR(B507)</f>
        <v>2023</v>
      </c>
      <c r="M507" s="18">
        <f>ROUNDUP(MONTH(B507)/3,0)</f>
        <v>1</v>
      </c>
      <c r="N507" s="20" t="str">
        <f>TEXT(B507,"dddd")</f>
        <v>Saturday</v>
      </c>
      <c r="O507" s="20" t="str">
        <f>TEXT(B507,"mmmm")</f>
        <v>February</v>
      </c>
    </row>
    <row r="508" spans="1:15" x14ac:dyDescent="0.3">
      <c r="A508" s="18">
        <v>507</v>
      </c>
      <c r="B508" s="19">
        <v>45232</v>
      </c>
      <c r="C508" s="20" t="s">
        <v>515</v>
      </c>
      <c r="D508" s="20" t="s">
        <v>8</v>
      </c>
      <c r="E508" s="18">
        <v>37</v>
      </c>
      <c r="F508" s="18" t="str">
        <f t="shared" si="14"/>
        <v>Adult</v>
      </c>
      <c r="G508" s="20" t="s">
        <v>11</v>
      </c>
      <c r="H508" s="18">
        <v>3</v>
      </c>
      <c r="I508" s="18">
        <v>500</v>
      </c>
      <c r="J508" s="18">
        <v>1500</v>
      </c>
      <c r="K508" s="21" t="str">
        <f t="shared" si="15"/>
        <v>Medium</v>
      </c>
      <c r="L508" s="18">
        <f>YEAR(B508)</f>
        <v>2023</v>
      </c>
      <c r="M508" s="18">
        <f>ROUNDUP(MONTH(B508)/3,0)</f>
        <v>4</v>
      </c>
      <c r="N508" s="20" t="str">
        <f>TEXT(B508,"dddd")</f>
        <v>Thursday</v>
      </c>
      <c r="O508" s="20" t="str">
        <f>TEXT(B508,"mmmm")</f>
        <v>November</v>
      </c>
    </row>
    <row r="509" spans="1:15" x14ac:dyDescent="0.3">
      <c r="A509" s="18">
        <v>508</v>
      </c>
      <c r="B509" s="19">
        <v>45149</v>
      </c>
      <c r="C509" s="20" t="s">
        <v>516</v>
      </c>
      <c r="D509" s="20" t="s">
        <v>5</v>
      </c>
      <c r="E509" s="18">
        <v>58</v>
      </c>
      <c r="F509" s="18" t="str">
        <f t="shared" si="14"/>
        <v>Adult</v>
      </c>
      <c r="G509" s="20" t="s">
        <v>6</v>
      </c>
      <c r="H509" s="18">
        <v>2</v>
      </c>
      <c r="I509" s="18">
        <v>300</v>
      </c>
      <c r="J509" s="18">
        <v>600</v>
      </c>
      <c r="K509" s="21" t="str">
        <f t="shared" si="15"/>
        <v>Medium</v>
      </c>
      <c r="L509" s="18">
        <f>YEAR(B509)</f>
        <v>2023</v>
      </c>
      <c r="M509" s="18">
        <f>ROUNDUP(MONTH(B509)/3,0)</f>
        <v>3</v>
      </c>
      <c r="N509" s="20" t="str">
        <f>TEXT(B509,"dddd")</f>
        <v>Friday</v>
      </c>
      <c r="O509" s="20" t="str">
        <f>TEXT(B509,"mmmm")</f>
        <v>August</v>
      </c>
    </row>
    <row r="510" spans="1:15" x14ac:dyDescent="0.3">
      <c r="A510" s="18">
        <v>509</v>
      </c>
      <c r="B510" s="19">
        <v>45103</v>
      </c>
      <c r="C510" s="20" t="s">
        <v>517</v>
      </c>
      <c r="D510" s="20" t="s">
        <v>8</v>
      </c>
      <c r="E510" s="18">
        <v>37</v>
      </c>
      <c r="F510" s="18" t="str">
        <f t="shared" si="14"/>
        <v>Adult</v>
      </c>
      <c r="G510" s="20" t="s">
        <v>11</v>
      </c>
      <c r="H510" s="18">
        <v>3</v>
      </c>
      <c r="I510" s="18">
        <v>300</v>
      </c>
      <c r="J510" s="18">
        <v>900</v>
      </c>
      <c r="K510" s="21" t="str">
        <f t="shared" si="15"/>
        <v>Medium</v>
      </c>
      <c r="L510" s="18">
        <f>YEAR(B510)</f>
        <v>2023</v>
      </c>
      <c r="M510" s="18">
        <f>ROUNDUP(MONTH(B510)/3,0)</f>
        <v>2</v>
      </c>
      <c r="N510" s="20" t="str">
        <f>TEXT(B510,"dddd")</f>
        <v>Monday</v>
      </c>
      <c r="O510" s="20" t="str">
        <f>TEXT(B510,"mmmm")</f>
        <v>June</v>
      </c>
    </row>
    <row r="511" spans="1:15" x14ac:dyDescent="0.3">
      <c r="A511" s="18">
        <v>510</v>
      </c>
      <c r="B511" s="19">
        <v>45087</v>
      </c>
      <c r="C511" s="20" t="s">
        <v>518</v>
      </c>
      <c r="D511" s="20" t="s">
        <v>8</v>
      </c>
      <c r="E511" s="18">
        <v>39</v>
      </c>
      <c r="F511" s="18" t="str">
        <f t="shared" si="14"/>
        <v>Adult</v>
      </c>
      <c r="G511" s="20" t="s">
        <v>6</v>
      </c>
      <c r="H511" s="18">
        <v>4</v>
      </c>
      <c r="I511" s="18">
        <v>50</v>
      </c>
      <c r="J511" s="18">
        <v>200</v>
      </c>
      <c r="K511" s="21" t="str">
        <f t="shared" si="15"/>
        <v>Low</v>
      </c>
      <c r="L511" s="18">
        <f>YEAR(B511)</f>
        <v>2023</v>
      </c>
      <c r="M511" s="18">
        <f>ROUNDUP(MONTH(B511)/3,0)</f>
        <v>2</v>
      </c>
      <c r="N511" s="20" t="str">
        <f>TEXT(B511,"dddd")</f>
        <v>Saturday</v>
      </c>
      <c r="O511" s="20" t="str">
        <f>TEXT(B511,"mmmm")</f>
        <v>June</v>
      </c>
    </row>
    <row r="512" spans="1:15" x14ac:dyDescent="0.3">
      <c r="A512" s="18">
        <v>511</v>
      </c>
      <c r="B512" s="19">
        <v>45150</v>
      </c>
      <c r="C512" s="20" t="s">
        <v>519</v>
      </c>
      <c r="D512" s="20" t="s">
        <v>5</v>
      </c>
      <c r="E512" s="18">
        <v>45</v>
      </c>
      <c r="F512" s="18" t="str">
        <f t="shared" si="14"/>
        <v>Adult</v>
      </c>
      <c r="G512" s="20" t="s">
        <v>6</v>
      </c>
      <c r="H512" s="18">
        <v>2</v>
      </c>
      <c r="I512" s="18">
        <v>50</v>
      </c>
      <c r="J512" s="18">
        <v>100</v>
      </c>
      <c r="K512" s="21" t="str">
        <f t="shared" si="15"/>
        <v>Low</v>
      </c>
      <c r="L512" s="18">
        <f>YEAR(B512)</f>
        <v>2023</v>
      </c>
      <c r="M512" s="18">
        <f>ROUNDUP(MONTH(B512)/3,0)</f>
        <v>3</v>
      </c>
      <c r="N512" s="20" t="str">
        <f>TEXT(B512,"dddd")</f>
        <v>Saturday</v>
      </c>
      <c r="O512" s="20" t="str">
        <f>TEXT(B512,"mmmm")</f>
        <v>August</v>
      </c>
    </row>
    <row r="513" spans="1:15" x14ac:dyDescent="0.3">
      <c r="A513" s="18">
        <v>512</v>
      </c>
      <c r="B513" s="19">
        <v>45237</v>
      </c>
      <c r="C513" s="20" t="s">
        <v>520</v>
      </c>
      <c r="D513" s="20" t="s">
        <v>8</v>
      </c>
      <c r="E513" s="18">
        <v>57</v>
      </c>
      <c r="F513" s="18" t="str">
        <f t="shared" si="14"/>
        <v>Adult</v>
      </c>
      <c r="G513" s="20" t="s">
        <v>6</v>
      </c>
      <c r="H513" s="18">
        <v>1</v>
      </c>
      <c r="I513" s="18">
        <v>25</v>
      </c>
      <c r="J513" s="18">
        <v>25</v>
      </c>
      <c r="K513" s="21" t="str">
        <f t="shared" si="15"/>
        <v>Low</v>
      </c>
      <c r="L513" s="18">
        <f>YEAR(B513)</f>
        <v>2023</v>
      </c>
      <c r="M513" s="18">
        <f>ROUNDUP(MONTH(B513)/3,0)</f>
        <v>4</v>
      </c>
      <c r="N513" s="20" t="str">
        <f>TEXT(B513,"dddd")</f>
        <v>Tuesday</v>
      </c>
      <c r="O513" s="20" t="str">
        <f>TEXT(B513,"mmmm")</f>
        <v>November</v>
      </c>
    </row>
    <row r="514" spans="1:15" x14ac:dyDescent="0.3">
      <c r="A514" s="18">
        <v>513</v>
      </c>
      <c r="B514" s="19">
        <v>45188</v>
      </c>
      <c r="C514" s="20" t="s">
        <v>521</v>
      </c>
      <c r="D514" s="20" t="s">
        <v>5</v>
      </c>
      <c r="E514" s="18">
        <v>24</v>
      </c>
      <c r="F514" s="18" t="str">
        <f t="shared" si="14"/>
        <v>Young</v>
      </c>
      <c r="G514" s="20" t="s">
        <v>11</v>
      </c>
      <c r="H514" s="18">
        <v>4</v>
      </c>
      <c r="I514" s="18">
        <v>25</v>
      </c>
      <c r="J514" s="18">
        <v>100</v>
      </c>
      <c r="K514" s="21" t="str">
        <f t="shared" si="15"/>
        <v>Low</v>
      </c>
      <c r="L514" s="18">
        <f>YEAR(B514)</f>
        <v>2023</v>
      </c>
      <c r="M514" s="18">
        <f>ROUNDUP(MONTH(B514)/3,0)</f>
        <v>3</v>
      </c>
      <c r="N514" s="20" t="str">
        <f>TEXT(B514,"dddd")</f>
        <v>Tuesday</v>
      </c>
      <c r="O514" s="20" t="str">
        <f>TEXT(B514,"mmmm")</f>
        <v>September</v>
      </c>
    </row>
    <row r="515" spans="1:15" x14ac:dyDescent="0.3">
      <c r="A515" s="18">
        <v>514</v>
      </c>
      <c r="B515" s="19">
        <v>44986</v>
      </c>
      <c r="C515" s="20" t="s">
        <v>522</v>
      </c>
      <c r="D515" s="20" t="s">
        <v>8</v>
      </c>
      <c r="E515" s="18">
        <v>18</v>
      </c>
      <c r="F515" s="18" t="str">
        <f t="shared" ref="F515:F578" si="16">IF(E515&gt;60,"Senior",IF(E515&gt;30,"Adult","Young"))</f>
        <v>Young</v>
      </c>
      <c r="G515" s="20" t="s">
        <v>11</v>
      </c>
      <c r="H515" s="18">
        <v>1</v>
      </c>
      <c r="I515" s="18">
        <v>300</v>
      </c>
      <c r="J515" s="18">
        <v>300</v>
      </c>
      <c r="K515" s="21" t="str">
        <f t="shared" ref="K515:K578" si="17">IF(J515&gt;1500,"High",IF(J515&gt;500,"Medium","Low"))</f>
        <v>Low</v>
      </c>
      <c r="L515" s="18">
        <f>YEAR(B515)</f>
        <v>2023</v>
      </c>
      <c r="M515" s="18">
        <f>ROUNDUP(MONTH(B515)/3,0)</f>
        <v>1</v>
      </c>
      <c r="N515" s="20" t="str">
        <f>TEXT(B515,"dddd")</f>
        <v>Wednesday</v>
      </c>
      <c r="O515" s="20" t="str">
        <f>TEXT(B515,"mmmm")</f>
        <v>March</v>
      </c>
    </row>
    <row r="516" spans="1:15" x14ac:dyDescent="0.3">
      <c r="A516" s="18">
        <v>515</v>
      </c>
      <c r="B516" s="19">
        <v>45124</v>
      </c>
      <c r="C516" s="20" t="s">
        <v>523</v>
      </c>
      <c r="D516" s="20" t="s">
        <v>8</v>
      </c>
      <c r="E516" s="18">
        <v>49</v>
      </c>
      <c r="F516" s="18" t="str">
        <f t="shared" si="16"/>
        <v>Adult</v>
      </c>
      <c r="G516" s="20" t="s">
        <v>9</v>
      </c>
      <c r="H516" s="18">
        <v>3</v>
      </c>
      <c r="I516" s="18">
        <v>300</v>
      </c>
      <c r="J516" s="18">
        <v>900</v>
      </c>
      <c r="K516" s="21" t="str">
        <f t="shared" si="17"/>
        <v>Medium</v>
      </c>
      <c r="L516" s="18">
        <f>YEAR(B516)</f>
        <v>2023</v>
      </c>
      <c r="M516" s="18">
        <f>ROUNDUP(MONTH(B516)/3,0)</f>
        <v>3</v>
      </c>
      <c r="N516" s="20" t="str">
        <f>TEXT(B516,"dddd")</f>
        <v>Monday</v>
      </c>
      <c r="O516" s="20" t="str">
        <f>TEXT(B516,"mmmm")</f>
        <v>July</v>
      </c>
    </row>
    <row r="517" spans="1:15" x14ac:dyDescent="0.3">
      <c r="A517" s="18">
        <v>516</v>
      </c>
      <c r="B517" s="19">
        <v>45222</v>
      </c>
      <c r="C517" s="20" t="s">
        <v>524</v>
      </c>
      <c r="D517" s="20" t="s">
        <v>5</v>
      </c>
      <c r="E517" s="18">
        <v>30</v>
      </c>
      <c r="F517" s="18" t="str">
        <f t="shared" si="16"/>
        <v>Young</v>
      </c>
      <c r="G517" s="20" t="s">
        <v>6</v>
      </c>
      <c r="H517" s="18">
        <v>4</v>
      </c>
      <c r="I517" s="18">
        <v>25</v>
      </c>
      <c r="J517" s="18">
        <v>100</v>
      </c>
      <c r="K517" s="21" t="str">
        <f t="shared" si="17"/>
        <v>Low</v>
      </c>
      <c r="L517" s="18">
        <f>YEAR(B517)</f>
        <v>2023</v>
      </c>
      <c r="M517" s="18">
        <f>ROUNDUP(MONTH(B517)/3,0)</f>
        <v>4</v>
      </c>
      <c r="N517" s="20" t="str">
        <f>TEXT(B517,"dddd")</f>
        <v>Monday</v>
      </c>
      <c r="O517" s="20" t="str">
        <f>TEXT(B517,"mmmm")</f>
        <v>October</v>
      </c>
    </row>
    <row r="518" spans="1:15" x14ac:dyDescent="0.3">
      <c r="A518" s="18">
        <v>517</v>
      </c>
      <c r="B518" s="19">
        <v>45024</v>
      </c>
      <c r="C518" s="20" t="s">
        <v>525</v>
      </c>
      <c r="D518" s="20" t="s">
        <v>8</v>
      </c>
      <c r="E518" s="18">
        <v>47</v>
      </c>
      <c r="F518" s="18" t="str">
        <f t="shared" si="16"/>
        <v>Adult</v>
      </c>
      <c r="G518" s="20" t="s">
        <v>9</v>
      </c>
      <c r="H518" s="18">
        <v>4</v>
      </c>
      <c r="I518" s="18">
        <v>25</v>
      </c>
      <c r="J518" s="18">
        <v>100</v>
      </c>
      <c r="K518" s="21" t="str">
        <f t="shared" si="17"/>
        <v>Low</v>
      </c>
      <c r="L518" s="18">
        <f>YEAR(B518)</f>
        <v>2023</v>
      </c>
      <c r="M518" s="18">
        <f>ROUNDUP(MONTH(B518)/3,0)</f>
        <v>2</v>
      </c>
      <c r="N518" s="20" t="str">
        <f>TEXT(B518,"dddd")</f>
        <v>Saturday</v>
      </c>
      <c r="O518" s="20" t="str">
        <f>TEXT(B518,"mmmm")</f>
        <v>April</v>
      </c>
    </row>
    <row r="519" spans="1:15" x14ac:dyDescent="0.3">
      <c r="A519" s="18">
        <v>518</v>
      </c>
      <c r="B519" s="19">
        <v>45057</v>
      </c>
      <c r="C519" s="20" t="s">
        <v>526</v>
      </c>
      <c r="D519" s="20" t="s">
        <v>8</v>
      </c>
      <c r="E519" s="18">
        <v>40</v>
      </c>
      <c r="F519" s="18" t="str">
        <f t="shared" si="16"/>
        <v>Adult</v>
      </c>
      <c r="G519" s="20" t="s">
        <v>9</v>
      </c>
      <c r="H519" s="18">
        <v>1</v>
      </c>
      <c r="I519" s="18">
        <v>30</v>
      </c>
      <c r="J519" s="18">
        <v>30</v>
      </c>
      <c r="K519" s="21" t="str">
        <f t="shared" si="17"/>
        <v>Low</v>
      </c>
      <c r="L519" s="18">
        <f>YEAR(B519)</f>
        <v>2023</v>
      </c>
      <c r="M519" s="18">
        <f>ROUNDUP(MONTH(B519)/3,0)</f>
        <v>2</v>
      </c>
      <c r="N519" s="20" t="str">
        <f>TEXT(B519,"dddd")</f>
        <v>Thursday</v>
      </c>
      <c r="O519" s="20" t="str">
        <f>TEXT(B519,"mmmm")</f>
        <v>May</v>
      </c>
    </row>
    <row r="520" spans="1:15" x14ac:dyDescent="0.3">
      <c r="A520" s="18">
        <v>519</v>
      </c>
      <c r="B520" s="19">
        <v>44949</v>
      </c>
      <c r="C520" s="20" t="s">
        <v>527</v>
      </c>
      <c r="D520" s="20" t="s">
        <v>8</v>
      </c>
      <c r="E520" s="18">
        <v>36</v>
      </c>
      <c r="F520" s="18" t="str">
        <f t="shared" si="16"/>
        <v>Adult</v>
      </c>
      <c r="G520" s="20" t="s">
        <v>11</v>
      </c>
      <c r="H520" s="18">
        <v>4</v>
      </c>
      <c r="I520" s="18">
        <v>30</v>
      </c>
      <c r="J520" s="18">
        <v>120</v>
      </c>
      <c r="K520" s="21" t="str">
        <f t="shared" si="17"/>
        <v>Low</v>
      </c>
      <c r="L520" s="18">
        <f>YEAR(B520)</f>
        <v>2023</v>
      </c>
      <c r="M520" s="18">
        <f>ROUNDUP(MONTH(B520)/3,0)</f>
        <v>1</v>
      </c>
      <c r="N520" s="20" t="str">
        <f>TEXT(B520,"dddd")</f>
        <v>Monday</v>
      </c>
      <c r="O520" s="20" t="str">
        <f>TEXT(B520,"mmmm")</f>
        <v>January</v>
      </c>
    </row>
    <row r="521" spans="1:15" x14ac:dyDescent="0.3">
      <c r="A521" s="18">
        <v>520</v>
      </c>
      <c r="B521" s="19">
        <v>45289</v>
      </c>
      <c r="C521" s="20" t="s">
        <v>528</v>
      </c>
      <c r="D521" s="20" t="s">
        <v>8</v>
      </c>
      <c r="E521" s="18">
        <v>49</v>
      </c>
      <c r="F521" s="18" t="str">
        <f t="shared" si="16"/>
        <v>Adult</v>
      </c>
      <c r="G521" s="20" t="s">
        <v>11</v>
      </c>
      <c r="H521" s="18">
        <v>4</v>
      </c>
      <c r="I521" s="18">
        <v>25</v>
      </c>
      <c r="J521" s="18">
        <v>100</v>
      </c>
      <c r="K521" s="21" t="str">
        <f t="shared" si="17"/>
        <v>Low</v>
      </c>
      <c r="L521" s="18">
        <f>YEAR(B521)</f>
        <v>2023</v>
      </c>
      <c r="M521" s="18">
        <f>ROUNDUP(MONTH(B521)/3,0)</f>
        <v>4</v>
      </c>
      <c r="N521" s="20" t="str">
        <f>TEXT(B521,"dddd")</f>
        <v>Friday</v>
      </c>
      <c r="O521" s="20" t="str">
        <f>TEXT(B521,"mmmm")</f>
        <v>December</v>
      </c>
    </row>
    <row r="522" spans="1:15" x14ac:dyDescent="0.3">
      <c r="A522" s="18">
        <v>521</v>
      </c>
      <c r="B522" s="19">
        <v>45150</v>
      </c>
      <c r="C522" s="20" t="s">
        <v>529</v>
      </c>
      <c r="D522" s="20" t="s">
        <v>8</v>
      </c>
      <c r="E522" s="18">
        <v>47</v>
      </c>
      <c r="F522" s="18" t="str">
        <f t="shared" si="16"/>
        <v>Adult</v>
      </c>
      <c r="G522" s="20" t="s">
        <v>9</v>
      </c>
      <c r="H522" s="18">
        <v>4</v>
      </c>
      <c r="I522" s="18">
        <v>30</v>
      </c>
      <c r="J522" s="18">
        <v>120</v>
      </c>
      <c r="K522" s="21" t="str">
        <f t="shared" si="17"/>
        <v>Low</v>
      </c>
      <c r="L522" s="18">
        <f>YEAR(B522)</f>
        <v>2023</v>
      </c>
      <c r="M522" s="18">
        <f>ROUNDUP(MONTH(B522)/3,0)</f>
        <v>3</v>
      </c>
      <c r="N522" s="20" t="str">
        <f>TEXT(B522,"dddd")</f>
        <v>Saturday</v>
      </c>
      <c r="O522" s="20" t="str">
        <f>TEXT(B522,"mmmm")</f>
        <v>August</v>
      </c>
    </row>
    <row r="523" spans="1:15" x14ac:dyDescent="0.3">
      <c r="A523" s="18">
        <v>522</v>
      </c>
      <c r="B523" s="19">
        <v>44927</v>
      </c>
      <c r="C523" s="20" t="s">
        <v>530</v>
      </c>
      <c r="D523" s="20" t="s">
        <v>5</v>
      </c>
      <c r="E523" s="18">
        <v>46</v>
      </c>
      <c r="F523" s="18" t="str">
        <f t="shared" si="16"/>
        <v>Adult</v>
      </c>
      <c r="G523" s="20" t="s">
        <v>6</v>
      </c>
      <c r="H523" s="18">
        <v>3</v>
      </c>
      <c r="I523" s="18">
        <v>500</v>
      </c>
      <c r="J523" s="18">
        <v>1500</v>
      </c>
      <c r="K523" s="21" t="str">
        <f t="shared" si="17"/>
        <v>Medium</v>
      </c>
      <c r="L523" s="18">
        <f>YEAR(B523)</f>
        <v>2023</v>
      </c>
      <c r="M523" s="18">
        <f>ROUNDUP(MONTH(B523)/3,0)</f>
        <v>1</v>
      </c>
      <c r="N523" s="20" t="str">
        <f>TEXT(B523,"dddd")</f>
        <v>Sunday</v>
      </c>
      <c r="O523" s="20" t="str">
        <f>TEXT(B523,"mmmm")</f>
        <v>January</v>
      </c>
    </row>
    <row r="524" spans="1:15" x14ac:dyDescent="0.3">
      <c r="A524" s="18">
        <v>523</v>
      </c>
      <c r="B524" s="19">
        <v>45193</v>
      </c>
      <c r="C524" s="20" t="s">
        <v>531</v>
      </c>
      <c r="D524" s="20" t="s">
        <v>8</v>
      </c>
      <c r="E524" s="18">
        <v>62</v>
      </c>
      <c r="F524" s="18" t="str">
        <f t="shared" si="16"/>
        <v>Senior</v>
      </c>
      <c r="G524" s="20" t="s">
        <v>11</v>
      </c>
      <c r="H524" s="18">
        <v>1</v>
      </c>
      <c r="I524" s="18">
        <v>300</v>
      </c>
      <c r="J524" s="18">
        <v>300</v>
      </c>
      <c r="K524" s="21" t="str">
        <f t="shared" si="17"/>
        <v>Low</v>
      </c>
      <c r="L524" s="18">
        <f>YEAR(B524)</f>
        <v>2023</v>
      </c>
      <c r="M524" s="18">
        <f>ROUNDUP(MONTH(B524)/3,0)</f>
        <v>3</v>
      </c>
      <c r="N524" s="20" t="str">
        <f>TEXT(B524,"dddd")</f>
        <v>Sunday</v>
      </c>
      <c r="O524" s="20" t="str">
        <f>TEXT(B524,"mmmm")</f>
        <v>September</v>
      </c>
    </row>
    <row r="525" spans="1:15" x14ac:dyDescent="0.3">
      <c r="A525" s="18">
        <v>524</v>
      </c>
      <c r="B525" s="19">
        <v>45202</v>
      </c>
      <c r="C525" s="20" t="s">
        <v>532</v>
      </c>
      <c r="D525" s="20" t="s">
        <v>5</v>
      </c>
      <c r="E525" s="18">
        <v>46</v>
      </c>
      <c r="F525" s="18" t="str">
        <f t="shared" si="16"/>
        <v>Adult</v>
      </c>
      <c r="G525" s="20" t="s">
        <v>6</v>
      </c>
      <c r="H525" s="18">
        <v>4</v>
      </c>
      <c r="I525" s="18">
        <v>300</v>
      </c>
      <c r="J525" s="18">
        <v>1200</v>
      </c>
      <c r="K525" s="21" t="str">
        <f t="shared" si="17"/>
        <v>Medium</v>
      </c>
      <c r="L525" s="18">
        <f>YEAR(B525)</f>
        <v>2023</v>
      </c>
      <c r="M525" s="18">
        <f>ROUNDUP(MONTH(B525)/3,0)</f>
        <v>4</v>
      </c>
      <c r="N525" s="20" t="str">
        <f>TEXT(B525,"dddd")</f>
        <v>Tuesday</v>
      </c>
      <c r="O525" s="20" t="str">
        <f>TEXT(B525,"mmmm")</f>
        <v>October</v>
      </c>
    </row>
    <row r="526" spans="1:15" x14ac:dyDescent="0.3">
      <c r="A526" s="18">
        <v>525</v>
      </c>
      <c r="B526" s="19">
        <v>45278</v>
      </c>
      <c r="C526" s="20" t="s">
        <v>533</v>
      </c>
      <c r="D526" s="20" t="s">
        <v>8</v>
      </c>
      <c r="E526" s="18">
        <v>47</v>
      </c>
      <c r="F526" s="18" t="str">
        <f t="shared" si="16"/>
        <v>Adult</v>
      </c>
      <c r="G526" s="20" t="s">
        <v>6</v>
      </c>
      <c r="H526" s="18">
        <v>2</v>
      </c>
      <c r="I526" s="18">
        <v>25</v>
      </c>
      <c r="J526" s="18">
        <v>50</v>
      </c>
      <c r="K526" s="21" t="str">
        <f t="shared" si="17"/>
        <v>Low</v>
      </c>
      <c r="L526" s="18">
        <f>YEAR(B526)</f>
        <v>2023</v>
      </c>
      <c r="M526" s="18">
        <f>ROUNDUP(MONTH(B526)/3,0)</f>
        <v>4</v>
      </c>
      <c r="N526" s="20" t="str">
        <f>TEXT(B526,"dddd")</f>
        <v>Monday</v>
      </c>
      <c r="O526" s="20" t="str">
        <f>TEXT(B526,"mmmm")</f>
        <v>December</v>
      </c>
    </row>
    <row r="527" spans="1:15" x14ac:dyDescent="0.3">
      <c r="A527" s="18">
        <v>526</v>
      </c>
      <c r="B527" s="19">
        <v>45270</v>
      </c>
      <c r="C527" s="20" t="s">
        <v>534</v>
      </c>
      <c r="D527" s="20" t="s">
        <v>5</v>
      </c>
      <c r="E527" s="18">
        <v>33</v>
      </c>
      <c r="F527" s="18" t="str">
        <f t="shared" si="16"/>
        <v>Adult</v>
      </c>
      <c r="G527" s="20" t="s">
        <v>9</v>
      </c>
      <c r="H527" s="18">
        <v>2</v>
      </c>
      <c r="I527" s="18">
        <v>50</v>
      </c>
      <c r="J527" s="18">
        <v>100</v>
      </c>
      <c r="K527" s="21" t="str">
        <f t="shared" si="17"/>
        <v>Low</v>
      </c>
      <c r="L527" s="18">
        <f>YEAR(B527)</f>
        <v>2023</v>
      </c>
      <c r="M527" s="18">
        <f>ROUNDUP(MONTH(B527)/3,0)</f>
        <v>4</v>
      </c>
      <c r="N527" s="20" t="str">
        <f>TEXT(B527,"dddd")</f>
        <v>Sunday</v>
      </c>
      <c r="O527" s="20" t="str">
        <f>TEXT(B527,"mmmm")</f>
        <v>December</v>
      </c>
    </row>
    <row r="528" spans="1:15" x14ac:dyDescent="0.3">
      <c r="A528" s="18">
        <v>527</v>
      </c>
      <c r="B528" s="19">
        <v>45027</v>
      </c>
      <c r="C528" s="20" t="s">
        <v>535</v>
      </c>
      <c r="D528" s="20" t="s">
        <v>5</v>
      </c>
      <c r="E528" s="18">
        <v>57</v>
      </c>
      <c r="F528" s="18" t="str">
        <f t="shared" si="16"/>
        <v>Adult</v>
      </c>
      <c r="G528" s="20" t="s">
        <v>9</v>
      </c>
      <c r="H528" s="18">
        <v>2</v>
      </c>
      <c r="I528" s="18">
        <v>25</v>
      </c>
      <c r="J528" s="18">
        <v>50</v>
      </c>
      <c r="K528" s="21" t="str">
        <f t="shared" si="17"/>
        <v>Low</v>
      </c>
      <c r="L528" s="18">
        <f>YEAR(B528)</f>
        <v>2023</v>
      </c>
      <c r="M528" s="18">
        <f>ROUNDUP(MONTH(B528)/3,0)</f>
        <v>2</v>
      </c>
      <c r="N528" s="20" t="str">
        <f>TEXT(B528,"dddd")</f>
        <v>Tuesday</v>
      </c>
      <c r="O528" s="20" t="str">
        <f>TEXT(B528,"mmmm")</f>
        <v>April</v>
      </c>
    </row>
    <row r="529" spans="1:15" x14ac:dyDescent="0.3">
      <c r="A529" s="18">
        <v>528</v>
      </c>
      <c r="B529" s="19">
        <v>45113</v>
      </c>
      <c r="C529" s="20" t="s">
        <v>536</v>
      </c>
      <c r="D529" s="20" t="s">
        <v>8</v>
      </c>
      <c r="E529" s="18">
        <v>36</v>
      </c>
      <c r="F529" s="18" t="str">
        <f t="shared" si="16"/>
        <v>Adult</v>
      </c>
      <c r="G529" s="20" t="s">
        <v>9</v>
      </c>
      <c r="H529" s="18">
        <v>2</v>
      </c>
      <c r="I529" s="18">
        <v>30</v>
      </c>
      <c r="J529" s="18">
        <v>60</v>
      </c>
      <c r="K529" s="21" t="str">
        <f t="shared" si="17"/>
        <v>Low</v>
      </c>
      <c r="L529" s="18">
        <f>YEAR(B529)</f>
        <v>2023</v>
      </c>
      <c r="M529" s="18">
        <f>ROUNDUP(MONTH(B529)/3,0)</f>
        <v>3</v>
      </c>
      <c r="N529" s="20" t="str">
        <f>TEXT(B529,"dddd")</f>
        <v>Thursday</v>
      </c>
      <c r="O529" s="20" t="str">
        <f>TEXT(B529,"mmmm")</f>
        <v>July</v>
      </c>
    </row>
    <row r="530" spans="1:15" x14ac:dyDescent="0.3">
      <c r="A530" s="18">
        <v>529</v>
      </c>
      <c r="B530" s="19">
        <v>45147</v>
      </c>
      <c r="C530" s="20" t="s">
        <v>537</v>
      </c>
      <c r="D530" s="20" t="s">
        <v>8</v>
      </c>
      <c r="E530" s="18">
        <v>35</v>
      </c>
      <c r="F530" s="18" t="str">
        <f t="shared" si="16"/>
        <v>Adult</v>
      </c>
      <c r="G530" s="20" t="s">
        <v>9</v>
      </c>
      <c r="H530" s="18">
        <v>3</v>
      </c>
      <c r="I530" s="18">
        <v>50</v>
      </c>
      <c r="J530" s="18">
        <v>150</v>
      </c>
      <c r="K530" s="21" t="str">
        <f t="shared" si="17"/>
        <v>Low</v>
      </c>
      <c r="L530" s="18">
        <f>YEAR(B530)</f>
        <v>2023</v>
      </c>
      <c r="M530" s="18">
        <f>ROUNDUP(MONTH(B530)/3,0)</f>
        <v>3</v>
      </c>
      <c r="N530" s="20" t="str">
        <f>TEXT(B530,"dddd")</f>
        <v>Wednesday</v>
      </c>
      <c r="O530" s="20" t="str">
        <f>TEXT(B530,"mmmm")</f>
        <v>August</v>
      </c>
    </row>
    <row r="531" spans="1:15" x14ac:dyDescent="0.3">
      <c r="A531" s="18">
        <v>530</v>
      </c>
      <c r="B531" s="19">
        <v>44962</v>
      </c>
      <c r="C531" s="20" t="s">
        <v>538</v>
      </c>
      <c r="D531" s="20" t="s">
        <v>8</v>
      </c>
      <c r="E531" s="18">
        <v>18</v>
      </c>
      <c r="F531" s="18" t="str">
        <f t="shared" si="16"/>
        <v>Young</v>
      </c>
      <c r="G531" s="20" t="s">
        <v>11</v>
      </c>
      <c r="H531" s="18">
        <v>4</v>
      </c>
      <c r="I531" s="18">
        <v>30</v>
      </c>
      <c r="J531" s="18">
        <v>120</v>
      </c>
      <c r="K531" s="21" t="str">
        <f t="shared" si="17"/>
        <v>Low</v>
      </c>
      <c r="L531" s="18">
        <f>YEAR(B531)</f>
        <v>2023</v>
      </c>
      <c r="M531" s="18">
        <f>ROUNDUP(MONTH(B531)/3,0)</f>
        <v>1</v>
      </c>
      <c r="N531" s="20" t="str">
        <f>TEXT(B531,"dddd")</f>
        <v>Sunday</v>
      </c>
      <c r="O531" s="20" t="str">
        <f>TEXT(B531,"mmmm")</f>
        <v>February</v>
      </c>
    </row>
    <row r="532" spans="1:15" x14ac:dyDescent="0.3">
      <c r="A532" s="18">
        <v>531</v>
      </c>
      <c r="B532" s="19">
        <v>45267</v>
      </c>
      <c r="C532" s="20" t="s">
        <v>539</v>
      </c>
      <c r="D532" s="20" t="s">
        <v>5</v>
      </c>
      <c r="E532" s="18">
        <v>31</v>
      </c>
      <c r="F532" s="18" t="str">
        <f t="shared" si="16"/>
        <v>Adult</v>
      </c>
      <c r="G532" s="20" t="s">
        <v>11</v>
      </c>
      <c r="H532" s="18">
        <v>1</v>
      </c>
      <c r="I532" s="18">
        <v>500</v>
      </c>
      <c r="J532" s="18">
        <v>500</v>
      </c>
      <c r="K532" s="21" t="str">
        <f t="shared" si="17"/>
        <v>Low</v>
      </c>
      <c r="L532" s="18">
        <f>YEAR(B532)</f>
        <v>2023</v>
      </c>
      <c r="M532" s="18">
        <f>ROUNDUP(MONTH(B532)/3,0)</f>
        <v>4</v>
      </c>
      <c r="N532" s="20" t="str">
        <f>TEXT(B532,"dddd")</f>
        <v>Thursday</v>
      </c>
      <c r="O532" s="20" t="str">
        <f>TEXT(B532,"mmmm")</f>
        <v>December</v>
      </c>
    </row>
    <row r="533" spans="1:15" x14ac:dyDescent="0.3">
      <c r="A533" s="18">
        <v>532</v>
      </c>
      <c r="B533" s="19">
        <v>45096</v>
      </c>
      <c r="C533" s="20" t="s">
        <v>540</v>
      </c>
      <c r="D533" s="20" t="s">
        <v>8</v>
      </c>
      <c r="E533" s="18">
        <v>64</v>
      </c>
      <c r="F533" s="18" t="str">
        <f t="shared" si="16"/>
        <v>Senior</v>
      </c>
      <c r="G533" s="20" t="s">
        <v>9</v>
      </c>
      <c r="H533" s="18">
        <v>4</v>
      </c>
      <c r="I533" s="18">
        <v>30</v>
      </c>
      <c r="J533" s="18">
        <v>120</v>
      </c>
      <c r="K533" s="21" t="str">
        <f t="shared" si="17"/>
        <v>Low</v>
      </c>
      <c r="L533" s="18">
        <f>YEAR(B533)</f>
        <v>2023</v>
      </c>
      <c r="M533" s="18">
        <f>ROUNDUP(MONTH(B533)/3,0)</f>
        <v>2</v>
      </c>
      <c r="N533" s="20" t="str">
        <f>TEXT(B533,"dddd")</f>
        <v>Monday</v>
      </c>
      <c r="O533" s="20" t="str">
        <f>TEXT(B533,"mmmm")</f>
        <v>June</v>
      </c>
    </row>
    <row r="534" spans="1:15" x14ac:dyDescent="0.3">
      <c r="A534" s="18">
        <v>533</v>
      </c>
      <c r="B534" s="19">
        <v>45246</v>
      </c>
      <c r="C534" s="20" t="s">
        <v>541</v>
      </c>
      <c r="D534" s="20" t="s">
        <v>5</v>
      </c>
      <c r="E534" s="18">
        <v>19</v>
      </c>
      <c r="F534" s="18" t="str">
        <f t="shared" si="16"/>
        <v>Young</v>
      </c>
      <c r="G534" s="20" t="s">
        <v>11</v>
      </c>
      <c r="H534" s="18">
        <v>3</v>
      </c>
      <c r="I534" s="18">
        <v>500</v>
      </c>
      <c r="J534" s="18">
        <v>1500</v>
      </c>
      <c r="K534" s="21" t="str">
        <f t="shared" si="17"/>
        <v>Medium</v>
      </c>
      <c r="L534" s="18">
        <f>YEAR(B534)</f>
        <v>2023</v>
      </c>
      <c r="M534" s="18">
        <f>ROUNDUP(MONTH(B534)/3,0)</f>
        <v>4</v>
      </c>
      <c r="N534" s="20" t="str">
        <f>TEXT(B534,"dddd")</f>
        <v>Thursday</v>
      </c>
      <c r="O534" s="20" t="str">
        <f>TEXT(B534,"mmmm")</f>
        <v>November</v>
      </c>
    </row>
    <row r="535" spans="1:15" x14ac:dyDescent="0.3">
      <c r="A535" s="18">
        <v>534</v>
      </c>
      <c r="B535" s="19">
        <v>45087</v>
      </c>
      <c r="C535" s="20" t="s">
        <v>542</v>
      </c>
      <c r="D535" s="20" t="s">
        <v>5</v>
      </c>
      <c r="E535" s="18">
        <v>45</v>
      </c>
      <c r="F535" s="18" t="str">
        <f t="shared" si="16"/>
        <v>Adult</v>
      </c>
      <c r="G535" s="20" t="s">
        <v>9</v>
      </c>
      <c r="H535" s="18">
        <v>2</v>
      </c>
      <c r="I535" s="18">
        <v>500</v>
      </c>
      <c r="J535" s="18">
        <v>1000</v>
      </c>
      <c r="K535" s="21" t="str">
        <f t="shared" si="17"/>
        <v>Medium</v>
      </c>
      <c r="L535" s="18">
        <f>YEAR(B535)</f>
        <v>2023</v>
      </c>
      <c r="M535" s="18">
        <f>ROUNDUP(MONTH(B535)/3,0)</f>
        <v>2</v>
      </c>
      <c r="N535" s="20" t="str">
        <f>TEXT(B535,"dddd")</f>
        <v>Saturday</v>
      </c>
      <c r="O535" s="20" t="str">
        <f>TEXT(B535,"mmmm")</f>
        <v>June</v>
      </c>
    </row>
    <row r="536" spans="1:15" x14ac:dyDescent="0.3">
      <c r="A536" s="18">
        <v>535</v>
      </c>
      <c r="B536" s="19">
        <v>45266</v>
      </c>
      <c r="C536" s="20" t="s">
        <v>543</v>
      </c>
      <c r="D536" s="20" t="s">
        <v>5</v>
      </c>
      <c r="E536" s="18">
        <v>47</v>
      </c>
      <c r="F536" s="18" t="str">
        <f t="shared" si="16"/>
        <v>Adult</v>
      </c>
      <c r="G536" s="20" t="s">
        <v>6</v>
      </c>
      <c r="H536" s="18">
        <v>3</v>
      </c>
      <c r="I536" s="18">
        <v>30</v>
      </c>
      <c r="J536" s="18">
        <v>90</v>
      </c>
      <c r="K536" s="21" t="str">
        <f t="shared" si="17"/>
        <v>Low</v>
      </c>
      <c r="L536" s="18">
        <f>YEAR(B536)</f>
        <v>2023</v>
      </c>
      <c r="M536" s="18">
        <f>ROUNDUP(MONTH(B536)/3,0)</f>
        <v>4</v>
      </c>
      <c r="N536" s="20" t="str">
        <f>TEXT(B536,"dddd")</f>
        <v>Wednesday</v>
      </c>
      <c r="O536" s="20" t="str">
        <f>TEXT(B536,"mmmm")</f>
        <v>December</v>
      </c>
    </row>
    <row r="537" spans="1:15" x14ac:dyDescent="0.3">
      <c r="A537" s="18">
        <v>536</v>
      </c>
      <c r="B537" s="19">
        <v>44990</v>
      </c>
      <c r="C537" s="20" t="s">
        <v>544</v>
      </c>
      <c r="D537" s="20" t="s">
        <v>8</v>
      </c>
      <c r="E537" s="18">
        <v>55</v>
      </c>
      <c r="F537" s="18" t="str">
        <f t="shared" si="16"/>
        <v>Adult</v>
      </c>
      <c r="G537" s="20" t="s">
        <v>6</v>
      </c>
      <c r="H537" s="18">
        <v>4</v>
      </c>
      <c r="I537" s="18">
        <v>30</v>
      </c>
      <c r="J537" s="18">
        <v>120</v>
      </c>
      <c r="K537" s="21" t="str">
        <f t="shared" si="17"/>
        <v>Low</v>
      </c>
      <c r="L537" s="18">
        <f>YEAR(B537)</f>
        <v>2023</v>
      </c>
      <c r="M537" s="18">
        <f>ROUNDUP(MONTH(B537)/3,0)</f>
        <v>1</v>
      </c>
      <c r="N537" s="20" t="str">
        <f>TEXT(B537,"dddd")</f>
        <v>Sunday</v>
      </c>
      <c r="O537" s="20" t="str">
        <f>TEXT(B537,"mmmm")</f>
        <v>March</v>
      </c>
    </row>
    <row r="538" spans="1:15" x14ac:dyDescent="0.3">
      <c r="A538" s="18">
        <v>537</v>
      </c>
      <c r="B538" s="19">
        <v>45080</v>
      </c>
      <c r="C538" s="20" t="s">
        <v>545</v>
      </c>
      <c r="D538" s="20" t="s">
        <v>8</v>
      </c>
      <c r="E538" s="18">
        <v>21</v>
      </c>
      <c r="F538" s="18" t="str">
        <f t="shared" si="16"/>
        <v>Young</v>
      </c>
      <c r="G538" s="20" t="s">
        <v>6</v>
      </c>
      <c r="H538" s="18">
        <v>1</v>
      </c>
      <c r="I538" s="18">
        <v>500</v>
      </c>
      <c r="J538" s="18">
        <v>500</v>
      </c>
      <c r="K538" s="21" t="str">
        <f t="shared" si="17"/>
        <v>Low</v>
      </c>
      <c r="L538" s="18">
        <f>YEAR(B538)</f>
        <v>2023</v>
      </c>
      <c r="M538" s="18">
        <f>ROUNDUP(MONTH(B538)/3,0)</f>
        <v>2</v>
      </c>
      <c r="N538" s="20" t="str">
        <f>TEXT(B538,"dddd")</f>
        <v>Saturday</v>
      </c>
      <c r="O538" s="20" t="str">
        <f>TEXT(B538,"mmmm")</f>
        <v>June</v>
      </c>
    </row>
    <row r="539" spans="1:15" x14ac:dyDescent="0.3">
      <c r="A539" s="18">
        <v>538</v>
      </c>
      <c r="B539" s="19">
        <v>45186</v>
      </c>
      <c r="C539" s="20" t="s">
        <v>546</v>
      </c>
      <c r="D539" s="20" t="s">
        <v>5</v>
      </c>
      <c r="E539" s="18">
        <v>18</v>
      </c>
      <c r="F539" s="18" t="str">
        <f t="shared" si="16"/>
        <v>Young</v>
      </c>
      <c r="G539" s="20" t="s">
        <v>9</v>
      </c>
      <c r="H539" s="18">
        <v>3</v>
      </c>
      <c r="I539" s="18">
        <v>50</v>
      </c>
      <c r="J539" s="18">
        <v>150</v>
      </c>
      <c r="K539" s="21" t="str">
        <f t="shared" si="17"/>
        <v>Low</v>
      </c>
      <c r="L539" s="18">
        <f>YEAR(B539)</f>
        <v>2023</v>
      </c>
      <c r="M539" s="18">
        <f>ROUNDUP(MONTH(B539)/3,0)</f>
        <v>3</v>
      </c>
      <c r="N539" s="20" t="str">
        <f>TEXT(B539,"dddd")</f>
        <v>Sunday</v>
      </c>
      <c r="O539" s="20" t="str">
        <f>TEXT(B539,"mmmm")</f>
        <v>September</v>
      </c>
    </row>
    <row r="540" spans="1:15" x14ac:dyDescent="0.3">
      <c r="A540" s="18">
        <v>539</v>
      </c>
      <c r="B540" s="19">
        <v>45085</v>
      </c>
      <c r="C540" s="20" t="s">
        <v>547</v>
      </c>
      <c r="D540" s="20" t="s">
        <v>5</v>
      </c>
      <c r="E540" s="18">
        <v>25</v>
      </c>
      <c r="F540" s="18" t="str">
        <f t="shared" si="16"/>
        <v>Young</v>
      </c>
      <c r="G540" s="20" t="s">
        <v>6</v>
      </c>
      <c r="H540" s="18">
        <v>1</v>
      </c>
      <c r="I540" s="18">
        <v>500</v>
      </c>
      <c r="J540" s="18">
        <v>500</v>
      </c>
      <c r="K540" s="21" t="str">
        <f t="shared" si="17"/>
        <v>Low</v>
      </c>
      <c r="L540" s="18">
        <f>YEAR(B540)</f>
        <v>2023</v>
      </c>
      <c r="M540" s="18">
        <f>ROUNDUP(MONTH(B540)/3,0)</f>
        <v>2</v>
      </c>
      <c r="N540" s="20" t="str">
        <f>TEXT(B540,"dddd")</f>
        <v>Thursday</v>
      </c>
      <c r="O540" s="20" t="str">
        <f>TEXT(B540,"mmmm")</f>
        <v>June</v>
      </c>
    </row>
    <row r="541" spans="1:15" x14ac:dyDescent="0.3">
      <c r="A541" s="18">
        <v>540</v>
      </c>
      <c r="B541" s="19">
        <v>45268</v>
      </c>
      <c r="C541" s="20" t="s">
        <v>548</v>
      </c>
      <c r="D541" s="20" t="s">
        <v>8</v>
      </c>
      <c r="E541" s="18">
        <v>46</v>
      </c>
      <c r="F541" s="18" t="str">
        <f t="shared" si="16"/>
        <v>Adult</v>
      </c>
      <c r="G541" s="20" t="s">
        <v>11</v>
      </c>
      <c r="H541" s="18">
        <v>3</v>
      </c>
      <c r="I541" s="18">
        <v>300</v>
      </c>
      <c r="J541" s="18">
        <v>900</v>
      </c>
      <c r="K541" s="21" t="str">
        <f t="shared" si="17"/>
        <v>Medium</v>
      </c>
      <c r="L541" s="18">
        <f>YEAR(B541)</f>
        <v>2023</v>
      </c>
      <c r="M541" s="18">
        <f>ROUNDUP(MONTH(B541)/3,0)</f>
        <v>4</v>
      </c>
      <c r="N541" s="20" t="str">
        <f>TEXT(B541,"dddd")</f>
        <v>Friday</v>
      </c>
      <c r="O541" s="20" t="str">
        <f>TEXT(B541,"mmmm")</f>
        <v>December</v>
      </c>
    </row>
    <row r="542" spans="1:15" x14ac:dyDescent="0.3">
      <c r="A542" s="18">
        <v>541</v>
      </c>
      <c r="B542" s="19">
        <v>45136</v>
      </c>
      <c r="C542" s="20" t="s">
        <v>549</v>
      </c>
      <c r="D542" s="20" t="s">
        <v>5</v>
      </c>
      <c r="E542" s="18">
        <v>56</v>
      </c>
      <c r="F542" s="18" t="str">
        <f t="shared" si="16"/>
        <v>Adult</v>
      </c>
      <c r="G542" s="20" t="s">
        <v>6</v>
      </c>
      <c r="H542" s="18">
        <v>1</v>
      </c>
      <c r="I542" s="18">
        <v>500</v>
      </c>
      <c r="J542" s="18">
        <v>500</v>
      </c>
      <c r="K542" s="21" t="str">
        <f t="shared" si="17"/>
        <v>Low</v>
      </c>
      <c r="L542" s="18">
        <f>YEAR(B542)</f>
        <v>2023</v>
      </c>
      <c r="M542" s="18">
        <f>ROUNDUP(MONTH(B542)/3,0)</f>
        <v>3</v>
      </c>
      <c r="N542" s="20" t="str">
        <f>TEXT(B542,"dddd")</f>
        <v>Saturday</v>
      </c>
      <c r="O542" s="20" t="str">
        <f>TEXT(B542,"mmmm")</f>
        <v>July</v>
      </c>
    </row>
    <row r="543" spans="1:15" x14ac:dyDescent="0.3">
      <c r="A543" s="18">
        <v>542</v>
      </c>
      <c r="B543" s="19">
        <v>45094</v>
      </c>
      <c r="C543" s="20" t="s">
        <v>550</v>
      </c>
      <c r="D543" s="20" t="s">
        <v>8</v>
      </c>
      <c r="E543" s="18">
        <v>20</v>
      </c>
      <c r="F543" s="18" t="str">
        <f t="shared" si="16"/>
        <v>Young</v>
      </c>
      <c r="G543" s="20" t="s">
        <v>6</v>
      </c>
      <c r="H543" s="18">
        <v>1</v>
      </c>
      <c r="I543" s="18">
        <v>50</v>
      </c>
      <c r="J543" s="18">
        <v>50</v>
      </c>
      <c r="K543" s="21" t="str">
        <f t="shared" si="17"/>
        <v>Low</v>
      </c>
      <c r="L543" s="18">
        <f>YEAR(B543)</f>
        <v>2023</v>
      </c>
      <c r="M543" s="18">
        <f>ROUNDUP(MONTH(B543)/3,0)</f>
        <v>2</v>
      </c>
      <c r="N543" s="20" t="str">
        <f>TEXT(B543,"dddd")</f>
        <v>Saturday</v>
      </c>
      <c r="O543" s="20" t="str">
        <f>TEXT(B543,"mmmm")</f>
        <v>June</v>
      </c>
    </row>
    <row r="544" spans="1:15" x14ac:dyDescent="0.3">
      <c r="A544" s="18">
        <v>543</v>
      </c>
      <c r="B544" s="19">
        <v>45133</v>
      </c>
      <c r="C544" s="20" t="s">
        <v>551</v>
      </c>
      <c r="D544" s="20" t="s">
        <v>5</v>
      </c>
      <c r="E544" s="18">
        <v>49</v>
      </c>
      <c r="F544" s="18" t="str">
        <f t="shared" si="16"/>
        <v>Adult</v>
      </c>
      <c r="G544" s="20" t="s">
        <v>6</v>
      </c>
      <c r="H544" s="18">
        <v>2</v>
      </c>
      <c r="I544" s="18">
        <v>300</v>
      </c>
      <c r="J544" s="18">
        <v>600</v>
      </c>
      <c r="K544" s="21" t="str">
        <f t="shared" si="17"/>
        <v>Medium</v>
      </c>
      <c r="L544" s="18">
        <f>YEAR(B544)</f>
        <v>2023</v>
      </c>
      <c r="M544" s="18">
        <f>ROUNDUP(MONTH(B544)/3,0)</f>
        <v>3</v>
      </c>
      <c r="N544" s="20" t="str">
        <f>TEXT(B544,"dddd")</f>
        <v>Wednesday</v>
      </c>
      <c r="O544" s="20" t="str">
        <f>TEXT(B544,"mmmm")</f>
        <v>July</v>
      </c>
    </row>
    <row r="545" spans="1:15" x14ac:dyDescent="0.3">
      <c r="A545" s="18">
        <v>544</v>
      </c>
      <c r="B545" s="19">
        <v>45283</v>
      </c>
      <c r="C545" s="20" t="s">
        <v>552</v>
      </c>
      <c r="D545" s="20" t="s">
        <v>8</v>
      </c>
      <c r="E545" s="18">
        <v>27</v>
      </c>
      <c r="F545" s="18" t="str">
        <f t="shared" si="16"/>
        <v>Young</v>
      </c>
      <c r="G545" s="20" t="s">
        <v>11</v>
      </c>
      <c r="H545" s="18">
        <v>1</v>
      </c>
      <c r="I545" s="18">
        <v>25</v>
      </c>
      <c r="J545" s="18">
        <v>25</v>
      </c>
      <c r="K545" s="21" t="str">
        <f t="shared" si="17"/>
        <v>Low</v>
      </c>
      <c r="L545" s="18">
        <f>YEAR(B545)</f>
        <v>2023</v>
      </c>
      <c r="M545" s="18">
        <f>ROUNDUP(MONTH(B545)/3,0)</f>
        <v>4</v>
      </c>
      <c r="N545" s="20" t="str">
        <f>TEXT(B545,"dddd")</f>
        <v>Saturday</v>
      </c>
      <c r="O545" s="20" t="str">
        <f>TEXT(B545,"mmmm")</f>
        <v>December</v>
      </c>
    </row>
    <row r="546" spans="1:15" x14ac:dyDescent="0.3">
      <c r="A546" s="18">
        <v>545</v>
      </c>
      <c r="B546" s="19">
        <v>45078</v>
      </c>
      <c r="C546" s="20" t="s">
        <v>553</v>
      </c>
      <c r="D546" s="20" t="s">
        <v>5</v>
      </c>
      <c r="E546" s="18">
        <v>27</v>
      </c>
      <c r="F546" s="18" t="str">
        <f t="shared" si="16"/>
        <v>Young</v>
      </c>
      <c r="G546" s="20" t="s">
        <v>9</v>
      </c>
      <c r="H546" s="18">
        <v>2</v>
      </c>
      <c r="I546" s="18">
        <v>25</v>
      </c>
      <c r="J546" s="18">
        <v>50</v>
      </c>
      <c r="K546" s="21" t="str">
        <f t="shared" si="17"/>
        <v>Low</v>
      </c>
      <c r="L546" s="18">
        <f>YEAR(B546)</f>
        <v>2023</v>
      </c>
      <c r="M546" s="18">
        <f>ROUNDUP(MONTH(B546)/3,0)</f>
        <v>2</v>
      </c>
      <c r="N546" s="20" t="str">
        <f>TEXT(B546,"dddd")</f>
        <v>Thursday</v>
      </c>
      <c r="O546" s="20" t="str">
        <f>TEXT(B546,"mmmm")</f>
        <v>June</v>
      </c>
    </row>
    <row r="547" spans="1:15" x14ac:dyDescent="0.3">
      <c r="A547" s="18">
        <v>546</v>
      </c>
      <c r="B547" s="19">
        <v>45210</v>
      </c>
      <c r="C547" s="20" t="s">
        <v>554</v>
      </c>
      <c r="D547" s="20" t="s">
        <v>8</v>
      </c>
      <c r="E547" s="18">
        <v>36</v>
      </c>
      <c r="F547" s="18" t="str">
        <f t="shared" si="16"/>
        <v>Adult</v>
      </c>
      <c r="G547" s="20" t="s">
        <v>11</v>
      </c>
      <c r="H547" s="18">
        <v>4</v>
      </c>
      <c r="I547" s="18">
        <v>50</v>
      </c>
      <c r="J547" s="18">
        <v>200</v>
      </c>
      <c r="K547" s="21" t="str">
        <f t="shared" si="17"/>
        <v>Low</v>
      </c>
      <c r="L547" s="18">
        <f>YEAR(B547)</f>
        <v>2023</v>
      </c>
      <c r="M547" s="18">
        <f>ROUNDUP(MONTH(B547)/3,0)</f>
        <v>4</v>
      </c>
      <c r="N547" s="20" t="str">
        <f>TEXT(B547,"dddd")</f>
        <v>Wednesday</v>
      </c>
      <c r="O547" s="20" t="str">
        <f>TEXT(B547,"mmmm")</f>
        <v>October</v>
      </c>
    </row>
    <row r="548" spans="1:15" x14ac:dyDescent="0.3">
      <c r="A548" s="18">
        <v>547</v>
      </c>
      <c r="B548" s="19">
        <v>44992</v>
      </c>
      <c r="C548" s="20" t="s">
        <v>555</v>
      </c>
      <c r="D548" s="20" t="s">
        <v>5</v>
      </c>
      <c r="E548" s="18">
        <v>63</v>
      </c>
      <c r="F548" s="18" t="str">
        <f t="shared" si="16"/>
        <v>Senior</v>
      </c>
      <c r="G548" s="20" t="s">
        <v>9</v>
      </c>
      <c r="H548" s="18">
        <v>4</v>
      </c>
      <c r="I548" s="18">
        <v>500</v>
      </c>
      <c r="J548" s="18">
        <v>2000</v>
      </c>
      <c r="K548" s="21" t="str">
        <f t="shared" si="17"/>
        <v>High</v>
      </c>
      <c r="L548" s="18">
        <f>YEAR(B548)</f>
        <v>2023</v>
      </c>
      <c r="M548" s="18">
        <f>ROUNDUP(MONTH(B548)/3,0)</f>
        <v>1</v>
      </c>
      <c r="N548" s="20" t="str">
        <f>TEXT(B548,"dddd")</f>
        <v>Tuesday</v>
      </c>
      <c r="O548" s="20" t="str">
        <f>TEXT(B548,"mmmm")</f>
        <v>March</v>
      </c>
    </row>
    <row r="549" spans="1:15" x14ac:dyDescent="0.3">
      <c r="A549" s="18">
        <v>548</v>
      </c>
      <c r="B549" s="19">
        <v>45025</v>
      </c>
      <c r="C549" s="20" t="s">
        <v>556</v>
      </c>
      <c r="D549" s="20" t="s">
        <v>8</v>
      </c>
      <c r="E549" s="18">
        <v>51</v>
      </c>
      <c r="F549" s="18" t="str">
        <f t="shared" si="16"/>
        <v>Adult</v>
      </c>
      <c r="G549" s="20" t="s">
        <v>9</v>
      </c>
      <c r="H549" s="18">
        <v>2</v>
      </c>
      <c r="I549" s="18">
        <v>30</v>
      </c>
      <c r="J549" s="18">
        <v>60</v>
      </c>
      <c r="K549" s="21" t="str">
        <f t="shared" si="17"/>
        <v>Low</v>
      </c>
      <c r="L549" s="18">
        <f>YEAR(B549)</f>
        <v>2023</v>
      </c>
      <c r="M549" s="18">
        <f>ROUNDUP(MONTH(B549)/3,0)</f>
        <v>2</v>
      </c>
      <c r="N549" s="20" t="str">
        <f>TEXT(B549,"dddd")</f>
        <v>Sunday</v>
      </c>
      <c r="O549" s="20" t="str">
        <f>TEXT(B549,"mmmm")</f>
        <v>April</v>
      </c>
    </row>
    <row r="550" spans="1:15" x14ac:dyDescent="0.3">
      <c r="A550" s="18">
        <v>549</v>
      </c>
      <c r="B550" s="19">
        <v>45142</v>
      </c>
      <c r="C550" s="20" t="s">
        <v>557</v>
      </c>
      <c r="D550" s="20" t="s">
        <v>8</v>
      </c>
      <c r="E550" s="18">
        <v>50</v>
      </c>
      <c r="F550" s="18" t="str">
        <f t="shared" si="16"/>
        <v>Adult</v>
      </c>
      <c r="G550" s="20" t="s">
        <v>6</v>
      </c>
      <c r="H550" s="18">
        <v>2</v>
      </c>
      <c r="I550" s="18">
        <v>50</v>
      </c>
      <c r="J550" s="18">
        <v>100</v>
      </c>
      <c r="K550" s="21" t="str">
        <f t="shared" si="17"/>
        <v>Low</v>
      </c>
      <c r="L550" s="18">
        <f>YEAR(B550)</f>
        <v>2023</v>
      </c>
      <c r="M550" s="18">
        <f>ROUNDUP(MONTH(B550)/3,0)</f>
        <v>3</v>
      </c>
      <c r="N550" s="20" t="str">
        <f>TEXT(B550,"dddd")</f>
        <v>Friday</v>
      </c>
      <c r="O550" s="20" t="str">
        <f>TEXT(B550,"mmmm")</f>
        <v>August</v>
      </c>
    </row>
    <row r="551" spans="1:15" x14ac:dyDescent="0.3">
      <c r="A551" s="18">
        <v>550</v>
      </c>
      <c r="B551" s="19">
        <v>45267</v>
      </c>
      <c r="C551" s="20" t="s">
        <v>558</v>
      </c>
      <c r="D551" s="20" t="s">
        <v>5</v>
      </c>
      <c r="E551" s="18">
        <v>40</v>
      </c>
      <c r="F551" s="18" t="str">
        <f t="shared" si="16"/>
        <v>Adult</v>
      </c>
      <c r="G551" s="20" t="s">
        <v>9</v>
      </c>
      <c r="H551" s="18">
        <v>3</v>
      </c>
      <c r="I551" s="18">
        <v>300</v>
      </c>
      <c r="J551" s="18">
        <v>900</v>
      </c>
      <c r="K551" s="21" t="str">
        <f t="shared" si="17"/>
        <v>Medium</v>
      </c>
      <c r="L551" s="18">
        <f>YEAR(B551)</f>
        <v>2023</v>
      </c>
      <c r="M551" s="18">
        <f>ROUNDUP(MONTH(B551)/3,0)</f>
        <v>4</v>
      </c>
      <c r="N551" s="20" t="str">
        <f>TEXT(B551,"dddd")</f>
        <v>Thursday</v>
      </c>
      <c r="O551" s="20" t="str">
        <f>TEXT(B551,"mmmm")</f>
        <v>December</v>
      </c>
    </row>
    <row r="552" spans="1:15" x14ac:dyDescent="0.3">
      <c r="A552" s="18">
        <v>551</v>
      </c>
      <c r="B552" s="19">
        <v>45121</v>
      </c>
      <c r="C552" s="20" t="s">
        <v>559</v>
      </c>
      <c r="D552" s="20" t="s">
        <v>5</v>
      </c>
      <c r="E552" s="18">
        <v>45</v>
      </c>
      <c r="F552" s="18" t="str">
        <f t="shared" si="16"/>
        <v>Adult</v>
      </c>
      <c r="G552" s="20" t="s">
        <v>11</v>
      </c>
      <c r="H552" s="18">
        <v>3</v>
      </c>
      <c r="I552" s="18">
        <v>300</v>
      </c>
      <c r="J552" s="18">
        <v>900</v>
      </c>
      <c r="K552" s="21" t="str">
        <f t="shared" si="17"/>
        <v>Medium</v>
      </c>
      <c r="L552" s="18">
        <f>YEAR(B552)</f>
        <v>2023</v>
      </c>
      <c r="M552" s="18">
        <f>ROUNDUP(MONTH(B552)/3,0)</f>
        <v>3</v>
      </c>
      <c r="N552" s="20" t="str">
        <f>TEXT(B552,"dddd")</f>
        <v>Friday</v>
      </c>
      <c r="O552" s="20" t="str">
        <f>TEXT(B552,"mmmm")</f>
        <v>July</v>
      </c>
    </row>
    <row r="553" spans="1:15" x14ac:dyDescent="0.3">
      <c r="A553" s="18">
        <v>552</v>
      </c>
      <c r="B553" s="19">
        <v>45273</v>
      </c>
      <c r="C553" s="20" t="s">
        <v>560</v>
      </c>
      <c r="D553" s="20" t="s">
        <v>8</v>
      </c>
      <c r="E553" s="18">
        <v>49</v>
      </c>
      <c r="F553" s="18" t="str">
        <f t="shared" si="16"/>
        <v>Adult</v>
      </c>
      <c r="G553" s="20" t="s">
        <v>11</v>
      </c>
      <c r="H553" s="18">
        <v>3</v>
      </c>
      <c r="I553" s="18">
        <v>25</v>
      </c>
      <c r="J553" s="18">
        <v>75</v>
      </c>
      <c r="K553" s="21" t="str">
        <f t="shared" si="17"/>
        <v>Low</v>
      </c>
      <c r="L553" s="18">
        <f>YEAR(B553)</f>
        <v>2023</v>
      </c>
      <c r="M553" s="18">
        <f>ROUNDUP(MONTH(B553)/3,0)</f>
        <v>4</v>
      </c>
      <c r="N553" s="20" t="str">
        <f>TEXT(B553,"dddd")</f>
        <v>Wednesday</v>
      </c>
      <c r="O553" s="20" t="str">
        <f>TEXT(B553,"mmmm")</f>
        <v>December</v>
      </c>
    </row>
    <row r="554" spans="1:15" x14ac:dyDescent="0.3">
      <c r="A554" s="18">
        <v>553</v>
      </c>
      <c r="B554" s="19">
        <v>45016</v>
      </c>
      <c r="C554" s="20" t="s">
        <v>561</v>
      </c>
      <c r="D554" s="20" t="s">
        <v>5</v>
      </c>
      <c r="E554" s="18">
        <v>24</v>
      </c>
      <c r="F554" s="18" t="str">
        <f t="shared" si="16"/>
        <v>Young</v>
      </c>
      <c r="G554" s="20" t="s">
        <v>9</v>
      </c>
      <c r="H554" s="18">
        <v>4</v>
      </c>
      <c r="I554" s="18">
        <v>300</v>
      </c>
      <c r="J554" s="18">
        <v>1200</v>
      </c>
      <c r="K554" s="21" t="str">
        <f t="shared" si="17"/>
        <v>Medium</v>
      </c>
      <c r="L554" s="18">
        <f>YEAR(B554)</f>
        <v>2023</v>
      </c>
      <c r="M554" s="18">
        <f>ROUNDUP(MONTH(B554)/3,0)</f>
        <v>1</v>
      </c>
      <c r="N554" s="20" t="str">
        <f>TEXT(B554,"dddd")</f>
        <v>Friday</v>
      </c>
      <c r="O554" s="20" t="str">
        <f>TEXT(B554,"mmmm")</f>
        <v>March</v>
      </c>
    </row>
    <row r="555" spans="1:15" x14ac:dyDescent="0.3">
      <c r="A555" s="18">
        <v>554</v>
      </c>
      <c r="B555" s="19">
        <v>45242</v>
      </c>
      <c r="C555" s="20" t="s">
        <v>562</v>
      </c>
      <c r="D555" s="20" t="s">
        <v>8</v>
      </c>
      <c r="E555" s="18">
        <v>46</v>
      </c>
      <c r="F555" s="18" t="str">
        <f t="shared" si="16"/>
        <v>Adult</v>
      </c>
      <c r="G555" s="20" t="s">
        <v>6</v>
      </c>
      <c r="H555" s="18">
        <v>3</v>
      </c>
      <c r="I555" s="18">
        <v>50</v>
      </c>
      <c r="J555" s="18">
        <v>150</v>
      </c>
      <c r="K555" s="21" t="str">
        <f t="shared" si="17"/>
        <v>Low</v>
      </c>
      <c r="L555" s="18">
        <f>YEAR(B555)</f>
        <v>2023</v>
      </c>
      <c r="M555" s="18">
        <f>ROUNDUP(MONTH(B555)/3,0)</f>
        <v>4</v>
      </c>
      <c r="N555" s="20" t="str">
        <f>TEXT(B555,"dddd")</f>
        <v>Sunday</v>
      </c>
      <c r="O555" s="20" t="str">
        <f>TEXT(B555,"mmmm")</f>
        <v>November</v>
      </c>
    </row>
    <row r="556" spans="1:15" x14ac:dyDescent="0.3">
      <c r="A556" s="18">
        <v>555</v>
      </c>
      <c r="B556" s="19">
        <v>45218</v>
      </c>
      <c r="C556" s="20" t="s">
        <v>563</v>
      </c>
      <c r="D556" s="20" t="s">
        <v>5</v>
      </c>
      <c r="E556" s="18">
        <v>25</v>
      </c>
      <c r="F556" s="18" t="str">
        <f t="shared" si="16"/>
        <v>Young</v>
      </c>
      <c r="G556" s="20" t="s">
        <v>6</v>
      </c>
      <c r="H556" s="18">
        <v>1</v>
      </c>
      <c r="I556" s="18">
        <v>300</v>
      </c>
      <c r="J556" s="18">
        <v>300</v>
      </c>
      <c r="K556" s="21" t="str">
        <f t="shared" si="17"/>
        <v>Low</v>
      </c>
      <c r="L556" s="18">
        <f>YEAR(B556)</f>
        <v>2023</v>
      </c>
      <c r="M556" s="18">
        <f>ROUNDUP(MONTH(B556)/3,0)</f>
        <v>4</v>
      </c>
      <c r="N556" s="20" t="str">
        <f>TEXT(B556,"dddd")</f>
        <v>Thursday</v>
      </c>
      <c r="O556" s="20" t="str">
        <f>TEXT(B556,"mmmm")</f>
        <v>October</v>
      </c>
    </row>
    <row r="557" spans="1:15" x14ac:dyDescent="0.3">
      <c r="A557" s="18">
        <v>556</v>
      </c>
      <c r="B557" s="19">
        <v>45081</v>
      </c>
      <c r="C557" s="20" t="s">
        <v>564</v>
      </c>
      <c r="D557" s="20" t="s">
        <v>8</v>
      </c>
      <c r="E557" s="18">
        <v>18</v>
      </c>
      <c r="F557" s="18" t="str">
        <f t="shared" si="16"/>
        <v>Young</v>
      </c>
      <c r="G557" s="20" t="s">
        <v>11</v>
      </c>
      <c r="H557" s="18">
        <v>1</v>
      </c>
      <c r="I557" s="18">
        <v>50</v>
      </c>
      <c r="J557" s="18">
        <v>50</v>
      </c>
      <c r="K557" s="21" t="str">
        <f t="shared" si="17"/>
        <v>Low</v>
      </c>
      <c r="L557" s="18">
        <f>YEAR(B557)</f>
        <v>2023</v>
      </c>
      <c r="M557" s="18">
        <f>ROUNDUP(MONTH(B557)/3,0)</f>
        <v>2</v>
      </c>
      <c r="N557" s="20" t="str">
        <f>TEXT(B557,"dddd")</f>
        <v>Sunday</v>
      </c>
      <c r="O557" s="20" t="str">
        <f>TEXT(B557,"mmmm")</f>
        <v>June</v>
      </c>
    </row>
    <row r="558" spans="1:15" x14ac:dyDescent="0.3">
      <c r="A558" s="18">
        <v>557</v>
      </c>
      <c r="B558" s="19">
        <v>45134</v>
      </c>
      <c r="C558" s="20" t="s">
        <v>565</v>
      </c>
      <c r="D558" s="20" t="s">
        <v>8</v>
      </c>
      <c r="E558" s="18">
        <v>20</v>
      </c>
      <c r="F558" s="18" t="str">
        <f t="shared" si="16"/>
        <v>Young</v>
      </c>
      <c r="G558" s="20" t="s">
        <v>6</v>
      </c>
      <c r="H558" s="18">
        <v>3</v>
      </c>
      <c r="I558" s="18">
        <v>30</v>
      </c>
      <c r="J558" s="18">
        <v>90</v>
      </c>
      <c r="K558" s="21" t="str">
        <f t="shared" si="17"/>
        <v>Low</v>
      </c>
      <c r="L558" s="18">
        <f>YEAR(B558)</f>
        <v>2023</v>
      </c>
      <c r="M558" s="18">
        <f>ROUNDUP(MONTH(B558)/3,0)</f>
        <v>3</v>
      </c>
      <c r="N558" s="20" t="str">
        <f>TEXT(B558,"dddd")</f>
        <v>Thursday</v>
      </c>
      <c r="O558" s="20" t="str">
        <f>TEXT(B558,"mmmm")</f>
        <v>July</v>
      </c>
    </row>
    <row r="559" spans="1:15" x14ac:dyDescent="0.3">
      <c r="A559" s="18">
        <v>558</v>
      </c>
      <c r="B559" s="19">
        <v>45207</v>
      </c>
      <c r="C559" s="20" t="s">
        <v>566</v>
      </c>
      <c r="D559" s="20" t="s">
        <v>8</v>
      </c>
      <c r="E559" s="18">
        <v>41</v>
      </c>
      <c r="F559" s="18" t="str">
        <f t="shared" si="16"/>
        <v>Adult</v>
      </c>
      <c r="G559" s="20" t="s">
        <v>9</v>
      </c>
      <c r="H559" s="18">
        <v>1</v>
      </c>
      <c r="I559" s="18">
        <v>25</v>
      </c>
      <c r="J559" s="18">
        <v>25</v>
      </c>
      <c r="K559" s="21" t="str">
        <f t="shared" si="17"/>
        <v>Low</v>
      </c>
      <c r="L559" s="18">
        <f>YEAR(B559)</f>
        <v>2023</v>
      </c>
      <c r="M559" s="18">
        <f>ROUNDUP(MONTH(B559)/3,0)</f>
        <v>4</v>
      </c>
      <c r="N559" s="20" t="str">
        <f>TEXT(B559,"dddd")</f>
        <v>Sunday</v>
      </c>
      <c r="O559" s="20" t="str">
        <f>TEXT(B559,"mmmm")</f>
        <v>October</v>
      </c>
    </row>
    <row r="560" spans="1:15" x14ac:dyDescent="0.3">
      <c r="A560" s="18">
        <v>559</v>
      </c>
      <c r="B560" s="19">
        <v>44927</v>
      </c>
      <c r="C560" s="20" t="s">
        <v>567</v>
      </c>
      <c r="D560" s="20" t="s">
        <v>8</v>
      </c>
      <c r="E560" s="18">
        <v>40</v>
      </c>
      <c r="F560" s="18" t="str">
        <f t="shared" si="16"/>
        <v>Adult</v>
      </c>
      <c r="G560" s="20" t="s">
        <v>9</v>
      </c>
      <c r="H560" s="18">
        <v>4</v>
      </c>
      <c r="I560" s="18">
        <v>300</v>
      </c>
      <c r="J560" s="18">
        <v>1200</v>
      </c>
      <c r="K560" s="21" t="str">
        <f t="shared" si="17"/>
        <v>Medium</v>
      </c>
      <c r="L560" s="18">
        <f>YEAR(B560)</f>
        <v>2023</v>
      </c>
      <c r="M560" s="18">
        <f>ROUNDUP(MONTH(B560)/3,0)</f>
        <v>1</v>
      </c>
      <c r="N560" s="20" t="str">
        <f>TEXT(B560,"dddd")</f>
        <v>Sunday</v>
      </c>
      <c r="O560" s="20" t="str">
        <f>TEXT(B560,"mmmm")</f>
        <v>January</v>
      </c>
    </row>
    <row r="561" spans="1:15" x14ac:dyDescent="0.3">
      <c r="A561" s="18">
        <v>560</v>
      </c>
      <c r="B561" s="19">
        <v>45082</v>
      </c>
      <c r="C561" s="20" t="s">
        <v>568</v>
      </c>
      <c r="D561" s="20" t="s">
        <v>8</v>
      </c>
      <c r="E561" s="18">
        <v>25</v>
      </c>
      <c r="F561" s="18" t="str">
        <f t="shared" si="16"/>
        <v>Young</v>
      </c>
      <c r="G561" s="20" t="s">
        <v>11</v>
      </c>
      <c r="H561" s="18">
        <v>1</v>
      </c>
      <c r="I561" s="18">
        <v>50</v>
      </c>
      <c r="J561" s="18">
        <v>50</v>
      </c>
      <c r="K561" s="21" t="str">
        <f t="shared" si="17"/>
        <v>Low</v>
      </c>
      <c r="L561" s="18">
        <f>YEAR(B561)</f>
        <v>2023</v>
      </c>
      <c r="M561" s="18">
        <f>ROUNDUP(MONTH(B561)/3,0)</f>
        <v>2</v>
      </c>
      <c r="N561" s="20" t="str">
        <f>TEXT(B561,"dddd")</f>
        <v>Monday</v>
      </c>
      <c r="O561" s="20" t="str">
        <f>TEXT(B561,"mmmm")</f>
        <v>June</v>
      </c>
    </row>
    <row r="562" spans="1:15" x14ac:dyDescent="0.3">
      <c r="A562" s="18">
        <v>561</v>
      </c>
      <c r="B562" s="19">
        <v>45073</v>
      </c>
      <c r="C562" s="20" t="s">
        <v>569</v>
      </c>
      <c r="D562" s="20" t="s">
        <v>8</v>
      </c>
      <c r="E562" s="18">
        <v>64</v>
      </c>
      <c r="F562" s="18" t="str">
        <f t="shared" si="16"/>
        <v>Senior</v>
      </c>
      <c r="G562" s="20" t="s">
        <v>9</v>
      </c>
      <c r="H562" s="18">
        <v>4</v>
      </c>
      <c r="I562" s="18">
        <v>500</v>
      </c>
      <c r="J562" s="18">
        <v>2000</v>
      </c>
      <c r="K562" s="21" t="str">
        <f t="shared" si="17"/>
        <v>High</v>
      </c>
      <c r="L562" s="18">
        <f>YEAR(B562)</f>
        <v>2023</v>
      </c>
      <c r="M562" s="18">
        <f>ROUNDUP(MONTH(B562)/3,0)</f>
        <v>2</v>
      </c>
      <c r="N562" s="20" t="str">
        <f>TEXT(B562,"dddd")</f>
        <v>Saturday</v>
      </c>
      <c r="O562" s="20" t="str">
        <f>TEXT(B562,"mmmm")</f>
        <v>May</v>
      </c>
    </row>
    <row r="563" spans="1:15" x14ac:dyDescent="0.3">
      <c r="A563" s="18">
        <v>562</v>
      </c>
      <c r="B563" s="19">
        <v>45034</v>
      </c>
      <c r="C563" s="20" t="s">
        <v>570</v>
      </c>
      <c r="D563" s="20" t="s">
        <v>5</v>
      </c>
      <c r="E563" s="18">
        <v>54</v>
      </c>
      <c r="F563" s="18" t="str">
        <f t="shared" si="16"/>
        <v>Adult</v>
      </c>
      <c r="G563" s="20" t="s">
        <v>11</v>
      </c>
      <c r="H563" s="18">
        <v>2</v>
      </c>
      <c r="I563" s="18">
        <v>25</v>
      </c>
      <c r="J563" s="18">
        <v>50</v>
      </c>
      <c r="K563" s="21" t="str">
        <f t="shared" si="17"/>
        <v>Low</v>
      </c>
      <c r="L563" s="18">
        <f>YEAR(B563)</f>
        <v>2023</v>
      </c>
      <c r="M563" s="18">
        <f>ROUNDUP(MONTH(B563)/3,0)</f>
        <v>2</v>
      </c>
      <c r="N563" s="20" t="str">
        <f>TEXT(B563,"dddd")</f>
        <v>Tuesday</v>
      </c>
      <c r="O563" s="20" t="str">
        <f>TEXT(B563,"mmmm")</f>
        <v>April</v>
      </c>
    </row>
    <row r="564" spans="1:15" x14ac:dyDescent="0.3">
      <c r="A564" s="18">
        <v>563</v>
      </c>
      <c r="B564" s="19">
        <v>45147</v>
      </c>
      <c r="C564" s="20" t="s">
        <v>571</v>
      </c>
      <c r="D564" s="20" t="s">
        <v>5</v>
      </c>
      <c r="E564" s="18">
        <v>20</v>
      </c>
      <c r="F564" s="18" t="str">
        <f t="shared" si="16"/>
        <v>Young</v>
      </c>
      <c r="G564" s="20" t="s">
        <v>9</v>
      </c>
      <c r="H564" s="18">
        <v>2</v>
      </c>
      <c r="I564" s="18">
        <v>30</v>
      </c>
      <c r="J564" s="18">
        <v>60</v>
      </c>
      <c r="K564" s="21" t="str">
        <f t="shared" si="17"/>
        <v>Low</v>
      </c>
      <c r="L564" s="18">
        <f>YEAR(B564)</f>
        <v>2023</v>
      </c>
      <c r="M564" s="18">
        <f>ROUNDUP(MONTH(B564)/3,0)</f>
        <v>3</v>
      </c>
      <c r="N564" s="20" t="str">
        <f>TEXT(B564,"dddd")</f>
        <v>Wednesday</v>
      </c>
      <c r="O564" s="20" t="str">
        <f>TEXT(B564,"mmmm")</f>
        <v>August</v>
      </c>
    </row>
    <row r="565" spans="1:15" x14ac:dyDescent="0.3">
      <c r="A565" s="18">
        <v>564</v>
      </c>
      <c r="B565" s="19">
        <v>45223</v>
      </c>
      <c r="C565" s="20" t="s">
        <v>572</v>
      </c>
      <c r="D565" s="20" t="s">
        <v>5</v>
      </c>
      <c r="E565" s="18">
        <v>50</v>
      </c>
      <c r="F565" s="18" t="str">
        <f t="shared" si="16"/>
        <v>Adult</v>
      </c>
      <c r="G565" s="20" t="s">
        <v>11</v>
      </c>
      <c r="H565" s="18">
        <v>2</v>
      </c>
      <c r="I565" s="18">
        <v>50</v>
      </c>
      <c r="J565" s="18">
        <v>100</v>
      </c>
      <c r="K565" s="21" t="str">
        <f t="shared" si="17"/>
        <v>Low</v>
      </c>
      <c r="L565" s="18">
        <f>YEAR(B565)</f>
        <v>2023</v>
      </c>
      <c r="M565" s="18">
        <f>ROUNDUP(MONTH(B565)/3,0)</f>
        <v>4</v>
      </c>
      <c r="N565" s="20" t="str">
        <f>TEXT(B565,"dddd")</f>
        <v>Tuesday</v>
      </c>
      <c r="O565" s="20" t="str">
        <f>TEXT(B565,"mmmm")</f>
        <v>October</v>
      </c>
    </row>
    <row r="566" spans="1:15" x14ac:dyDescent="0.3">
      <c r="A566" s="18">
        <v>565</v>
      </c>
      <c r="B566" s="19">
        <v>45237</v>
      </c>
      <c r="C566" s="20" t="s">
        <v>573</v>
      </c>
      <c r="D566" s="20" t="s">
        <v>8</v>
      </c>
      <c r="E566" s="18">
        <v>45</v>
      </c>
      <c r="F566" s="18" t="str">
        <f t="shared" si="16"/>
        <v>Adult</v>
      </c>
      <c r="G566" s="20" t="s">
        <v>6</v>
      </c>
      <c r="H566" s="18">
        <v>2</v>
      </c>
      <c r="I566" s="18">
        <v>30</v>
      </c>
      <c r="J566" s="18">
        <v>60</v>
      </c>
      <c r="K566" s="21" t="str">
        <f t="shared" si="17"/>
        <v>Low</v>
      </c>
      <c r="L566" s="18">
        <f>YEAR(B566)</f>
        <v>2023</v>
      </c>
      <c r="M566" s="18">
        <f>ROUNDUP(MONTH(B566)/3,0)</f>
        <v>4</v>
      </c>
      <c r="N566" s="20" t="str">
        <f>TEXT(B566,"dddd")</f>
        <v>Tuesday</v>
      </c>
      <c r="O566" s="20" t="str">
        <f>TEXT(B566,"mmmm")</f>
        <v>November</v>
      </c>
    </row>
    <row r="567" spans="1:15" x14ac:dyDescent="0.3">
      <c r="A567" s="18">
        <v>566</v>
      </c>
      <c r="B567" s="19">
        <v>45262</v>
      </c>
      <c r="C567" s="20" t="s">
        <v>574</v>
      </c>
      <c r="D567" s="20" t="s">
        <v>8</v>
      </c>
      <c r="E567" s="18">
        <v>64</v>
      </c>
      <c r="F567" s="18" t="str">
        <f t="shared" si="16"/>
        <v>Senior</v>
      </c>
      <c r="G567" s="20" t="s">
        <v>9</v>
      </c>
      <c r="H567" s="18">
        <v>1</v>
      </c>
      <c r="I567" s="18">
        <v>30</v>
      </c>
      <c r="J567" s="18">
        <v>30</v>
      </c>
      <c r="K567" s="21" t="str">
        <f t="shared" si="17"/>
        <v>Low</v>
      </c>
      <c r="L567" s="18">
        <f>YEAR(B567)</f>
        <v>2023</v>
      </c>
      <c r="M567" s="18">
        <f>ROUNDUP(MONTH(B567)/3,0)</f>
        <v>4</v>
      </c>
      <c r="N567" s="20" t="str">
        <f>TEXT(B567,"dddd")</f>
        <v>Saturday</v>
      </c>
      <c r="O567" s="20" t="str">
        <f>TEXT(B567,"mmmm")</f>
        <v>December</v>
      </c>
    </row>
    <row r="568" spans="1:15" x14ac:dyDescent="0.3">
      <c r="A568" s="18">
        <v>567</v>
      </c>
      <c r="B568" s="19">
        <v>45091</v>
      </c>
      <c r="C568" s="20" t="s">
        <v>575</v>
      </c>
      <c r="D568" s="20" t="s">
        <v>8</v>
      </c>
      <c r="E568" s="18">
        <v>25</v>
      </c>
      <c r="F568" s="18" t="str">
        <f t="shared" si="16"/>
        <v>Young</v>
      </c>
      <c r="G568" s="20" t="s">
        <v>9</v>
      </c>
      <c r="H568" s="18">
        <v>3</v>
      </c>
      <c r="I568" s="18">
        <v>300</v>
      </c>
      <c r="J568" s="18">
        <v>900</v>
      </c>
      <c r="K568" s="21" t="str">
        <f t="shared" si="17"/>
        <v>Medium</v>
      </c>
      <c r="L568" s="18">
        <f>YEAR(B568)</f>
        <v>2023</v>
      </c>
      <c r="M568" s="18">
        <f>ROUNDUP(MONTH(B568)/3,0)</f>
        <v>2</v>
      </c>
      <c r="N568" s="20" t="str">
        <f>TEXT(B568,"dddd")</f>
        <v>Wednesday</v>
      </c>
      <c r="O568" s="20" t="str">
        <f>TEXT(B568,"mmmm")</f>
        <v>June</v>
      </c>
    </row>
    <row r="569" spans="1:15" x14ac:dyDescent="0.3">
      <c r="A569" s="18">
        <v>568</v>
      </c>
      <c r="B569" s="19">
        <v>45165</v>
      </c>
      <c r="C569" s="20" t="s">
        <v>576</v>
      </c>
      <c r="D569" s="20" t="s">
        <v>8</v>
      </c>
      <c r="E569" s="18">
        <v>51</v>
      </c>
      <c r="F569" s="18" t="str">
        <f t="shared" si="16"/>
        <v>Adult</v>
      </c>
      <c r="G569" s="20" t="s">
        <v>11</v>
      </c>
      <c r="H569" s="18">
        <v>1</v>
      </c>
      <c r="I569" s="18">
        <v>300</v>
      </c>
      <c r="J569" s="18">
        <v>300</v>
      </c>
      <c r="K569" s="21" t="str">
        <f t="shared" si="17"/>
        <v>Low</v>
      </c>
      <c r="L569" s="18">
        <f>YEAR(B569)</f>
        <v>2023</v>
      </c>
      <c r="M569" s="18">
        <f>ROUNDUP(MONTH(B569)/3,0)</f>
        <v>3</v>
      </c>
      <c r="N569" s="20" t="str">
        <f>TEXT(B569,"dddd")</f>
        <v>Sunday</v>
      </c>
      <c r="O569" s="20" t="str">
        <f>TEXT(B569,"mmmm")</f>
        <v>August</v>
      </c>
    </row>
    <row r="570" spans="1:15" x14ac:dyDescent="0.3">
      <c r="A570" s="18">
        <v>569</v>
      </c>
      <c r="B570" s="19">
        <v>45153</v>
      </c>
      <c r="C570" s="20" t="s">
        <v>577</v>
      </c>
      <c r="D570" s="20" t="s">
        <v>5</v>
      </c>
      <c r="E570" s="18">
        <v>52</v>
      </c>
      <c r="F570" s="18" t="str">
        <f t="shared" si="16"/>
        <v>Adult</v>
      </c>
      <c r="G570" s="20" t="s">
        <v>11</v>
      </c>
      <c r="H570" s="18">
        <v>4</v>
      </c>
      <c r="I570" s="18">
        <v>50</v>
      </c>
      <c r="J570" s="18">
        <v>200</v>
      </c>
      <c r="K570" s="21" t="str">
        <f t="shared" si="17"/>
        <v>Low</v>
      </c>
      <c r="L570" s="18">
        <f>YEAR(B570)</f>
        <v>2023</v>
      </c>
      <c r="M570" s="18">
        <f>ROUNDUP(MONTH(B570)/3,0)</f>
        <v>3</v>
      </c>
      <c r="N570" s="20" t="str">
        <f>TEXT(B570,"dddd")</f>
        <v>Tuesday</v>
      </c>
      <c r="O570" s="20" t="str">
        <f>TEXT(B570,"mmmm")</f>
        <v>August</v>
      </c>
    </row>
    <row r="571" spans="1:15" x14ac:dyDescent="0.3">
      <c r="A571" s="18">
        <v>570</v>
      </c>
      <c r="B571" s="19">
        <v>45153</v>
      </c>
      <c r="C571" s="20" t="s">
        <v>578</v>
      </c>
      <c r="D571" s="20" t="s">
        <v>5</v>
      </c>
      <c r="E571" s="18">
        <v>49</v>
      </c>
      <c r="F571" s="18" t="str">
        <f t="shared" si="16"/>
        <v>Adult</v>
      </c>
      <c r="G571" s="20" t="s">
        <v>9</v>
      </c>
      <c r="H571" s="18">
        <v>1</v>
      </c>
      <c r="I571" s="18">
        <v>500</v>
      </c>
      <c r="J571" s="18">
        <v>500</v>
      </c>
      <c r="K571" s="21" t="str">
        <f t="shared" si="17"/>
        <v>Low</v>
      </c>
      <c r="L571" s="18">
        <f>YEAR(B571)</f>
        <v>2023</v>
      </c>
      <c r="M571" s="18">
        <f>ROUNDUP(MONTH(B571)/3,0)</f>
        <v>3</v>
      </c>
      <c r="N571" s="20" t="str">
        <f>TEXT(B571,"dddd")</f>
        <v>Tuesday</v>
      </c>
      <c r="O571" s="20" t="str">
        <f>TEXT(B571,"mmmm")</f>
        <v>August</v>
      </c>
    </row>
    <row r="572" spans="1:15" x14ac:dyDescent="0.3">
      <c r="A572" s="18">
        <v>571</v>
      </c>
      <c r="B572" s="19">
        <v>45272</v>
      </c>
      <c r="C572" s="20" t="s">
        <v>579</v>
      </c>
      <c r="D572" s="20" t="s">
        <v>8</v>
      </c>
      <c r="E572" s="18">
        <v>41</v>
      </c>
      <c r="F572" s="18" t="str">
        <f t="shared" si="16"/>
        <v>Adult</v>
      </c>
      <c r="G572" s="20" t="s">
        <v>11</v>
      </c>
      <c r="H572" s="18">
        <v>1</v>
      </c>
      <c r="I572" s="18">
        <v>50</v>
      </c>
      <c r="J572" s="18">
        <v>50</v>
      </c>
      <c r="K572" s="21" t="str">
        <f t="shared" si="17"/>
        <v>Low</v>
      </c>
      <c r="L572" s="18">
        <f>YEAR(B572)</f>
        <v>2023</v>
      </c>
      <c r="M572" s="18">
        <f>ROUNDUP(MONTH(B572)/3,0)</f>
        <v>4</v>
      </c>
      <c r="N572" s="20" t="str">
        <f>TEXT(B572,"dddd")</f>
        <v>Tuesday</v>
      </c>
      <c r="O572" s="20" t="str">
        <f>TEXT(B572,"mmmm")</f>
        <v>December</v>
      </c>
    </row>
    <row r="573" spans="1:15" x14ac:dyDescent="0.3">
      <c r="A573" s="18">
        <v>572</v>
      </c>
      <c r="B573" s="19">
        <v>45036</v>
      </c>
      <c r="C573" s="20" t="s">
        <v>580</v>
      </c>
      <c r="D573" s="20" t="s">
        <v>5</v>
      </c>
      <c r="E573" s="18">
        <v>31</v>
      </c>
      <c r="F573" s="18" t="str">
        <f t="shared" si="16"/>
        <v>Adult</v>
      </c>
      <c r="G573" s="20" t="s">
        <v>9</v>
      </c>
      <c r="H573" s="18">
        <v>4</v>
      </c>
      <c r="I573" s="18">
        <v>500</v>
      </c>
      <c r="J573" s="18">
        <v>2000</v>
      </c>
      <c r="K573" s="21" t="str">
        <f t="shared" si="17"/>
        <v>High</v>
      </c>
      <c r="L573" s="18">
        <f>YEAR(B573)</f>
        <v>2023</v>
      </c>
      <c r="M573" s="18">
        <f>ROUNDUP(MONTH(B573)/3,0)</f>
        <v>2</v>
      </c>
      <c r="N573" s="20" t="str">
        <f>TEXT(B573,"dddd")</f>
        <v>Thursday</v>
      </c>
      <c r="O573" s="20" t="str">
        <f>TEXT(B573,"mmmm")</f>
        <v>April</v>
      </c>
    </row>
    <row r="574" spans="1:15" x14ac:dyDescent="0.3">
      <c r="A574" s="18">
        <v>573</v>
      </c>
      <c r="B574" s="19">
        <v>45188</v>
      </c>
      <c r="C574" s="20" t="s">
        <v>581</v>
      </c>
      <c r="D574" s="20" t="s">
        <v>5</v>
      </c>
      <c r="E574" s="18">
        <v>49</v>
      </c>
      <c r="F574" s="18" t="str">
        <f t="shared" si="16"/>
        <v>Adult</v>
      </c>
      <c r="G574" s="20" t="s">
        <v>6</v>
      </c>
      <c r="H574" s="18">
        <v>2</v>
      </c>
      <c r="I574" s="18">
        <v>30</v>
      </c>
      <c r="J574" s="18">
        <v>60</v>
      </c>
      <c r="K574" s="21" t="str">
        <f t="shared" si="17"/>
        <v>Low</v>
      </c>
      <c r="L574" s="18">
        <f>YEAR(B574)</f>
        <v>2023</v>
      </c>
      <c r="M574" s="18">
        <f>ROUNDUP(MONTH(B574)/3,0)</f>
        <v>3</v>
      </c>
      <c r="N574" s="20" t="str">
        <f>TEXT(B574,"dddd")</f>
        <v>Tuesday</v>
      </c>
      <c r="O574" s="20" t="str">
        <f>TEXT(B574,"mmmm")</f>
        <v>September</v>
      </c>
    </row>
    <row r="575" spans="1:15" x14ac:dyDescent="0.3">
      <c r="A575" s="18">
        <v>574</v>
      </c>
      <c r="B575" s="19">
        <v>45169</v>
      </c>
      <c r="C575" s="20" t="s">
        <v>582</v>
      </c>
      <c r="D575" s="20" t="s">
        <v>8</v>
      </c>
      <c r="E575" s="18">
        <v>63</v>
      </c>
      <c r="F575" s="18" t="str">
        <f t="shared" si="16"/>
        <v>Senior</v>
      </c>
      <c r="G575" s="20" t="s">
        <v>11</v>
      </c>
      <c r="H575" s="18">
        <v>2</v>
      </c>
      <c r="I575" s="18">
        <v>25</v>
      </c>
      <c r="J575" s="18">
        <v>50</v>
      </c>
      <c r="K575" s="21" t="str">
        <f t="shared" si="17"/>
        <v>Low</v>
      </c>
      <c r="L575" s="18">
        <f>YEAR(B575)</f>
        <v>2023</v>
      </c>
      <c r="M575" s="18">
        <f>ROUNDUP(MONTH(B575)/3,0)</f>
        <v>3</v>
      </c>
      <c r="N575" s="20" t="str">
        <f>TEXT(B575,"dddd")</f>
        <v>Thursday</v>
      </c>
      <c r="O575" s="20" t="str">
        <f>TEXT(B575,"mmmm")</f>
        <v>August</v>
      </c>
    </row>
    <row r="576" spans="1:15" x14ac:dyDescent="0.3">
      <c r="A576" s="18">
        <v>575</v>
      </c>
      <c r="B576" s="19">
        <v>45013</v>
      </c>
      <c r="C576" s="20" t="s">
        <v>583</v>
      </c>
      <c r="D576" s="20" t="s">
        <v>5</v>
      </c>
      <c r="E576" s="18">
        <v>60</v>
      </c>
      <c r="F576" s="18" t="str">
        <f t="shared" si="16"/>
        <v>Adult</v>
      </c>
      <c r="G576" s="20" t="s">
        <v>9</v>
      </c>
      <c r="H576" s="18">
        <v>2</v>
      </c>
      <c r="I576" s="18">
        <v>50</v>
      </c>
      <c r="J576" s="18">
        <v>100</v>
      </c>
      <c r="K576" s="21" t="str">
        <f t="shared" si="17"/>
        <v>Low</v>
      </c>
      <c r="L576" s="18">
        <f>YEAR(B576)</f>
        <v>2023</v>
      </c>
      <c r="M576" s="18">
        <f>ROUNDUP(MONTH(B576)/3,0)</f>
        <v>1</v>
      </c>
      <c r="N576" s="20" t="str">
        <f>TEXT(B576,"dddd")</f>
        <v>Tuesday</v>
      </c>
      <c r="O576" s="20" t="str">
        <f>TEXT(B576,"mmmm")</f>
        <v>March</v>
      </c>
    </row>
    <row r="577" spans="1:15" x14ac:dyDescent="0.3">
      <c r="A577" s="18">
        <v>576</v>
      </c>
      <c r="B577" s="19">
        <v>45264</v>
      </c>
      <c r="C577" s="20" t="s">
        <v>584</v>
      </c>
      <c r="D577" s="20" t="s">
        <v>8</v>
      </c>
      <c r="E577" s="18">
        <v>33</v>
      </c>
      <c r="F577" s="18" t="str">
        <f t="shared" si="16"/>
        <v>Adult</v>
      </c>
      <c r="G577" s="20" t="s">
        <v>6</v>
      </c>
      <c r="H577" s="18">
        <v>3</v>
      </c>
      <c r="I577" s="18">
        <v>50</v>
      </c>
      <c r="J577" s="18">
        <v>150</v>
      </c>
      <c r="K577" s="21" t="str">
        <f t="shared" si="17"/>
        <v>Low</v>
      </c>
      <c r="L577" s="18">
        <f>YEAR(B577)</f>
        <v>2023</v>
      </c>
      <c r="M577" s="18">
        <f>ROUNDUP(MONTH(B577)/3,0)</f>
        <v>4</v>
      </c>
      <c r="N577" s="20" t="str">
        <f>TEXT(B577,"dddd")</f>
        <v>Monday</v>
      </c>
      <c r="O577" s="20" t="str">
        <f>TEXT(B577,"mmmm")</f>
        <v>December</v>
      </c>
    </row>
    <row r="578" spans="1:15" x14ac:dyDescent="0.3">
      <c r="A578" s="18">
        <v>577</v>
      </c>
      <c r="B578" s="19">
        <v>44970</v>
      </c>
      <c r="C578" s="20" t="s">
        <v>585</v>
      </c>
      <c r="D578" s="20" t="s">
        <v>5</v>
      </c>
      <c r="E578" s="18">
        <v>21</v>
      </c>
      <c r="F578" s="18" t="str">
        <f t="shared" si="16"/>
        <v>Young</v>
      </c>
      <c r="G578" s="20" t="s">
        <v>6</v>
      </c>
      <c r="H578" s="18">
        <v>4</v>
      </c>
      <c r="I578" s="18">
        <v>500</v>
      </c>
      <c r="J578" s="18">
        <v>2000</v>
      </c>
      <c r="K578" s="21" t="str">
        <f t="shared" si="17"/>
        <v>High</v>
      </c>
      <c r="L578" s="18">
        <f>YEAR(B578)</f>
        <v>2023</v>
      </c>
      <c r="M578" s="18">
        <f>ROUNDUP(MONTH(B578)/3,0)</f>
        <v>1</v>
      </c>
      <c r="N578" s="20" t="str">
        <f>TEXT(B578,"dddd")</f>
        <v>Monday</v>
      </c>
      <c r="O578" s="20" t="str">
        <f>TEXT(B578,"mmmm")</f>
        <v>February</v>
      </c>
    </row>
    <row r="579" spans="1:15" x14ac:dyDescent="0.3">
      <c r="A579" s="18">
        <v>578</v>
      </c>
      <c r="B579" s="19">
        <v>45072</v>
      </c>
      <c r="C579" s="20" t="s">
        <v>586</v>
      </c>
      <c r="D579" s="20" t="s">
        <v>8</v>
      </c>
      <c r="E579" s="18">
        <v>54</v>
      </c>
      <c r="F579" s="18" t="str">
        <f t="shared" ref="F579:F642" si="18">IF(E579&gt;60,"Senior",IF(E579&gt;30,"Adult","Young"))</f>
        <v>Adult</v>
      </c>
      <c r="G579" s="20" t="s">
        <v>9</v>
      </c>
      <c r="H579" s="18">
        <v>4</v>
      </c>
      <c r="I579" s="18">
        <v>30</v>
      </c>
      <c r="J579" s="18">
        <v>120</v>
      </c>
      <c r="K579" s="21" t="str">
        <f t="shared" ref="K579:K642" si="19">IF(J579&gt;1500,"High",IF(J579&gt;500,"Medium","Low"))</f>
        <v>Low</v>
      </c>
      <c r="L579" s="18">
        <f>YEAR(B579)</f>
        <v>2023</v>
      </c>
      <c r="M579" s="18">
        <f>ROUNDUP(MONTH(B579)/3,0)</f>
        <v>2</v>
      </c>
      <c r="N579" s="20" t="str">
        <f>TEXT(B579,"dddd")</f>
        <v>Friday</v>
      </c>
      <c r="O579" s="20" t="str">
        <f>TEXT(B579,"mmmm")</f>
        <v>May</v>
      </c>
    </row>
    <row r="580" spans="1:15" x14ac:dyDescent="0.3">
      <c r="A580" s="18">
        <v>579</v>
      </c>
      <c r="B580" s="19">
        <v>45190</v>
      </c>
      <c r="C580" s="20" t="s">
        <v>587</v>
      </c>
      <c r="D580" s="20" t="s">
        <v>8</v>
      </c>
      <c r="E580" s="18">
        <v>38</v>
      </c>
      <c r="F580" s="18" t="str">
        <f t="shared" si="18"/>
        <v>Adult</v>
      </c>
      <c r="G580" s="20" t="s">
        <v>11</v>
      </c>
      <c r="H580" s="18">
        <v>1</v>
      </c>
      <c r="I580" s="18">
        <v>30</v>
      </c>
      <c r="J580" s="18">
        <v>30</v>
      </c>
      <c r="K580" s="21" t="str">
        <f t="shared" si="19"/>
        <v>Low</v>
      </c>
      <c r="L580" s="18">
        <f>YEAR(B580)</f>
        <v>2023</v>
      </c>
      <c r="M580" s="18">
        <f>ROUNDUP(MONTH(B580)/3,0)</f>
        <v>3</v>
      </c>
      <c r="N580" s="20" t="str">
        <f>TEXT(B580,"dddd")</f>
        <v>Thursday</v>
      </c>
      <c r="O580" s="20" t="str">
        <f>TEXT(B580,"mmmm")</f>
        <v>September</v>
      </c>
    </row>
    <row r="581" spans="1:15" x14ac:dyDescent="0.3">
      <c r="A581" s="18">
        <v>580</v>
      </c>
      <c r="B581" s="19">
        <v>45266</v>
      </c>
      <c r="C581" s="20" t="s">
        <v>588</v>
      </c>
      <c r="D581" s="20" t="s">
        <v>8</v>
      </c>
      <c r="E581" s="18">
        <v>31</v>
      </c>
      <c r="F581" s="18" t="str">
        <f t="shared" si="18"/>
        <v>Adult</v>
      </c>
      <c r="G581" s="20" t="s">
        <v>9</v>
      </c>
      <c r="H581" s="18">
        <v>3</v>
      </c>
      <c r="I581" s="18">
        <v>500</v>
      </c>
      <c r="J581" s="18">
        <v>1500</v>
      </c>
      <c r="K581" s="21" t="str">
        <f t="shared" si="19"/>
        <v>Medium</v>
      </c>
      <c r="L581" s="18">
        <f>YEAR(B581)</f>
        <v>2023</v>
      </c>
      <c r="M581" s="18">
        <f>ROUNDUP(MONTH(B581)/3,0)</f>
        <v>4</v>
      </c>
      <c r="N581" s="20" t="str">
        <f>TEXT(B581,"dddd")</f>
        <v>Wednesday</v>
      </c>
      <c r="O581" s="20" t="str">
        <f>TEXT(B581,"mmmm")</f>
        <v>December</v>
      </c>
    </row>
    <row r="582" spans="1:15" x14ac:dyDescent="0.3">
      <c r="A582" s="18">
        <v>581</v>
      </c>
      <c r="B582" s="19">
        <v>45251</v>
      </c>
      <c r="C582" s="20" t="s">
        <v>589</v>
      </c>
      <c r="D582" s="20" t="s">
        <v>8</v>
      </c>
      <c r="E582" s="18">
        <v>48</v>
      </c>
      <c r="F582" s="18" t="str">
        <f t="shared" si="18"/>
        <v>Adult</v>
      </c>
      <c r="G582" s="20" t="s">
        <v>6</v>
      </c>
      <c r="H582" s="18">
        <v>2</v>
      </c>
      <c r="I582" s="18">
        <v>30</v>
      </c>
      <c r="J582" s="18">
        <v>60</v>
      </c>
      <c r="K582" s="21" t="str">
        <f t="shared" si="19"/>
        <v>Low</v>
      </c>
      <c r="L582" s="18">
        <f>YEAR(B582)</f>
        <v>2023</v>
      </c>
      <c r="M582" s="18">
        <f>ROUNDUP(MONTH(B582)/3,0)</f>
        <v>4</v>
      </c>
      <c r="N582" s="20" t="str">
        <f>TEXT(B582,"dddd")</f>
        <v>Tuesday</v>
      </c>
      <c r="O582" s="20" t="str">
        <f>TEXT(B582,"mmmm")</f>
        <v>November</v>
      </c>
    </row>
    <row r="583" spans="1:15" x14ac:dyDescent="0.3">
      <c r="A583" s="18">
        <v>582</v>
      </c>
      <c r="B583" s="19">
        <v>45244</v>
      </c>
      <c r="C583" s="20" t="s">
        <v>590</v>
      </c>
      <c r="D583" s="20" t="s">
        <v>5</v>
      </c>
      <c r="E583" s="18">
        <v>35</v>
      </c>
      <c r="F583" s="18" t="str">
        <f t="shared" si="18"/>
        <v>Adult</v>
      </c>
      <c r="G583" s="20" t="s">
        <v>9</v>
      </c>
      <c r="H583" s="18">
        <v>3</v>
      </c>
      <c r="I583" s="18">
        <v>300</v>
      </c>
      <c r="J583" s="18">
        <v>900</v>
      </c>
      <c r="K583" s="21" t="str">
        <f t="shared" si="19"/>
        <v>Medium</v>
      </c>
      <c r="L583" s="18">
        <f>YEAR(B583)</f>
        <v>2023</v>
      </c>
      <c r="M583" s="18">
        <f>ROUNDUP(MONTH(B583)/3,0)</f>
        <v>4</v>
      </c>
      <c r="N583" s="20" t="str">
        <f>TEXT(B583,"dddd")</f>
        <v>Tuesday</v>
      </c>
      <c r="O583" s="20" t="str">
        <f>TEXT(B583,"mmmm")</f>
        <v>November</v>
      </c>
    </row>
    <row r="584" spans="1:15" x14ac:dyDescent="0.3">
      <c r="A584" s="18">
        <v>583</v>
      </c>
      <c r="B584" s="19">
        <v>45098</v>
      </c>
      <c r="C584" s="20" t="s">
        <v>591</v>
      </c>
      <c r="D584" s="20" t="s">
        <v>8</v>
      </c>
      <c r="E584" s="18">
        <v>24</v>
      </c>
      <c r="F584" s="18" t="str">
        <f t="shared" si="18"/>
        <v>Young</v>
      </c>
      <c r="G584" s="20" t="s">
        <v>11</v>
      </c>
      <c r="H584" s="18">
        <v>4</v>
      </c>
      <c r="I584" s="18">
        <v>25</v>
      </c>
      <c r="J584" s="18">
        <v>100</v>
      </c>
      <c r="K584" s="21" t="str">
        <f t="shared" si="19"/>
        <v>Low</v>
      </c>
      <c r="L584" s="18">
        <f>YEAR(B584)</f>
        <v>2023</v>
      </c>
      <c r="M584" s="18">
        <f>ROUNDUP(MONTH(B584)/3,0)</f>
        <v>2</v>
      </c>
      <c r="N584" s="20" t="str">
        <f>TEXT(B584,"dddd")</f>
        <v>Wednesday</v>
      </c>
      <c r="O584" s="20" t="str">
        <f>TEXT(B584,"mmmm")</f>
        <v>June</v>
      </c>
    </row>
    <row r="585" spans="1:15" x14ac:dyDescent="0.3">
      <c r="A585" s="18">
        <v>584</v>
      </c>
      <c r="B585" s="19">
        <v>44974</v>
      </c>
      <c r="C585" s="20" t="s">
        <v>592</v>
      </c>
      <c r="D585" s="20" t="s">
        <v>8</v>
      </c>
      <c r="E585" s="18">
        <v>27</v>
      </c>
      <c r="F585" s="18" t="str">
        <f t="shared" si="18"/>
        <v>Young</v>
      </c>
      <c r="G585" s="20" t="s">
        <v>6</v>
      </c>
      <c r="H585" s="18">
        <v>4</v>
      </c>
      <c r="I585" s="18">
        <v>50</v>
      </c>
      <c r="J585" s="18">
        <v>200</v>
      </c>
      <c r="K585" s="21" t="str">
        <f t="shared" si="19"/>
        <v>Low</v>
      </c>
      <c r="L585" s="18">
        <f>YEAR(B585)</f>
        <v>2023</v>
      </c>
      <c r="M585" s="18">
        <f>ROUNDUP(MONTH(B585)/3,0)</f>
        <v>1</v>
      </c>
      <c r="N585" s="20" t="str">
        <f>TEXT(B585,"dddd")</f>
        <v>Friday</v>
      </c>
      <c r="O585" s="20" t="str">
        <f>TEXT(B585,"mmmm")</f>
        <v>February</v>
      </c>
    </row>
    <row r="586" spans="1:15" x14ac:dyDescent="0.3">
      <c r="A586" s="18">
        <v>585</v>
      </c>
      <c r="B586" s="19">
        <v>45047</v>
      </c>
      <c r="C586" s="20" t="s">
        <v>593</v>
      </c>
      <c r="D586" s="20" t="s">
        <v>8</v>
      </c>
      <c r="E586" s="18">
        <v>24</v>
      </c>
      <c r="F586" s="18" t="str">
        <f t="shared" si="18"/>
        <v>Young</v>
      </c>
      <c r="G586" s="20" t="s">
        <v>9</v>
      </c>
      <c r="H586" s="18">
        <v>1</v>
      </c>
      <c r="I586" s="18">
        <v>25</v>
      </c>
      <c r="J586" s="18">
        <v>25</v>
      </c>
      <c r="K586" s="21" t="str">
        <f t="shared" si="19"/>
        <v>Low</v>
      </c>
      <c r="L586" s="18">
        <f>YEAR(B586)</f>
        <v>2023</v>
      </c>
      <c r="M586" s="18">
        <f>ROUNDUP(MONTH(B586)/3,0)</f>
        <v>2</v>
      </c>
      <c r="N586" s="20" t="str">
        <f>TEXT(B586,"dddd")</f>
        <v>Monday</v>
      </c>
      <c r="O586" s="20" t="str">
        <f>TEXT(B586,"mmmm")</f>
        <v>May</v>
      </c>
    </row>
    <row r="587" spans="1:15" x14ac:dyDescent="0.3">
      <c r="A587" s="18">
        <v>586</v>
      </c>
      <c r="B587" s="19">
        <v>45271</v>
      </c>
      <c r="C587" s="20" t="s">
        <v>594</v>
      </c>
      <c r="D587" s="20" t="s">
        <v>5</v>
      </c>
      <c r="E587" s="18">
        <v>50</v>
      </c>
      <c r="F587" s="18" t="str">
        <f t="shared" si="18"/>
        <v>Adult</v>
      </c>
      <c r="G587" s="20" t="s">
        <v>11</v>
      </c>
      <c r="H587" s="18">
        <v>1</v>
      </c>
      <c r="I587" s="18">
        <v>50</v>
      </c>
      <c r="J587" s="18">
        <v>50</v>
      </c>
      <c r="K587" s="21" t="str">
        <f t="shared" si="19"/>
        <v>Low</v>
      </c>
      <c r="L587" s="18">
        <f>YEAR(B587)</f>
        <v>2023</v>
      </c>
      <c r="M587" s="18">
        <f>ROUNDUP(MONTH(B587)/3,0)</f>
        <v>4</v>
      </c>
      <c r="N587" s="20" t="str">
        <f>TEXT(B587,"dddd")</f>
        <v>Monday</v>
      </c>
      <c r="O587" s="20" t="str">
        <f>TEXT(B587,"mmmm")</f>
        <v>December</v>
      </c>
    </row>
    <row r="588" spans="1:15" x14ac:dyDescent="0.3">
      <c r="A588" s="18">
        <v>587</v>
      </c>
      <c r="B588" s="19">
        <v>45085</v>
      </c>
      <c r="C588" s="20" t="s">
        <v>595</v>
      </c>
      <c r="D588" s="20" t="s">
        <v>8</v>
      </c>
      <c r="E588" s="18">
        <v>40</v>
      </c>
      <c r="F588" s="18" t="str">
        <f t="shared" si="18"/>
        <v>Adult</v>
      </c>
      <c r="G588" s="20" t="s">
        <v>6</v>
      </c>
      <c r="H588" s="18">
        <v>4</v>
      </c>
      <c r="I588" s="18">
        <v>300</v>
      </c>
      <c r="J588" s="18">
        <v>1200</v>
      </c>
      <c r="K588" s="21" t="str">
        <f t="shared" si="19"/>
        <v>Medium</v>
      </c>
      <c r="L588" s="18">
        <f>YEAR(B588)</f>
        <v>2023</v>
      </c>
      <c r="M588" s="18">
        <f>ROUNDUP(MONTH(B588)/3,0)</f>
        <v>2</v>
      </c>
      <c r="N588" s="20" t="str">
        <f>TEXT(B588,"dddd")</f>
        <v>Thursday</v>
      </c>
      <c r="O588" s="20" t="str">
        <f>TEXT(B588,"mmmm")</f>
        <v>June</v>
      </c>
    </row>
    <row r="589" spans="1:15" x14ac:dyDescent="0.3">
      <c r="A589" s="18">
        <v>588</v>
      </c>
      <c r="B589" s="19">
        <v>45042</v>
      </c>
      <c r="C589" s="20" t="s">
        <v>596</v>
      </c>
      <c r="D589" s="20" t="s">
        <v>5</v>
      </c>
      <c r="E589" s="18">
        <v>38</v>
      </c>
      <c r="F589" s="18" t="str">
        <f t="shared" si="18"/>
        <v>Adult</v>
      </c>
      <c r="G589" s="20" t="s">
        <v>11</v>
      </c>
      <c r="H589" s="18">
        <v>2</v>
      </c>
      <c r="I589" s="18">
        <v>30</v>
      </c>
      <c r="J589" s="18">
        <v>60</v>
      </c>
      <c r="K589" s="21" t="str">
        <f t="shared" si="19"/>
        <v>Low</v>
      </c>
      <c r="L589" s="18">
        <f>YEAR(B589)</f>
        <v>2023</v>
      </c>
      <c r="M589" s="18">
        <f>ROUNDUP(MONTH(B589)/3,0)</f>
        <v>2</v>
      </c>
      <c r="N589" s="20" t="str">
        <f>TEXT(B589,"dddd")</f>
        <v>Wednesday</v>
      </c>
      <c r="O589" s="20" t="str">
        <f>TEXT(B589,"mmmm")</f>
        <v>April</v>
      </c>
    </row>
    <row r="590" spans="1:15" x14ac:dyDescent="0.3">
      <c r="A590" s="18">
        <v>589</v>
      </c>
      <c r="B590" s="19">
        <v>45028</v>
      </c>
      <c r="C590" s="20" t="s">
        <v>597</v>
      </c>
      <c r="D590" s="20" t="s">
        <v>8</v>
      </c>
      <c r="E590" s="18">
        <v>36</v>
      </c>
      <c r="F590" s="18" t="str">
        <f t="shared" si="18"/>
        <v>Adult</v>
      </c>
      <c r="G590" s="20" t="s">
        <v>6</v>
      </c>
      <c r="H590" s="18">
        <v>2</v>
      </c>
      <c r="I590" s="18">
        <v>500</v>
      </c>
      <c r="J590" s="18">
        <v>1000</v>
      </c>
      <c r="K590" s="21" t="str">
        <f t="shared" si="19"/>
        <v>Medium</v>
      </c>
      <c r="L590" s="18">
        <f>YEAR(B590)</f>
        <v>2023</v>
      </c>
      <c r="M590" s="18">
        <f>ROUNDUP(MONTH(B590)/3,0)</f>
        <v>2</v>
      </c>
      <c r="N590" s="20" t="str">
        <f>TEXT(B590,"dddd")</f>
        <v>Wednesday</v>
      </c>
      <c r="O590" s="20" t="str">
        <f>TEXT(B590,"mmmm")</f>
        <v>April</v>
      </c>
    </row>
    <row r="591" spans="1:15" x14ac:dyDescent="0.3">
      <c r="A591" s="18">
        <v>590</v>
      </c>
      <c r="B591" s="19">
        <v>45002</v>
      </c>
      <c r="C591" s="20" t="s">
        <v>598</v>
      </c>
      <c r="D591" s="20" t="s">
        <v>5</v>
      </c>
      <c r="E591" s="18">
        <v>36</v>
      </c>
      <c r="F591" s="18" t="str">
        <f t="shared" si="18"/>
        <v>Adult</v>
      </c>
      <c r="G591" s="20" t="s">
        <v>9</v>
      </c>
      <c r="H591" s="18">
        <v>3</v>
      </c>
      <c r="I591" s="18">
        <v>300</v>
      </c>
      <c r="J591" s="18">
        <v>900</v>
      </c>
      <c r="K591" s="21" t="str">
        <f t="shared" si="19"/>
        <v>Medium</v>
      </c>
      <c r="L591" s="18">
        <f>YEAR(B591)</f>
        <v>2023</v>
      </c>
      <c r="M591" s="18">
        <f>ROUNDUP(MONTH(B591)/3,0)</f>
        <v>1</v>
      </c>
      <c r="N591" s="20" t="str">
        <f>TEXT(B591,"dddd")</f>
        <v>Friday</v>
      </c>
      <c r="O591" s="20" t="str">
        <f>TEXT(B591,"mmmm")</f>
        <v>March</v>
      </c>
    </row>
    <row r="592" spans="1:15" x14ac:dyDescent="0.3">
      <c r="A592" s="18">
        <v>591</v>
      </c>
      <c r="B592" s="19">
        <v>44939</v>
      </c>
      <c r="C592" s="20" t="s">
        <v>599</v>
      </c>
      <c r="D592" s="20" t="s">
        <v>5</v>
      </c>
      <c r="E592" s="18">
        <v>53</v>
      </c>
      <c r="F592" s="18" t="str">
        <f t="shared" si="18"/>
        <v>Adult</v>
      </c>
      <c r="G592" s="20" t="s">
        <v>11</v>
      </c>
      <c r="H592" s="18">
        <v>4</v>
      </c>
      <c r="I592" s="18">
        <v>25</v>
      </c>
      <c r="J592" s="18">
        <v>100</v>
      </c>
      <c r="K592" s="21" t="str">
        <f t="shared" si="19"/>
        <v>Low</v>
      </c>
      <c r="L592" s="18">
        <f>YEAR(B592)</f>
        <v>2023</v>
      </c>
      <c r="M592" s="18">
        <f>ROUNDUP(MONTH(B592)/3,0)</f>
        <v>1</v>
      </c>
      <c r="N592" s="20" t="str">
        <f>TEXT(B592,"dddd")</f>
        <v>Friday</v>
      </c>
      <c r="O592" s="20" t="str">
        <f>TEXT(B592,"mmmm")</f>
        <v>January</v>
      </c>
    </row>
    <row r="593" spans="1:15" x14ac:dyDescent="0.3">
      <c r="A593" s="18">
        <v>592</v>
      </c>
      <c r="B593" s="19">
        <v>44950</v>
      </c>
      <c r="C593" s="20" t="s">
        <v>600</v>
      </c>
      <c r="D593" s="20" t="s">
        <v>8</v>
      </c>
      <c r="E593" s="18">
        <v>46</v>
      </c>
      <c r="F593" s="18" t="str">
        <f t="shared" si="18"/>
        <v>Adult</v>
      </c>
      <c r="G593" s="20" t="s">
        <v>6</v>
      </c>
      <c r="H593" s="18">
        <v>4</v>
      </c>
      <c r="I593" s="18">
        <v>500</v>
      </c>
      <c r="J593" s="18">
        <v>2000</v>
      </c>
      <c r="K593" s="21" t="str">
        <f t="shared" si="19"/>
        <v>High</v>
      </c>
      <c r="L593" s="18">
        <f>YEAR(B593)</f>
        <v>2023</v>
      </c>
      <c r="M593" s="18">
        <f>ROUNDUP(MONTH(B593)/3,0)</f>
        <v>1</v>
      </c>
      <c r="N593" s="20" t="str">
        <f>TEXT(B593,"dddd")</f>
        <v>Tuesday</v>
      </c>
      <c r="O593" s="20" t="str">
        <f>TEXT(B593,"mmmm")</f>
        <v>January</v>
      </c>
    </row>
    <row r="594" spans="1:15" x14ac:dyDescent="0.3">
      <c r="A594" s="18">
        <v>593</v>
      </c>
      <c r="B594" s="19">
        <v>45052</v>
      </c>
      <c r="C594" s="20" t="s">
        <v>601</v>
      </c>
      <c r="D594" s="20" t="s">
        <v>5</v>
      </c>
      <c r="E594" s="18">
        <v>35</v>
      </c>
      <c r="F594" s="18" t="str">
        <f t="shared" si="18"/>
        <v>Adult</v>
      </c>
      <c r="G594" s="20" t="s">
        <v>11</v>
      </c>
      <c r="H594" s="18">
        <v>2</v>
      </c>
      <c r="I594" s="18">
        <v>30</v>
      </c>
      <c r="J594" s="18">
        <v>60</v>
      </c>
      <c r="K594" s="21" t="str">
        <f t="shared" si="19"/>
        <v>Low</v>
      </c>
      <c r="L594" s="18">
        <f>YEAR(B594)</f>
        <v>2023</v>
      </c>
      <c r="M594" s="18">
        <f>ROUNDUP(MONTH(B594)/3,0)</f>
        <v>2</v>
      </c>
      <c r="N594" s="20" t="str">
        <f>TEXT(B594,"dddd")</f>
        <v>Saturday</v>
      </c>
      <c r="O594" s="20" t="str">
        <f>TEXT(B594,"mmmm")</f>
        <v>May</v>
      </c>
    </row>
    <row r="595" spans="1:15" x14ac:dyDescent="0.3">
      <c r="A595" s="18">
        <v>594</v>
      </c>
      <c r="B595" s="19">
        <v>45170</v>
      </c>
      <c r="C595" s="20" t="s">
        <v>602</v>
      </c>
      <c r="D595" s="20" t="s">
        <v>8</v>
      </c>
      <c r="E595" s="18">
        <v>19</v>
      </c>
      <c r="F595" s="18" t="str">
        <f t="shared" si="18"/>
        <v>Young</v>
      </c>
      <c r="G595" s="20" t="s">
        <v>11</v>
      </c>
      <c r="H595" s="18">
        <v>2</v>
      </c>
      <c r="I595" s="18">
        <v>300</v>
      </c>
      <c r="J595" s="18">
        <v>600</v>
      </c>
      <c r="K595" s="21" t="str">
        <f t="shared" si="19"/>
        <v>Medium</v>
      </c>
      <c r="L595" s="18">
        <f>YEAR(B595)</f>
        <v>2023</v>
      </c>
      <c r="M595" s="18">
        <f>ROUNDUP(MONTH(B595)/3,0)</f>
        <v>3</v>
      </c>
      <c r="N595" s="20" t="str">
        <f>TEXT(B595,"dddd")</f>
        <v>Friday</v>
      </c>
      <c r="O595" s="20" t="str">
        <f>TEXT(B595,"mmmm")</f>
        <v>September</v>
      </c>
    </row>
    <row r="596" spans="1:15" x14ac:dyDescent="0.3">
      <c r="A596" s="18">
        <v>595</v>
      </c>
      <c r="B596" s="19">
        <v>45239</v>
      </c>
      <c r="C596" s="20" t="s">
        <v>603</v>
      </c>
      <c r="D596" s="20" t="s">
        <v>8</v>
      </c>
      <c r="E596" s="18">
        <v>18</v>
      </c>
      <c r="F596" s="18" t="str">
        <f t="shared" si="18"/>
        <v>Young</v>
      </c>
      <c r="G596" s="20" t="s">
        <v>9</v>
      </c>
      <c r="H596" s="18">
        <v>4</v>
      </c>
      <c r="I596" s="18">
        <v>500</v>
      </c>
      <c r="J596" s="18">
        <v>2000</v>
      </c>
      <c r="K596" s="21" t="str">
        <f t="shared" si="19"/>
        <v>High</v>
      </c>
      <c r="L596" s="18">
        <f>YEAR(B596)</f>
        <v>2023</v>
      </c>
      <c r="M596" s="18">
        <f>ROUNDUP(MONTH(B596)/3,0)</f>
        <v>4</v>
      </c>
      <c r="N596" s="20" t="str">
        <f>TEXT(B596,"dddd")</f>
        <v>Thursday</v>
      </c>
      <c r="O596" s="20" t="str">
        <f>TEXT(B596,"mmmm")</f>
        <v>November</v>
      </c>
    </row>
    <row r="597" spans="1:15" x14ac:dyDescent="0.3">
      <c r="A597" s="18">
        <v>596</v>
      </c>
      <c r="B597" s="19">
        <v>44964</v>
      </c>
      <c r="C597" s="20" t="s">
        <v>604</v>
      </c>
      <c r="D597" s="20" t="s">
        <v>8</v>
      </c>
      <c r="E597" s="18">
        <v>64</v>
      </c>
      <c r="F597" s="18" t="str">
        <f t="shared" si="18"/>
        <v>Senior</v>
      </c>
      <c r="G597" s="20" t="s">
        <v>11</v>
      </c>
      <c r="H597" s="18">
        <v>1</v>
      </c>
      <c r="I597" s="18">
        <v>300</v>
      </c>
      <c r="J597" s="18">
        <v>300</v>
      </c>
      <c r="K597" s="21" t="str">
        <f t="shared" si="19"/>
        <v>Low</v>
      </c>
      <c r="L597" s="18">
        <f>YEAR(B597)</f>
        <v>2023</v>
      </c>
      <c r="M597" s="18">
        <f>ROUNDUP(MONTH(B597)/3,0)</f>
        <v>1</v>
      </c>
      <c r="N597" s="20" t="str">
        <f>TEXT(B597,"dddd")</f>
        <v>Tuesday</v>
      </c>
      <c r="O597" s="20" t="str">
        <f>TEXT(B597,"mmmm")</f>
        <v>February</v>
      </c>
    </row>
    <row r="598" spans="1:15" x14ac:dyDescent="0.3">
      <c r="A598" s="18">
        <v>597</v>
      </c>
      <c r="B598" s="19">
        <v>45160</v>
      </c>
      <c r="C598" s="20" t="s">
        <v>605</v>
      </c>
      <c r="D598" s="20" t="s">
        <v>5</v>
      </c>
      <c r="E598" s="18">
        <v>22</v>
      </c>
      <c r="F598" s="18" t="str">
        <f t="shared" si="18"/>
        <v>Young</v>
      </c>
      <c r="G598" s="20" t="s">
        <v>6</v>
      </c>
      <c r="H598" s="18">
        <v>4</v>
      </c>
      <c r="I598" s="18">
        <v>300</v>
      </c>
      <c r="J598" s="18">
        <v>1200</v>
      </c>
      <c r="K598" s="21" t="str">
        <f t="shared" si="19"/>
        <v>Medium</v>
      </c>
      <c r="L598" s="18">
        <f>YEAR(B598)</f>
        <v>2023</v>
      </c>
      <c r="M598" s="18">
        <f>ROUNDUP(MONTH(B598)/3,0)</f>
        <v>3</v>
      </c>
      <c r="N598" s="20" t="str">
        <f>TEXT(B598,"dddd")</f>
        <v>Tuesday</v>
      </c>
      <c r="O598" s="20" t="str">
        <f>TEXT(B598,"mmmm")</f>
        <v>August</v>
      </c>
    </row>
    <row r="599" spans="1:15" x14ac:dyDescent="0.3">
      <c r="A599" s="18">
        <v>598</v>
      </c>
      <c r="B599" s="19">
        <v>45139</v>
      </c>
      <c r="C599" s="20" t="s">
        <v>606</v>
      </c>
      <c r="D599" s="20" t="s">
        <v>5</v>
      </c>
      <c r="E599" s="18">
        <v>37</v>
      </c>
      <c r="F599" s="18" t="str">
        <f t="shared" si="18"/>
        <v>Adult</v>
      </c>
      <c r="G599" s="20" t="s">
        <v>6</v>
      </c>
      <c r="H599" s="18">
        <v>4</v>
      </c>
      <c r="I599" s="18">
        <v>30</v>
      </c>
      <c r="J599" s="18">
        <v>120</v>
      </c>
      <c r="K599" s="21" t="str">
        <f t="shared" si="19"/>
        <v>Low</v>
      </c>
      <c r="L599" s="18">
        <f>YEAR(B599)</f>
        <v>2023</v>
      </c>
      <c r="M599" s="18">
        <f>ROUNDUP(MONTH(B599)/3,0)</f>
        <v>3</v>
      </c>
      <c r="N599" s="20" t="str">
        <f>TEXT(B599,"dddd")</f>
        <v>Tuesday</v>
      </c>
      <c r="O599" s="20" t="str">
        <f>TEXT(B599,"mmmm")</f>
        <v>August</v>
      </c>
    </row>
    <row r="600" spans="1:15" x14ac:dyDescent="0.3">
      <c r="A600" s="18">
        <v>599</v>
      </c>
      <c r="B600" s="19">
        <v>45249</v>
      </c>
      <c r="C600" s="20" t="s">
        <v>607</v>
      </c>
      <c r="D600" s="20" t="s">
        <v>8</v>
      </c>
      <c r="E600" s="18">
        <v>28</v>
      </c>
      <c r="F600" s="18" t="str">
        <f t="shared" si="18"/>
        <v>Young</v>
      </c>
      <c r="G600" s="20" t="s">
        <v>6</v>
      </c>
      <c r="H600" s="18">
        <v>2</v>
      </c>
      <c r="I600" s="18">
        <v>50</v>
      </c>
      <c r="J600" s="18">
        <v>100</v>
      </c>
      <c r="K600" s="21" t="str">
        <f t="shared" si="19"/>
        <v>Low</v>
      </c>
      <c r="L600" s="18">
        <f>YEAR(B600)</f>
        <v>2023</v>
      </c>
      <c r="M600" s="18">
        <f>ROUNDUP(MONTH(B600)/3,0)</f>
        <v>4</v>
      </c>
      <c r="N600" s="20" t="str">
        <f>TEXT(B600,"dddd")</f>
        <v>Sunday</v>
      </c>
      <c r="O600" s="20" t="str">
        <f>TEXT(B600,"mmmm")</f>
        <v>November</v>
      </c>
    </row>
    <row r="601" spans="1:15" x14ac:dyDescent="0.3">
      <c r="A601" s="18">
        <v>600</v>
      </c>
      <c r="B601" s="19">
        <v>45221</v>
      </c>
      <c r="C601" s="20" t="s">
        <v>608</v>
      </c>
      <c r="D601" s="20" t="s">
        <v>8</v>
      </c>
      <c r="E601" s="18">
        <v>59</v>
      </c>
      <c r="F601" s="18" t="str">
        <f t="shared" si="18"/>
        <v>Adult</v>
      </c>
      <c r="G601" s="20" t="s">
        <v>6</v>
      </c>
      <c r="H601" s="18">
        <v>2</v>
      </c>
      <c r="I601" s="18">
        <v>500</v>
      </c>
      <c r="J601" s="18">
        <v>1000</v>
      </c>
      <c r="K601" s="21" t="str">
        <f t="shared" si="19"/>
        <v>Medium</v>
      </c>
      <c r="L601" s="18">
        <f>YEAR(B601)</f>
        <v>2023</v>
      </c>
      <c r="M601" s="18">
        <f>ROUNDUP(MONTH(B601)/3,0)</f>
        <v>4</v>
      </c>
      <c r="N601" s="20" t="str">
        <f>TEXT(B601,"dddd")</f>
        <v>Sunday</v>
      </c>
      <c r="O601" s="20" t="str">
        <f>TEXT(B601,"mmmm")</f>
        <v>October</v>
      </c>
    </row>
    <row r="602" spans="1:15" x14ac:dyDescent="0.3">
      <c r="A602" s="18">
        <v>601</v>
      </c>
      <c r="B602" s="19">
        <v>45026</v>
      </c>
      <c r="C602" s="20" t="s">
        <v>609</v>
      </c>
      <c r="D602" s="20" t="s">
        <v>5</v>
      </c>
      <c r="E602" s="18">
        <v>19</v>
      </c>
      <c r="F602" s="18" t="str">
        <f t="shared" si="18"/>
        <v>Young</v>
      </c>
      <c r="G602" s="20" t="s">
        <v>9</v>
      </c>
      <c r="H602" s="18">
        <v>1</v>
      </c>
      <c r="I602" s="18">
        <v>30</v>
      </c>
      <c r="J602" s="18">
        <v>30</v>
      </c>
      <c r="K602" s="21" t="str">
        <f t="shared" si="19"/>
        <v>Low</v>
      </c>
      <c r="L602" s="18">
        <f>YEAR(B602)</f>
        <v>2023</v>
      </c>
      <c r="M602" s="18">
        <f>ROUNDUP(MONTH(B602)/3,0)</f>
        <v>2</v>
      </c>
      <c r="N602" s="20" t="str">
        <f>TEXT(B602,"dddd")</f>
        <v>Monday</v>
      </c>
      <c r="O602" s="20" t="str">
        <f>TEXT(B602,"mmmm")</f>
        <v>April</v>
      </c>
    </row>
    <row r="603" spans="1:15" x14ac:dyDescent="0.3">
      <c r="A603" s="18">
        <v>602</v>
      </c>
      <c r="B603" s="19">
        <v>45283</v>
      </c>
      <c r="C603" s="20" t="s">
        <v>610</v>
      </c>
      <c r="D603" s="20" t="s">
        <v>8</v>
      </c>
      <c r="E603" s="18">
        <v>20</v>
      </c>
      <c r="F603" s="18" t="str">
        <f t="shared" si="18"/>
        <v>Young</v>
      </c>
      <c r="G603" s="20" t="s">
        <v>11</v>
      </c>
      <c r="H603" s="18">
        <v>1</v>
      </c>
      <c r="I603" s="18">
        <v>300</v>
      </c>
      <c r="J603" s="18">
        <v>300</v>
      </c>
      <c r="K603" s="21" t="str">
        <f t="shared" si="19"/>
        <v>Low</v>
      </c>
      <c r="L603" s="18">
        <f>YEAR(B603)</f>
        <v>2023</v>
      </c>
      <c r="M603" s="18">
        <f>ROUNDUP(MONTH(B603)/3,0)</f>
        <v>4</v>
      </c>
      <c r="N603" s="20" t="str">
        <f>TEXT(B603,"dddd")</f>
        <v>Saturday</v>
      </c>
      <c r="O603" s="20" t="str">
        <f>TEXT(B603,"mmmm")</f>
        <v>December</v>
      </c>
    </row>
    <row r="604" spans="1:15" x14ac:dyDescent="0.3">
      <c r="A604" s="18">
        <v>603</v>
      </c>
      <c r="B604" s="19">
        <v>45123</v>
      </c>
      <c r="C604" s="20" t="s">
        <v>611</v>
      </c>
      <c r="D604" s="20" t="s">
        <v>8</v>
      </c>
      <c r="E604" s="18">
        <v>40</v>
      </c>
      <c r="F604" s="18" t="str">
        <f t="shared" si="18"/>
        <v>Adult</v>
      </c>
      <c r="G604" s="20" t="s">
        <v>9</v>
      </c>
      <c r="H604" s="18">
        <v>3</v>
      </c>
      <c r="I604" s="18">
        <v>30</v>
      </c>
      <c r="J604" s="18">
        <v>90</v>
      </c>
      <c r="K604" s="21" t="str">
        <f t="shared" si="19"/>
        <v>Low</v>
      </c>
      <c r="L604" s="18">
        <f>YEAR(B604)</f>
        <v>2023</v>
      </c>
      <c r="M604" s="18">
        <f>ROUNDUP(MONTH(B604)/3,0)</f>
        <v>3</v>
      </c>
      <c r="N604" s="20" t="str">
        <f>TEXT(B604,"dddd")</f>
        <v>Sunday</v>
      </c>
      <c r="O604" s="20" t="str">
        <f>TEXT(B604,"mmmm")</f>
        <v>July</v>
      </c>
    </row>
    <row r="605" spans="1:15" x14ac:dyDescent="0.3">
      <c r="A605" s="18">
        <v>604</v>
      </c>
      <c r="B605" s="19">
        <v>45180</v>
      </c>
      <c r="C605" s="20" t="s">
        <v>612</v>
      </c>
      <c r="D605" s="20" t="s">
        <v>8</v>
      </c>
      <c r="E605" s="18">
        <v>29</v>
      </c>
      <c r="F605" s="18" t="str">
        <f t="shared" si="18"/>
        <v>Young</v>
      </c>
      <c r="G605" s="20" t="s">
        <v>11</v>
      </c>
      <c r="H605" s="18">
        <v>4</v>
      </c>
      <c r="I605" s="18">
        <v>50</v>
      </c>
      <c r="J605" s="18">
        <v>200</v>
      </c>
      <c r="K605" s="21" t="str">
        <f t="shared" si="19"/>
        <v>Low</v>
      </c>
      <c r="L605" s="18">
        <f>YEAR(B605)</f>
        <v>2023</v>
      </c>
      <c r="M605" s="18">
        <f>ROUNDUP(MONTH(B605)/3,0)</f>
        <v>3</v>
      </c>
      <c r="N605" s="20" t="str">
        <f>TEXT(B605,"dddd")</f>
        <v>Monday</v>
      </c>
      <c r="O605" s="20" t="str">
        <f>TEXT(B605,"mmmm")</f>
        <v>September</v>
      </c>
    </row>
    <row r="606" spans="1:15" x14ac:dyDescent="0.3">
      <c r="A606" s="18">
        <v>605</v>
      </c>
      <c r="B606" s="19">
        <v>45131</v>
      </c>
      <c r="C606" s="20" t="s">
        <v>613</v>
      </c>
      <c r="D606" s="20" t="s">
        <v>5</v>
      </c>
      <c r="E606" s="18">
        <v>37</v>
      </c>
      <c r="F606" s="18" t="str">
        <f t="shared" si="18"/>
        <v>Adult</v>
      </c>
      <c r="G606" s="20" t="s">
        <v>11</v>
      </c>
      <c r="H606" s="18">
        <v>2</v>
      </c>
      <c r="I606" s="18">
        <v>500</v>
      </c>
      <c r="J606" s="18">
        <v>1000</v>
      </c>
      <c r="K606" s="21" t="str">
        <f t="shared" si="19"/>
        <v>Medium</v>
      </c>
      <c r="L606" s="18">
        <f>YEAR(B606)</f>
        <v>2023</v>
      </c>
      <c r="M606" s="18">
        <f>ROUNDUP(MONTH(B606)/3,0)</f>
        <v>3</v>
      </c>
      <c r="N606" s="20" t="str">
        <f>TEXT(B606,"dddd")</f>
        <v>Monday</v>
      </c>
      <c r="O606" s="20" t="str">
        <f>TEXT(B606,"mmmm")</f>
        <v>July</v>
      </c>
    </row>
    <row r="607" spans="1:15" x14ac:dyDescent="0.3">
      <c r="A607" s="18">
        <v>606</v>
      </c>
      <c r="B607" s="19">
        <v>45051</v>
      </c>
      <c r="C607" s="20" t="s">
        <v>614</v>
      </c>
      <c r="D607" s="20" t="s">
        <v>5</v>
      </c>
      <c r="E607" s="18">
        <v>22</v>
      </c>
      <c r="F607" s="18" t="str">
        <f t="shared" si="18"/>
        <v>Young</v>
      </c>
      <c r="G607" s="20" t="s">
        <v>11</v>
      </c>
      <c r="H607" s="18">
        <v>1</v>
      </c>
      <c r="I607" s="18">
        <v>50</v>
      </c>
      <c r="J607" s="18">
        <v>50</v>
      </c>
      <c r="K607" s="21" t="str">
        <f t="shared" si="19"/>
        <v>Low</v>
      </c>
      <c r="L607" s="18">
        <f>YEAR(B607)</f>
        <v>2023</v>
      </c>
      <c r="M607" s="18">
        <f>ROUNDUP(MONTH(B607)/3,0)</f>
        <v>2</v>
      </c>
      <c r="N607" s="20" t="str">
        <f>TEXT(B607,"dddd")</f>
        <v>Friday</v>
      </c>
      <c r="O607" s="20" t="str">
        <f>TEXT(B607,"mmmm")</f>
        <v>May</v>
      </c>
    </row>
    <row r="608" spans="1:15" x14ac:dyDescent="0.3">
      <c r="A608" s="18">
        <v>607</v>
      </c>
      <c r="B608" s="19">
        <v>45002</v>
      </c>
      <c r="C608" s="20" t="s">
        <v>615</v>
      </c>
      <c r="D608" s="20" t="s">
        <v>5</v>
      </c>
      <c r="E608" s="18">
        <v>54</v>
      </c>
      <c r="F608" s="18" t="str">
        <f t="shared" si="18"/>
        <v>Adult</v>
      </c>
      <c r="G608" s="20" t="s">
        <v>9</v>
      </c>
      <c r="H608" s="18">
        <v>3</v>
      </c>
      <c r="I608" s="18">
        <v>25</v>
      </c>
      <c r="J608" s="18">
        <v>75</v>
      </c>
      <c r="K608" s="21" t="str">
        <f t="shared" si="19"/>
        <v>Low</v>
      </c>
      <c r="L608" s="18">
        <f>YEAR(B608)</f>
        <v>2023</v>
      </c>
      <c r="M608" s="18">
        <f>ROUNDUP(MONTH(B608)/3,0)</f>
        <v>1</v>
      </c>
      <c r="N608" s="20" t="str">
        <f>TEXT(B608,"dddd")</f>
        <v>Friday</v>
      </c>
      <c r="O608" s="20" t="str">
        <f>TEXT(B608,"mmmm")</f>
        <v>March</v>
      </c>
    </row>
    <row r="609" spans="1:15" x14ac:dyDescent="0.3">
      <c r="A609" s="18">
        <v>608</v>
      </c>
      <c r="B609" s="19">
        <v>45262</v>
      </c>
      <c r="C609" s="20" t="s">
        <v>616</v>
      </c>
      <c r="D609" s="20" t="s">
        <v>8</v>
      </c>
      <c r="E609" s="18">
        <v>55</v>
      </c>
      <c r="F609" s="18" t="str">
        <f t="shared" si="18"/>
        <v>Adult</v>
      </c>
      <c r="G609" s="20" t="s">
        <v>11</v>
      </c>
      <c r="H609" s="18">
        <v>3</v>
      </c>
      <c r="I609" s="18">
        <v>500</v>
      </c>
      <c r="J609" s="18">
        <v>1500</v>
      </c>
      <c r="K609" s="21" t="str">
        <f t="shared" si="19"/>
        <v>Medium</v>
      </c>
      <c r="L609" s="18">
        <f>YEAR(B609)</f>
        <v>2023</v>
      </c>
      <c r="M609" s="18">
        <f>ROUNDUP(MONTH(B609)/3,0)</f>
        <v>4</v>
      </c>
      <c r="N609" s="20" t="str">
        <f>TEXT(B609,"dddd")</f>
        <v>Saturday</v>
      </c>
      <c r="O609" s="20" t="str">
        <f>TEXT(B609,"mmmm")</f>
        <v>December</v>
      </c>
    </row>
    <row r="610" spans="1:15" x14ac:dyDescent="0.3">
      <c r="A610" s="18">
        <v>609</v>
      </c>
      <c r="B610" s="19">
        <v>45279</v>
      </c>
      <c r="C610" s="20" t="s">
        <v>617</v>
      </c>
      <c r="D610" s="20" t="s">
        <v>8</v>
      </c>
      <c r="E610" s="18">
        <v>47</v>
      </c>
      <c r="F610" s="18" t="str">
        <f t="shared" si="18"/>
        <v>Adult</v>
      </c>
      <c r="G610" s="20" t="s">
        <v>9</v>
      </c>
      <c r="H610" s="18">
        <v>2</v>
      </c>
      <c r="I610" s="18">
        <v>50</v>
      </c>
      <c r="J610" s="18">
        <v>100</v>
      </c>
      <c r="K610" s="21" t="str">
        <f t="shared" si="19"/>
        <v>Low</v>
      </c>
      <c r="L610" s="18">
        <f>YEAR(B610)</f>
        <v>2023</v>
      </c>
      <c r="M610" s="18">
        <f>ROUNDUP(MONTH(B610)/3,0)</f>
        <v>4</v>
      </c>
      <c r="N610" s="20" t="str">
        <f>TEXT(B610,"dddd")</f>
        <v>Tuesday</v>
      </c>
      <c r="O610" s="20" t="str">
        <f>TEXT(B610,"mmmm")</f>
        <v>December</v>
      </c>
    </row>
    <row r="611" spans="1:15" x14ac:dyDescent="0.3">
      <c r="A611" s="18">
        <v>610</v>
      </c>
      <c r="B611" s="19">
        <v>44929</v>
      </c>
      <c r="C611" s="20" t="s">
        <v>618</v>
      </c>
      <c r="D611" s="20" t="s">
        <v>8</v>
      </c>
      <c r="E611" s="18">
        <v>26</v>
      </c>
      <c r="F611" s="18" t="str">
        <f t="shared" si="18"/>
        <v>Young</v>
      </c>
      <c r="G611" s="20" t="s">
        <v>6</v>
      </c>
      <c r="H611" s="18">
        <v>2</v>
      </c>
      <c r="I611" s="18">
        <v>300</v>
      </c>
      <c r="J611" s="18">
        <v>600</v>
      </c>
      <c r="K611" s="21" t="str">
        <f t="shared" si="19"/>
        <v>Medium</v>
      </c>
      <c r="L611" s="18">
        <f>YEAR(B611)</f>
        <v>2023</v>
      </c>
      <c r="M611" s="18">
        <f>ROUNDUP(MONTH(B611)/3,0)</f>
        <v>1</v>
      </c>
      <c r="N611" s="20" t="str">
        <f>TEXT(B611,"dddd")</f>
        <v>Tuesday</v>
      </c>
      <c r="O611" s="20" t="str">
        <f>TEXT(B611,"mmmm")</f>
        <v>January</v>
      </c>
    </row>
    <row r="612" spans="1:15" x14ac:dyDescent="0.3">
      <c r="A612" s="18">
        <v>611</v>
      </c>
      <c r="B612" s="19">
        <v>44981</v>
      </c>
      <c r="C612" s="20" t="s">
        <v>619</v>
      </c>
      <c r="D612" s="20" t="s">
        <v>5</v>
      </c>
      <c r="E612" s="18">
        <v>51</v>
      </c>
      <c r="F612" s="18" t="str">
        <f t="shared" si="18"/>
        <v>Adult</v>
      </c>
      <c r="G612" s="20" t="s">
        <v>6</v>
      </c>
      <c r="H612" s="18">
        <v>3</v>
      </c>
      <c r="I612" s="18">
        <v>500</v>
      </c>
      <c r="J612" s="18">
        <v>1500</v>
      </c>
      <c r="K612" s="21" t="str">
        <f t="shared" si="19"/>
        <v>Medium</v>
      </c>
      <c r="L612" s="18">
        <f>YEAR(B612)</f>
        <v>2023</v>
      </c>
      <c r="M612" s="18">
        <f>ROUNDUP(MONTH(B612)/3,0)</f>
        <v>1</v>
      </c>
      <c r="N612" s="20" t="str">
        <f>TEXT(B612,"dddd")</f>
        <v>Friday</v>
      </c>
      <c r="O612" s="20" t="str">
        <f>TEXT(B612,"mmmm")</f>
        <v>February</v>
      </c>
    </row>
    <row r="613" spans="1:15" x14ac:dyDescent="0.3">
      <c r="A613" s="18">
        <v>612</v>
      </c>
      <c r="B613" s="19">
        <v>45144</v>
      </c>
      <c r="C613" s="20" t="s">
        <v>620</v>
      </c>
      <c r="D613" s="20" t="s">
        <v>8</v>
      </c>
      <c r="E613" s="18">
        <v>61</v>
      </c>
      <c r="F613" s="18" t="str">
        <f t="shared" si="18"/>
        <v>Senior</v>
      </c>
      <c r="G613" s="20" t="s">
        <v>11</v>
      </c>
      <c r="H613" s="18">
        <v>1</v>
      </c>
      <c r="I613" s="18">
        <v>500</v>
      </c>
      <c r="J613" s="18">
        <v>500</v>
      </c>
      <c r="K613" s="21" t="str">
        <f t="shared" si="19"/>
        <v>Low</v>
      </c>
      <c r="L613" s="18">
        <f>YEAR(B613)</f>
        <v>2023</v>
      </c>
      <c r="M613" s="18">
        <f>ROUNDUP(MONTH(B613)/3,0)</f>
        <v>3</v>
      </c>
      <c r="N613" s="20" t="str">
        <f>TEXT(B613,"dddd")</f>
        <v>Sunday</v>
      </c>
      <c r="O613" s="20" t="str">
        <f>TEXT(B613,"mmmm")</f>
        <v>August</v>
      </c>
    </row>
    <row r="614" spans="1:15" x14ac:dyDescent="0.3">
      <c r="A614" s="18">
        <v>613</v>
      </c>
      <c r="B614" s="19">
        <v>45039</v>
      </c>
      <c r="C614" s="20" t="s">
        <v>621</v>
      </c>
      <c r="D614" s="20" t="s">
        <v>8</v>
      </c>
      <c r="E614" s="18">
        <v>52</v>
      </c>
      <c r="F614" s="18" t="str">
        <f t="shared" si="18"/>
        <v>Adult</v>
      </c>
      <c r="G614" s="20" t="s">
        <v>9</v>
      </c>
      <c r="H614" s="18">
        <v>3</v>
      </c>
      <c r="I614" s="18">
        <v>30</v>
      </c>
      <c r="J614" s="18">
        <v>90</v>
      </c>
      <c r="K614" s="21" t="str">
        <f t="shared" si="19"/>
        <v>Low</v>
      </c>
      <c r="L614" s="18">
        <f>YEAR(B614)</f>
        <v>2023</v>
      </c>
      <c r="M614" s="18">
        <f>ROUNDUP(MONTH(B614)/3,0)</f>
        <v>2</v>
      </c>
      <c r="N614" s="20" t="str">
        <f>TEXT(B614,"dddd")</f>
        <v>Sunday</v>
      </c>
      <c r="O614" s="20" t="str">
        <f>TEXT(B614,"mmmm")</f>
        <v>April</v>
      </c>
    </row>
    <row r="615" spans="1:15" x14ac:dyDescent="0.3">
      <c r="A615" s="18">
        <v>614</v>
      </c>
      <c r="B615" s="19">
        <v>45017</v>
      </c>
      <c r="C615" s="20" t="s">
        <v>622</v>
      </c>
      <c r="D615" s="20" t="s">
        <v>8</v>
      </c>
      <c r="E615" s="18">
        <v>39</v>
      </c>
      <c r="F615" s="18" t="str">
        <f t="shared" si="18"/>
        <v>Adult</v>
      </c>
      <c r="G615" s="20" t="s">
        <v>6</v>
      </c>
      <c r="H615" s="18">
        <v>4</v>
      </c>
      <c r="I615" s="18">
        <v>300</v>
      </c>
      <c r="J615" s="18">
        <v>1200</v>
      </c>
      <c r="K615" s="21" t="str">
        <f t="shared" si="19"/>
        <v>Medium</v>
      </c>
      <c r="L615" s="18">
        <f>YEAR(B615)</f>
        <v>2023</v>
      </c>
      <c r="M615" s="18">
        <f>ROUNDUP(MONTH(B615)/3,0)</f>
        <v>2</v>
      </c>
      <c r="N615" s="20" t="str">
        <f>TEXT(B615,"dddd")</f>
        <v>Saturday</v>
      </c>
      <c r="O615" s="20" t="str">
        <f>TEXT(B615,"mmmm")</f>
        <v>April</v>
      </c>
    </row>
    <row r="616" spans="1:15" x14ac:dyDescent="0.3">
      <c r="A616" s="18">
        <v>615</v>
      </c>
      <c r="B616" s="19">
        <v>45283</v>
      </c>
      <c r="C616" s="20" t="s">
        <v>623</v>
      </c>
      <c r="D616" s="20" t="s">
        <v>8</v>
      </c>
      <c r="E616" s="18">
        <v>61</v>
      </c>
      <c r="F616" s="18" t="str">
        <f t="shared" si="18"/>
        <v>Senior</v>
      </c>
      <c r="G616" s="20" t="s">
        <v>9</v>
      </c>
      <c r="H616" s="18">
        <v>4</v>
      </c>
      <c r="I616" s="18">
        <v>25</v>
      </c>
      <c r="J616" s="18">
        <v>100</v>
      </c>
      <c r="K616" s="21" t="str">
        <f t="shared" si="19"/>
        <v>Low</v>
      </c>
      <c r="L616" s="18">
        <f>YEAR(B616)</f>
        <v>2023</v>
      </c>
      <c r="M616" s="18">
        <f>ROUNDUP(MONTH(B616)/3,0)</f>
        <v>4</v>
      </c>
      <c r="N616" s="20" t="str">
        <f>TEXT(B616,"dddd")</f>
        <v>Saturday</v>
      </c>
      <c r="O616" s="20" t="str">
        <f>TEXT(B616,"mmmm")</f>
        <v>December</v>
      </c>
    </row>
    <row r="617" spans="1:15" x14ac:dyDescent="0.3">
      <c r="A617" s="18">
        <v>616</v>
      </c>
      <c r="B617" s="19">
        <v>45192</v>
      </c>
      <c r="C617" s="20" t="s">
        <v>624</v>
      </c>
      <c r="D617" s="20" t="s">
        <v>5</v>
      </c>
      <c r="E617" s="18">
        <v>41</v>
      </c>
      <c r="F617" s="18" t="str">
        <f t="shared" si="18"/>
        <v>Adult</v>
      </c>
      <c r="G617" s="20" t="s">
        <v>9</v>
      </c>
      <c r="H617" s="18">
        <v>2</v>
      </c>
      <c r="I617" s="18">
        <v>50</v>
      </c>
      <c r="J617" s="18">
        <v>100</v>
      </c>
      <c r="K617" s="21" t="str">
        <f t="shared" si="19"/>
        <v>Low</v>
      </c>
      <c r="L617" s="18">
        <f>YEAR(B617)</f>
        <v>2023</v>
      </c>
      <c r="M617" s="18">
        <f>ROUNDUP(MONTH(B617)/3,0)</f>
        <v>3</v>
      </c>
      <c r="N617" s="20" t="str">
        <f>TEXT(B617,"dddd")</f>
        <v>Saturday</v>
      </c>
      <c r="O617" s="20" t="str">
        <f>TEXT(B617,"mmmm")</f>
        <v>September</v>
      </c>
    </row>
    <row r="618" spans="1:15" x14ac:dyDescent="0.3">
      <c r="A618" s="18">
        <v>617</v>
      </c>
      <c r="B618" s="19">
        <v>45164</v>
      </c>
      <c r="C618" s="20" t="s">
        <v>625</v>
      </c>
      <c r="D618" s="20" t="s">
        <v>5</v>
      </c>
      <c r="E618" s="18">
        <v>34</v>
      </c>
      <c r="F618" s="18" t="str">
        <f t="shared" si="18"/>
        <v>Adult</v>
      </c>
      <c r="G618" s="20" t="s">
        <v>11</v>
      </c>
      <c r="H618" s="18">
        <v>1</v>
      </c>
      <c r="I618" s="18">
        <v>30</v>
      </c>
      <c r="J618" s="18">
        <v>30</v>
      </c>
      <c r="K618" s="21" t="str">
        <f t="shared" si="19"/>
        <v>Low</v>
      </c>
      <c r="L618" s="18">
        <f>YEAR(B618)</f>
        <v>2023</v>
      </c>
      <c r="M618" s="18">
        <f>ROUNDUP(MONTH(B618)/3,0)</f>
        <v>3</v>
      </c>
      <c r="N618" s="20" t="str">
        <f>TEXT(B618,"dddd")</f>
        <v>Saturday</v>
      </c>
      <c r="O618" s="20" t="str">
        <f>TEXT(B618,"mmmm")</f>
        <v>August</v>
      </c>
    </row>
    <row r="619" spans="1:15" x14ac:dyDescent="0.3">
      <c r="A619" s="18">
        <v>618</v>
      </c>
      <c r="B619" s="19">
        <v>44952</v>
      </c>
      <c r="C619" s="20" t="s">
        <v>626</v>
      </c>
      <c r="D619" s="20" t="s">
        <v>8</v>
      </c>
      <c r="E619" s="18">
        <v>27</v>
      </c>
      <c r="F619" s="18" t="str">
        <f t="shared" si="18"/>
        <v>Young</v>
      </c>
      <c r="G619" s="20" t="s">
        <v>6</v>
      </c>
      <c r="H619" s="18">
        <v>1</v>
      </c>
      <c r="I619" s="18">
        <v>50</v>
      </c>
      <c r="J619" s="18">
        <v>50</v>
      </c>
      <c r="K619" s="21" t="str">
        <f t="shared" si="19"/>
        <v>Low</v>
      </c>
      <c r="L619" s="18">
        <f>YEAR(B619)</f>
        <v>2023</v>
      </c>
      <c r="M619" s="18">
        <f>ROUNDUP(MONTH(B619)/3,0)</f>
        <v>1</v>
      </c>
      <c r="N619" s="20" t="str">
        <f>TEXT(B619,"dddd")</f>
        <v>Thursday</v>
      </c>
      <c r="O619" s="20" t="str">
        <f>TEXT(B619,"mmmm")</f>
        <v>January</v>
      </c>
    </row>
    <row r="620" spans="1:15" x14ac:dyDescent="0.3">
      <c r="A620" s="18">
        <v>619</v>
      </c>
      <c r="B620" s="19">
        <v>45212</v>
      </c>
      <c r="C620" s="20" t="s">
        <v>627</v>
      </c>
      <c r="D620" s="20" t="s">
        <v>5</v>
      </c>
      <c r="E620" s="18">
        <v>47</v>
      </c>
      <c r="F620" s="18" t="str">
        <f t="shared" si="18"/>
        <v>Adult</v>
      </c>
      <c r="G620" s="20" t="s">
        <v>11</v>
      </c>
      <c r="H620" s="18">
        <v>4</v>
      </c>
      <c r="I620" s="18">
        <v>25</v>
      </c>
      <c r="J620" s="18">
        <v>100</v>
      </c>
      <c r="K620" s="21" t="str">
        <f t="shared" si="19"/>
        <v>Low</v>
      </c>
      <c r="L620" s="18">
        <f>YEAR(B620)</f>
        <v>2023</v>
      </c>
      <c r="M620" s="18">
        <f>ROUNDUP(MONTH(B620)/3,0)</f>
        <v>4</v>
      </c>
      <c r="N620" s="20" t="str">
        <f>TEXT(B620,"dddd")</f>
        <v>Friday</v>
      </c>
      <c r="O620" s="20" t="str">
        <f>TEXT(B620,"mmmm")</f>
        <v>October</v>
      </c>
    </row>
    <row r="621" spans="1:15" x14ac:dyDescent="0.3">
      <c r="A621" s="18">
        <v>620</v>
      </c>
      <c r="B621" s="19">
        <v>45054</v>
      </c>
      <c r="C621" s="20" t="s">
        <v>628</v>
      </c>
      <c r="D621" s="20" t="s">
        <v>5</v>
      </c>
      <c r="E621" s="18">
        <v>63</v>
      </c>
      <c r="F621" s="18" t="str">
        <f t="shared" si="18"/>
        <v>Senior</v>
      </c>
      <c r="G621" s="20" t="s">
        <v>11</v>
      </c>
      <c r="H621" s="18">
        <v>3</v>
      </c>
      <c r="I621" s="18">
        <v>25</v>
      </c>
      <c r="J621" s="18">
        <v>75</v>
      </c>
      <c r="K621" s="21" t="str">
        <f t="shared" si="19"/>
        <v>Low</v>
      </c>
      <c r="L621" s="18">
        <f>YEAR(B621)</f>
        <v>2023</v>
      </c>
      <c r="M621" s="18">
        <f>ROUNDUP(MONTH(B621)/3,0)</f>
        <v>2</v>
      </c>
      <c r="N621" s="20" t="str">
        <f>TEXT(B621,"dddd")</f>
        <v>Monday</v>
      </c>
      <c r="O621" s="20" t="str">
        <f>TEXT(B621,"mmmm")</f>
        <v>May</v>
      </c>
    </row>
    <row r="622" spans="1:15" x14ac:dyDescent="0.3">
      <c r="A622" s="18">
        <v>621</v>
      </c>
      <c r="B622" s="19">
        <v>44989</v>
      </c>
      <c r="C622" s="20" t="s">
        <v>629</v>
      </c>
      <c r="D622" s="20" t="s">
        <v>8</v>
      </c>
      <c r="E622" s="18">
        <v>40</v>
      </c>
      <c r="F622" s="18" t="str">
        <f t="shared" si="18"/>
        <v>Adult</v>
      </c>
      <c r="G622" s="20" t="s">
        <v>6</v>
      </c>
      <c r="H622" s="18">
        <v>2</v>
      </c>
      <c r="I622" s="18">
        <v>500</v>
      </c>
      <c r="J622" s="18">
        <v>1000</v>
      </c>
      <c r="K622" s="21" t="str">
        <f t="shared" si="19"/>
        <v>Medium</v>
      </c>
      <c r="L622" s="18">
        <f>YEAR(B622)</f>
        <v>2023</v>
      </c>
      <c r="M622" s="18">
        <f>ROUNDUP(MONTH(B622)/3,0)</f>
        <v>1</v>
      </c>
      <c r="N622" s="20" t="str">
        <f>TEXT(B622,"dddd")</f>
        <v>Saturday</v>
      </c>
      <c r="O622" s="20" t="str">
        <f>TEXT(B622,"mmmm")</f>
        <v>March</v>
      </c>
    </row>
    <row r="623" spans="1:15" x14ac:dyDescent="0.3">
      <c r="A623" s="18">
        <v>622</v>
      </c>
      <c r="B623" s="19">
        <v>45160</v>
      </c>
      <c r="C623" s="20" t="s">
        <v>630</v>
      </c>
      <c r="D623" s="20" t="s">
        <v>8</v>
      </c>
      <c r="E623" s="18">
        <v>49</v>
      </c>
      <c r="F623" s="18" t="str">
        <f t="shared" si="18"/>
        <v>Adult</v>
      </c>
      <c r="G623" s="20" t="s">
        <v>6</v>
      </c>
      <c r="H623" s="18">
        <v>3</v>
      </c>
      <c r="I623" s="18">
        <v>25</v>
      </c>
      <c r="J623" s="18">
        <v>75</v>
      </c>
      <c r="K623" s="21" t="str">
        <f t="shared" si="19"/>
        <v>Low</v>
      </c>
      <c r="L623" s="18">
        <f>YEAR(B623)</f>
        <v>2023</v>
      </c>
      <c r="M623" s="18">
        <f>ROUNDUP(MONTH(B623)/3,0)</f>
        <v>3</v>
      </c>
      <c r="N623" s="20" t="str">
        <f>TEXT(B623,"dddd")</f>
        <v>Tuesday</v>
      </c>
      <c r="O623" s="20" t="str">
        <f>TEXT(B623,"mmmm")</f>
        <v>August</v>
      </c>
    </row>
    <row r="624" spans="1:15" x14ac:dyDescent="0.3">
      <c r="A624" s="18">
        <v>623</v>
      </c>
      <c r="B624" s="19">
        <v>44995</v>
      </c>
      <c r="C624" s="20" t="s">
        <v>631</v>
      </c>
      <c r="D624" s="20" t="s">
        <v>5</v>
      </c>
      <c r="E624" s="18">
        <v>34</v>
      </c>
      <c r="F624" s="18" t="str">
        <f t="shared" si="18"/>
        <v>Adult</v>
      </c>
      <c r="G624" s="20" t="s">
        <v>9</v>
      </c>
      <c r="H624" s="18">
        <v>3</v>
      </c>
      <c r="I624" s="18">
        <v>50</v>
      </c>
      <c r="J624" s="18">
        <v>150</v>
      </c>
      <c r="K624" s="21" t="str">
        <f t="shared" si="19"/>
        <v>Low</v>
      </c>
      <c r="L624" s="18">
        <f>YEAR(B624)</f>
        <v>2023</v>
      </c>
      <c r="M624" s="18">
        <f>ROUNDUP(MONTH(B624)/3,0)</f>
        <v>1</v>
      </c>
      <c r="N624" s="20" t="str">
        <f>TEXT(B624,"dddd")</f>
        <v>Friday</v>
      </c>
      <c r="O624" s="20" t="str">
        <f>TEXT(B624,"mmmm")</f>
        <v>March</v>
      </c>
    </row>
    <row r="625" spans="1:15" x14ac:dyDescent="0.3">
      <c r="A625" s="18">
        <v>624</v>
      </c>
      <c r="B625" s="19">
        <v>45164</v>
      </c>
      <c r="C625" s="20" t="s">
        <v>632</v>
      </c>
      <c r="D625" s="20" t="s">
        <v>8</v>
      </c>
      <c r="E625" s="18">
        <v>34</v>
      </c>
      <c r="F625" s="18" t="str">
        <f t="shared" si="18"/>
        <v>Adult</v>
      </c>
      <c r="G625" s="20" t="s">
        <v>6</v>
      </c>
      <c r="H625" s="18">
        <v>3</v>
      </c>
      <c r="I625" s="18">
        <v>300</v>
      </c>
      <c r="J625" s="18">
        <v>900</v>
      </c>
      <c r="K625" s="21" t="str">
        <f t="shared" si="19"/>
        <v>Medium</v>
      </c>
      <c r="L625" s="18">
        <f>YEAR(B625)</f>
        <v>2023</v>
      </c>
      <c r="M625" s="18">
        <f>ROUNDUP(MONTH(B625)/3,0)</f>
        <v>3</v>
      </c>
      <c r="N625" s="20" t="str">
        <f>TEXT(B625,"dddd")</f>
        <v>Saturday</v>
      </c>
      <c r="O625" s="20" t="str">
        <f>TEXT(B625,"mmmm")</f>
        <v>August</v>
      </c>
    </row>
    <row r="626" spans="1:15" x14ac:dyDescent="0.3">
      <c r="A626" s="18">
        <v>625</v>
      </c>
      <c r="B626" s="19">
        <v>45268</v>
      </c>
      <c r="C626" s="20" t="s">
        <v>633</v>
      </c>
      <c r="D626" s="20" t="s">
        <v>5</v>
      </c>
      <c r="E626" s="18">
        <v>31</v>
      </c>
      <c r="F626" s="18" t="str">
        <f t="shared" si="18"/>
        <v>Adult</v>
      </c>
      <c r="G626" s="20" t="s">
        <v>9</v>
      </c>
      <c r="H626" s="18">
        <v>1</v>
      </c>
      <c r="I626" s="18">
        <v>300</v>
      </c>
      <c r="J626" s="18">
        <v>300</v>
      </c>
      <c r="K626" s="21" t="str">
        <f t="shared" si="19"/>
        <v>Low</v>
      </c>
      <c r="L626" s="18">
        <f>YEAR(B626)</f>
        <v>2023</v>
      </c>
      <c r="M626" s="18">
        <f>ROUNDUP(MONTH(B626)/3,0)</f>
        <v>4</v>
      </c>
      <c r="N626" s="20" t="str">
        <f>TEXT(B626,"dddd")</f>
        <v>Friday</v>
      </c>
      <c r="O626" s="20" t="str">
        <f>TEXT(B626,"mmmm")</f>
        <v>December</v>
      </c>
    </row>
    <row r="627" spans="1:15" x14ac:dyDescent="0.3">
      <c r="A627" s="18">
        <v>626</v>
      </c>
      <c r="B627" s="19">
        <v>45198</v>
      </c>
      <c r="C627" s="20" t="s">
        <v>634</v>
      </c>
      <c r="D627" s="20" t="s">
        <v>8</v>
      </c>
      <c r="E627" s="18">
        <v>26</v>
      </c>
      <c r="F627" s="18" t="str">
        <f t="shared" si="18"/>
        <v>Young</v>
      </c>
      <c r="G627" s="20" t="s">
        <v>9</v>
      </c>
      <c r="H627" s="18">
        <v>4</v>
      </c>
      <c r="I627" s="18">
        <v>500</v>
      </c>
      <c r="J627" s="18">
        <v>2000</v>
      </c>
      <c r="K627" s="21" t="str">
        <f t="shared" si="19"/>
        <v>High</v>
      </c>
      <c r="L627" s="18">
        <f>YEAR(B627)</f>
        <v>2023</v>
      </c>
      <c r="M627" s="18">
        <f>ROUNDUP(MONTH(B627)/3,0)</f>
        <v>3</v>
      </c>
      <c r="N627" s="20" t="str">
        <f>TEXT(B627,"dddd")</f>
        <v>Friday</v>
      </c>
      <c r="O627" s="20" t="str">
        <f>TEXT(B627,"mmmm")</f>
        <v>September</v>
      </c>
    </row>
    <row r="628" spans="1:15" x14ac:dyDescent="0.3">
      <c r="A628" s="18">
        <v>627</v>
      </c>
      <c r="B628" s="19">
        <v>45213</v>
      </c>
      <c r="C628" s="20" t="s">
        <v>635</v>
      </c>
      <c r="D628" s="20" t="s">
        <v>5</v>
      </c>
      <c r="E628" s="18">
        <v>57</v>
      </c>
      <c r="F628" s="18" t="str">
        <f t="shared" si="18"/>
        <v>Adult</v>
      </c>
      <c r="G628" s="20" t="s">
        <v>9</v>
      </c>
      <c r="H628" s="18">
        <v>1</v>
      </c>
      <c r="I628" s="18">
        <v>50</v>
      </c>
      <c r="J628" s="18">
        <v>50</v>
      </c>
      <c r="K628" s="21" t="str">
        <f t="shared" si="19"/>
        <v>Low</v>
      </c>
      <c r="L628" s="18">
        <f>YEAR(B628)</f>
        <v>2023</v>
      </c>
      <c r="M628" s="18">
        <f>ROUNDUP(MONTH(B628)/3,0)</f>
        <v>4</v>
      </c>
      <c r="N628" s="20" t="str">
        <f>TEXT(B628,"dddd")</f>
        <v>Saturday</v>
      </c>
      <c r="O628" s="20" t="str">
        <f>TEXT(B628,"mmmm")</f>
        <v>October</v>
      </c>
    </row>
    <row r="629" spans="1:15" x14ac:dyDescent="0.3">
      <c r="A629" s="18">
        <v>628</v>
      </c>
      <c r="B629" s="19">
        <v>45231</v>
      </c>
      <c r="C629" s="20" t="s">
        <v>636</v>
      </c>
      <c r="D629" s="20" t="s">
        <v>8</v>
      </c>
      <c r="E629" s="18">
        <v>19</v>
      </c>
      <c r="F629" s="18" t="str">
        <f t="shared" si="18"/>
        <v>Young</v>
      </c>
      <c r="G629" s="20" t="s">
        <v>6</v>
      </c>
      <c r="H629" s="18">
        <v>4</v>
      </c>
      <c r="I629" s="18">
        <v>50</v>
      </c>
      <c r="J629" s="18">
        <v>200</v>
      </c>
      <c r="K629" s="21" t="str">
        <f t="shared" si="19"/>
        <v>Low</v>
      </c>
      <c r="L629" s="18">
        <f>YEAR(B629)</f>
        <v>2023</v>
      </c>
      <c r="M629" s="18">
        <f>ROUNDUP(MONTH(B629)/3,0)</f>
        <v>4</v>
      </c>
      <c r="N629" s="20" t="str">
        <f>TEXT(B629,"dddd")</f>
        <v>Wednesday</v>
      </c>
      <c r="O629" s="20" t="str">
        <f>TEXT(B629,"mmmm")</f>
        <v>November</v>
      </c>
    </row>
    <row r="630" spans="1:15" x14ac:dyDescent="0.3">
      <c r="A630" s="18">
        <v>629</v>
      </c>
      <c r="B630" s="19">
        <v>45089</v>
      </c>
      <c r="C630" s="20" t="s">
        <v>637</v>
      </c>
      <c r="D630" s="20" t="s">
        <v>5</v>
      </c>
      <c r="E630" s="18">
        <v>62</v>
      </c>
      <c r="F630" s="18" t="str">
        <f t="shared" si="18"/>
        <v>Senior</v>
      </c>
      <c r="G630" s="20" t="s">
        <v>11</v>
      </c>
      <c r="H630" s="18">
        <v>2</v>
      </c>
      <c r="I630" s="18">
        <v>25</v>
      </c>
      <c r="J630" s="18">
        <v>50</v>
      </c>
      <c r="K630" s="21" t="str">
        <f t="shared" si="19"/>
        <v>Low</v>
      </c>
      <c r="L630" s="18">
        <f>YEAR(B630)</f>
        <v>2023</v>
      </c>
      <c r="M630" s="18">
        <f>ROUNDUP(MONTH(B630)/3,0)</f>
        <v>2</v>
      </c>
      <c r="N630" s="20" t="str">
        <f>TEXT(B630,"dddd")</f>
        <v>Monday</v>
      </c>
      <c r="O630" s="20" t="str">
        <f>TEXT(B630,"mmmm")</f>
        <v>June</v>
      </c>
    </row>
    <row r="631" spans="1:15" x14ac:dyDescent="0.3">
      <c r="A631" s="18">
        <v>630</v>
      </c>
      <c r="B631" s="19">
        <v>45153</v>
      </c>
      <c r="C631" s="20" t="s">
        <v>638</v>
      </c>
      <c r="D631" s="20" t="s">
        <v>5</v>
      </c>
      <c r="E631" s="18">
        <v>42</v>
      </c>
      <c r="F631" s="18" t="str">
        <f t="shared" si="18"/>
        <v>Adult</v>
      </c>
      <c r="G631" s="20" t="s">
        <v>9</v>
      </c>
      <c r="H631" s="18">
        <v>2</v>
      </c>
      <c r="I631" s="18">
        <v>50</v>
      </c>
      <c r="J631" s="18">
        <v>100</v>
      </c>
      <c r="K631" s="21" t="str">
        <f t="shared" si="19"/>
        <v>Low</v>
      </c>
      <c r="L631" s="18">
        <f>YEAR(B631)</f>
        <v>2023</v>
      </c>
      <c r="M631" s="18">
        <f>ROUNDUP(MONTH(B631)/3,0)</f>
        <v>3</v>
      </c>
      <c r="N631" s="20" t="str">
        <f>TEXT(B631,"dddd")</f>
        <v>Tuesday</v>
      </c>
      <c r="O631" s="20" t="str">
        <f>TEXT(B631,"mmmm")</f>
        <v>August</v>
      </c>
    </row>
    <row r="632" spans="1:15" x14ac:dyDescent="0.3">
      <c r="A632" s="18">
        <v>631</v>
      </c>
      <c r="B632" s="19">
        <v>45240</v>
      </c>
      <c r="C632" s="20" t="s">
        <v>639</v>
      </c>
      <c r="D632" s="20" t="s">
        <v>5</v>
      </c>
      <c r="E632" s="18">
        <v>56</v>
      </c>
      <c r="F632" s="18" t="str">
        <f t="shared" si="18"/>
        <v>Adult</v>
      </c>
      <c r="G632" s="20" t="s">
        <v>11</v>
      </c>
      <c r="H632" s="18">
        <v>3</v>
      </c>
      <c r="I632" s="18">
        <v>30</v>
      </c>
      <c r="J632" s="18">
        <v>90</v>
      </c>
      <c r="K632" s="21" t="str">
        <f t="shared" si="19"/>
        <v>Low</v>
      </c>
      <c r="L632" s="18">
        <f>YEAR(B632)</f>
        <v>2023</v>
      </c>
      <c r="M632" s="18">
        <f>ROUNDUP(MONTH(B632)/3,0)</f>
        <v>4</v>
      </c>
      <c r="N632" s="20" t="str">
        <f>TEXT(B632,"dddd")</f>
        <v>Friday</v>
      </c>
      <c r="O632" s="20" t="str">
        <f>TEXT(B632,"mmmm")</f>
        <v>November</v>
      </c>
    </row>
    <row r="633" spans="1:15" x14ac:dyDescent="0.3">
      <c r="A633" s="18">
        <v>632</v>
      </c>
      <c r="B633" s="19">
        <v>45185</v>
      </c>
      <c r="C633" s="20" t="s">
        <v>640</v>
      </c>
      <c r="D633" s="20" t="s">
        <v>8</v>
      </c>
      <c r="E633" s="18">
        <v>26</v>
      </c>
      <c r="F633" s="18" t="str">
        <f t="shared" si="18"/>
        <v>Young</v>
      </c>
      <c r="G633" s="20" t="s">
        <v>11</v>
      </c>
      <c r="H633" s="18">
        <v>4</v>
      </c>
      <c r="I633" s="18">
        <v>25</v>
      </c>
      <c r="J633" s="18">
        <v>100</v>
      </c>
      <c r="K633" s="21" t="str">
        <f t="shared" si="19"/>
        <v>Low</v>
      </c>
      <c r="L633" s="18">
        <f>YEAR(B633)</f>
        <v>2023</v>
      </c>
      <c r="M633" s="18">
        <f>ROUNDUP(MONTH(B633)/3,0)</f>
        <v>3</v>
      </c>
      <c r="N633" s="20" t="str">
        <f>TEXT(B633,"dddd")</f>
        <v>Saturday</v>
      </c>
      <c r="O633" s="20" t="str">
        <f>TEXT(B633,"mmmm")</f>
        <v>September</v>
      </c>
    </row>
    <row r="634" spans="1:15" x14ac:dyDescent="0.3">
      <c r="A634" s="18">
        <v>633</v>
      </c>
      <c r="B634" s="19">
        <v>45145</v>
      </c>
      <c r="C634" s="20" t="s">
        <v>641</v>
      </c>
      <c r="D634" s="20" t="s">
        <v>5</v>
      </c>
      <c r="E634" s="18">
        <v>39</v>
      </c>
      <c r="F634" s="18" t="str">
        <f t="shared" si="18"/>
        <v>Adult</v>
      </c>
      <c r="G634" s="20" t="s">
        <v>6</v>
      </c>
      <c r="H634" s="18">
        <v>4</v>
      </c>
      <c r="I634" s="18">
        <v>30</v>
      </c>
      <c r="J634" s="18">
        <v>120</v>
      </c>
      <c r="K634" s="21" t="str">
        <f t="shared" si="19"/>
        <v>Low</v>
      </c>
      <c r="L634" s="18">
        <f>YEAR(B634)</f>
        <v>2023</v>
      </c>
      <c r="M634" s="18">
        <f>ROUNDUP(MONTH(B634)/3,0)</f>
        <v>3</v>
      </c>
      <c r="N634" s="20" t="str">
        <f>TEXT(B634,"dddd")</f>
        <v>Monday</v>
      </c>
      <c r="O634" s="20" t="str">
        <f>TEXT(B634,"mmmm")</f>
        <v>August</v>
      </c>
    </row>
    <row r="635" spans="1:15" x14ac:dyDescent="0.3">
      <c r="A635" s="18">
        <v>634</v>
      </c>
      <c r="B635" s="19">
        <v>45207</v>
      </c>
      <c r="C635" s="20" t="s">
        <v>642</v>
      </c>
      <c r="D635" s="20" t="s">
        <v>5</v>
      </c>
      <c r="E635" s="18">
        <v>60</v>
      </c>
      <c r="F635" s="18" t="str">
        <f t="shared" si="18"/>
        <v>Adult</v>
      </c>
      <c r="G635" s="20" t="s">
        <v>11</v>
      </c>
      <c r="H635" s="18">
        <v>4</v>
      </c>
      <c r="I635" s="18">
        <v>500</v>
      </c>
      <c r="J635" s="18">
        <v>2000</v>
      </c>
      <c r="K635" s="21" t="str">
        <f t="shared" si="19"/>
        <v>High</v>
      </c>
      <c r="L635" s="18">
        <f>YEAR(B635)</f>
        <v>2023</v>
      </c>
      <c r="M635" s="18">
        <f>ROUNDUP(MONTH(B635)/3,0)</f>
        <v>4</v>
      </c>
      <c r="N635" s="20" t="str">
        <f>TEXT(B635,"dddd")</f>
        <v>Sunday</v>
      </c>
      <c r="O635" s="20" t="str">
        <f>TEXT(B635,"mmmm")</f>
        <v>October</v>
      </c>
    </row>
    <row r="636" spans="1:15" x14ac:dyDescent="0.3">
      <c r="A636" s="18">
        <v>635</v>
      </c>
      <c r="B636" s="19">
        <v>45155</v>
      </c>
      <c r="C636" s="20" t="s">
        <v>643</v>
      </c>
      <c r="D636" s="20" t="s">
        <v>8</v>
      </c>
      <c r="E636" s="18">
        <v>63</v>
      </c>
      <c r="F636" s="18" t="str">
        <f t="shared" si="18"/>
        <v>Senior</v>
      </c>
      <c r="G636" s="20" t="s">
        <v>11</v>
      </c>
      <c r="H636" s="18">
        <v>3</v>
      </c>
      <c r="I636" s="18">
        <v>300</v>
      </c>
      <c r="J636" s="18">
        <v>900</v>
      </c>
      <c r="K636" s="21" t="str">
        <f t="shared" si="19"/>
        <v>Medium</v>
      </c>
      <c r="L636" s="18">
        <f>YEAR(B636)</f>
        <v>2023</v>
      </c>
      <c r="M636" s="18">
        <f>ROUNDUP(MONTH(B636)/3,0)</f>
        <v>3</v>
      </c>
      <c r="N636" s="20" t="str">
        <f>TEXT(B636,"dddd")</f>
        <v>Thursday</v>
      </c>
      <c r="O636" s="20" t="str">
        <f>TEXT(B636,"mmmm")</f>
        <v>August</v>
      </c>
    </row>
    <row r="637" spans="1:15" x14ac:dyDescent="0.3">
      <c r="A637" s="18">
        <v>636</v>
      </c>
      <c r="B637" s="19">
        <v>45008</v>
      </c>
      <c r="C637" s="20" t="s">
        <v>644</v>
      </c>
      <c r="D637" s="20" t="s">
        <v>8</v>
      </c>
      <c r="E637" s="18">
        <v>21</v>
      </c>
      <c r="F637" s="18" t="str">
        <f t="shared" si="18"/>
        <v>Young</v>
      </c>
      <c r="G637" s="20" t="s">
        <v>6</v>
      </c>
      <c r="H637" s="18">
        <v>3</v>
      </c>
      <c r="I637" s="18">
        <v>500</v>
      </c>
      <c r="J637" s="18">
        <v>1500</v>
      </c>
      <c r="K637" s="21" t="str">
        <f t="shared" si="19"/>
        <v>Medium</v>
      </c>
      <c r="L637" s="18">
        <f>YEAR(B637)</f>
        <v>2023</v>
      </c>
      <c r="M637" s="18">
        <f>ROUNDUP(MONTH(B637)/3,0)</f>
        <v>1</v>
      </c>
      <c r="N637" s="20" t="str">
        <f>TEXT(B637,"dddd")</f>
        <v>Thursday</v>
      </c>
      <c r="O637" s="20" t="str">
        <f>TEXT(B637,"mmmm")</f>
        <v>March</v>
      </c>
    </row>
    <row r="638" spans="1:15" x14ac:dyDescent="0.3">
      <c r="A638" s="18">
        <v>637</v>
      </c>
      <c r="B638" s="19">
        <v>45170</v>
      </c>
      <c r="C638" s="20" t="s">
        <v>645</v>
      </c>
      <c r="D638" s="20" t="s">
        <v>5</v>
      </c>
      <c r="E638" s="18">
        <v>43</v>
      </c>
      <c r="F638" s="18" t="str">
        <f t="shared" si="18"/>
        <v>Adult</v>
      </c>
      <c r="G638" s="20" t="s">
        <v>9</v>
      </c>
      <c r="H638" s="18">
        <v>2</v>
      </c>
      <c r="I638" s="18">
        <v>300</v>
      </c>
      <c r="J638" s="18">
        <v>600</v>
      </c>
      <c r="K638" s="21" t="str">
        <f t="shared" si="19"/>
        <v>Medium</v>
      </c>
      <c r="L638" s="18">
        <f>YEAR(B638)</f>
        <v>2023</v>
      </c>
      <c r="M638" s="18">
        <f>ROUNDUP(MONTH(B638)/3,0)</f>
        <v>3</v>
      </c>
      <c r="N638" s="20" t="str">
        <f>TEXT(B638,"dddd")</f>
        <v>Friday</v>
      </c>
      <c r="O638" s="20" t="str">
        <f>TEXT(B638,"mmmm")</f>
        <v>September</v>
      </c>
    </row>
    <row r="639" spans="1:15" x14ac:dyDescent="0.3">
      <c r="A639" s="18">
        <v>638</v>
      </c>
      <c r="B639" s="19">
        <v>45157</v>
      </c>
      <c r="C639" s="20" t="s">
        <v>646</v>
      </c>
      <c r="D639" s="20" t="s">
        <v>5</v>
      </c>
      <c r="E639" s="18">
        <v>46</v>
      </c>
      <c r="F639" s="18" t="str">
        <f t="shared" si="18"/>
        <v>Adult</v>
      </c>
      <c r="G639" s="20" t="s">
        <v>11</v>
      </c>
      <c r="H639" s="18">
        <v>1</v>
      </c>
      <c r="I639" s="18">
        <v>500</v>
      </c>
      <c r="J639" s="18">
        <v>500</v>
      </c>
      <c r="K639" s="21" t="str">
        <f t="shared" si="19"/>
        <v>Low</v>
      </c>
      <c r="L639" s="18">
        <f>YEAR(B639)</f>
        <v>2023</v>
      </c>
      <c r="M639" s="18">
        <f>ROUNDUP(MONTH(B639)/3,0)</f>
        <v>3</v>
      </c>
      <c r="N639" s="20" t="str">
        <f>TEXT(B639,"dddd")</f>
        <v>Saturday</v>
      </c>
      <c r="O639" s="20" t="str">
        <f>TEXT(B639,"mmmm")</f>
        <v>August</v>
      </c>
    </row>
    <row r="640" spans="1:15" x14ac:dyDescent="0.3">
      <c r="A640" s="18">
        <v>639</v>
      </c>
      <c r="B640" s="19">
        <v>45059</v>
      </c>
      <c r="C640" s="20" t="s">
        <v>647</v>
      </c>
      <c r="D640" s="20" t="s">
        <v>8</v>
      </c>
      <c r="E640" s="18">
        <v>62</v>
      </c>
      <c r="F640" s="18" t="str">
        <f t="shared" si="18"/>
        <v>Senior</v>
      </c>
      <c r="G640" s="20" t="s">
        <v>6</v>
      </c>
      <c r="H640" s="18">
        <v>4</v>
      </c>
      <c r="I640" s="18">
        <v>50</v>
      </c>
      <c r="J640" s="18">
        <v>200</v>
      </c>
      <c r="K640" s="21" t="str">
        <f t="shared" si="19"/>
        <v>Low</v>
      </c>
      <c r="L640" s="18">
        <f>YEAR(B640)</f>
        <v>2023</v>
      </c>
      <c r="M640" s="18">
        <f>ROUNDUP(MONTH(B640)/3,0)</f>
        <v>2</v>
      </c>
      <c r="N640" s="20" t="str">
        <f>TEXT(B640,"dddd")</f>
        <v>Saturday</v>
      </c>
      <c r="O640" s="20" t="str">
        <f>TEXT(B640,"mmmm")</f>
        <v>May</v>
      </c>
    </row>
    <row r="641" spans="1:15" x14ac:dyDescent="0.3">
      <c r="A641" s="18">
        <v>640</v>
      </c>
      <c r="B641" s="19">
        <v>45053</v>
      </c>
      <c r="C641" s="20" t="s">
        <v>648</v>
      </c>
      <c r="D641" s="20" t="s">
        <v>8</v>
      </c>
      <c r="E641" s="18">
        <v>51</v>
      </c>
      <c r="F641" s="18" t="str">
        <f t="shared" si="18"/>
        <v>Adult</v>
      </c>
      <c r="G641" s="20" t="s">
        <v>11</v>
      </c>
      <c r="H641" s="18">
        <v>4</v>
      </c>
      <c r="I641" s="18">
        <v>30</v>
      </c>
      <c r="J641" s="18">
        <v>120</v>
      </c>
      <c r="K641" s="21" t="str">
        <f t="shared" si="19"/>
        <v>Low</v>
      </c>
      <c r="L641" s="18">
        <f>YEAR(B641)</f>
        <v>2023</v>
      </c>
      <c r="M641" s="18">
        <f>ROUNDUP(MONTH(B641)/3,0)</f>
        <v>2</v>
      </c>
      <c r="N641" s="20" t="str">
        <f>TEXT(B641,"dddd")</f>
        <v>Sunday</v>
      </c>
      <c r="O641" s="20" t="str">
        <f>TEXT(B641,"mmmm")</f>
        <v>May</v>
      </c>
    </row>
    <row r="642" spans="1:15" x14ac:dyDescent="0.3">
      <c r="A642" s="18">
        <v>641</v>
      </c>
      <c r="B642" s="19">
        <v>45253</v>
      </c>
      <c r="C642" s="20" t="s">
        <v>649</v>
      </c>
      <c r="D642" s="20" t="s">
        <v>8</v>
      </c>
      <c r="E642" s="18">
        <v>40</v>
      </c>
      <c r="F642" s="18" t="str">
        <f t="shared" si="18"/>
        <v>Adult</v>
      </c>
      <c r="G642" s="20" t="s">
        <v>11</v>
      </c>
      <c r="H642" s="18">
        <v>1</v>
      </c>
      <c r="I642" s="18">
        <v>300</v>
      </c>
      <c r="J642" s="18">
        <v>300</v>
      </c>
      <c r="K642" s="21" t="str">
        <f t="shared" si="19"/>
        <v>Low</v>
      </c>
      <c r="L642" s="18">
        <f>YEAR(B642)</f>
        <v>2023</v>
      </c>
      <c r="M642" s="18">
        <f>ROUNDUP(MONTH(B642)/3,0)</f>
        <v>4</v>
      </c>
      <c r="N642" s="20" t="str">
        <f>TEXT(B642,"dddd")</f>
        <v>Thursday</v>
      </c>
      <c r="O642" s="20" t="str">
        <f>TEXT(B642,"mmmm")</f>
        <v>November</v>
      </c>
    </row>
    <row r="643" spans="1:15" x14ac:dyDescent="0.3">
      <c r="A643" s="18">
        <v>642</v>
      </c>
      <c r="B643" s="19">
        <v>45068</v>
      </c>
      <c r="C643" s="20" t="s">
        <v>650</v>
      </c>
      <c r="D643" s="20" t="s">
        <v>8</v>
      </c>
      <c r="E643" s="18">
        <v>54</v>
      </c>
      <c r="F643" s="18" t="str">
        <f t="shared" ref="F643:F706" si="20">IF(E643&gt;60,"Senior",IF(E643&gt;30,"Adult","Young"))</f>
        <v>Adult</v>
      </c>
      <c r="G643" s="20" t="s">
        <v>9</v>
      </c>
      <c r="H643" s="18">
        <v>4</v>
      </c>
      <c r="I643" s="18">
        <v>25</v>
      </c>
      <c r="J643" s="18">
        <v>100</v>
      </c>
      <c r="K643" s="21" t="str">
        <f t="shared" ref="K643:K706" si="21">IF(J643&gt;1500,"High",IF(J643&gt;500,"Medium","Low"))</f>
        <v>Low</v>
      </c>
      <c r="L643" s="18">
        <f>YEAR(B643)</f>
        <v>2023</v>
      </c>
      <c r="M643" s="18">
        <f>ROUNDUP(MONTH(B643)/3,0)</f>
        <v>2</v>
      </c>
      <c r="N643" s="20" t="str">
        <f>TEXT(B643,"dddd")</f>
        <v>Monday</v>
      </c>
      <c r="O643" s="20" t="str">
        <f>TEXT(B643,"mmmm")</f>
        <v>May</v>
      </c>
    </row>
    <row r="644" spans="1:15" x14ac:dyDescent="0.3">
      <c r="A644" s="18">
        <v>643</v>
      </c>
      <c r="B644" s="19">
        <v>45193</v>
      </c>
      <c r="C644" s="20" t="s">
        <v>651</v>
      </c>
      <c r="D644" s="20" t="s">
        <v>8</v>
      </c>
      <c r="E644" s="18">
        <v>28</v>
      </c>
      <c r="F644" s="18" t="str">
        <f t="shared" si="20"/>
        <v>Young</v>
      </c>
      <c r="G644" s="20" t="s">
        <v>11</v>
      </c>
      <c r="H644" s="18">
        <v>3</v>
      </c>
      <c r="I644" s="18">
        <v>30</v>
      </c>
      <c r="J644" s="18">
        <v>90</v>
      </c>
      <c r="K644" s="21" t="str">
        <f t="shared" si="21"/>
        <v>Low</v>
      </c>
      <c r="L644" s="18">
        <f>YEAR(B644)</f>
        <v>2023</v>
      </c>
      <c r="M644" s="18">
        <f>ROUNDUP(MONTH(B644)/3,0)</f>
        <v>3</v>
      </c>
      <c r="N644" s="20" t="str">
        <f>TEXT(B644,"dddd")</f>
        <v>Sunday</v>
      </c>
      <c r="O644" s="20" t="str">
        <f>TEXT(B644,"mmmm")</f>
        <v>September</v>
      </c>
    </row>
    <row r="645" spans="1:15" x14ac:dyDescent="0.3">
      <c r="A645" s="18">
        <v>644</v>
      </c>
      <c r="B645" s="19">
        <v>45175</v>
      </c>
      <c r="C645" s="20" t="s">
        <v>652</v>
      </c>
      <c r="D645" s="20" t="s">
        <v>5</v>
      </c>
      <c r="E645" s="18">
        <v>23</v>
      </c>
      <c r="F645" s="18" t="str">
        <f t="shared" si="20"/>
        <v>Young</v>
      </c>
      <c r="G645" s="20" t="s">
        <v>6</v>
      </c>
      <c r="H645" s="18">
        <v>3</v>
      </c>
      <c r="I645" s="18">
        <v>25</v>
      </c>
      <c r="J645" s="18">
        <v>75</v>
      </c>
      <c r="K645" s="21" t="str">
        <f t="shared" si="21"/>
        <v>Low</v>
      </c>
      <c r="L645" s="18">
        <f>YEAR(B645)</f>
        <v>2023</v>
      </c>
      <c r="M645" s="18">
        <f>ROUNDUP(MONTH(B645)/3,0)</f>
        <v>3</v>
      </c>
      <c r="N645" s="20" t="str">
        <f>TEXT(B645,"dddd")</f>
        <v>Wednesday</v>
      </c>
      <c r="O645" s="20" t="str">
        <f>TEXT(B645,"mmmm")</f>
        <v>September</v>
      </c>
    </row>
    <row r="646" spans="1:15" x14ac:dyDescent="0.3">
      <c r="A646" s="18">
        <v>645</v>
      </c>
      <c r="B646" s="19">
        <v>45247</v>
      </c>
      <c r="C646" s="20" t="s">
        <v>653</v>
      </c>
      <c r="D646" s="20" t="s">
        <v>8</v>
      </c>
      <c r="E646" s="18">
        <v>35</v>
      </c>
      <c r="F646" s="18" t="str">
        <f t="shared" si="20"/>
        <v>Adult</v>
      </c>
      <c r="G646" s="20" t="s">
        <v>11</v>
      </c>
      <c r="H646" s="18">
        <v>4</v>
      </c>
      <c r="I646" s="18">
        <v>30</v>
      </c>
      <c r="J646" s="18">
        <v>120</v>
      </c>
      <c r="K646" s="21" t="str">
        <f t="shared" si="21"/>
        <v>Low</v>
      </c>
      <c r="L646" s="18">
        <f>YEAR(B646)</f>
        <v>2023</v>
      </c>
      <c r="M646" s="18">
        <f>ROUNDUP(MONTH(B646)/3,0)</f>
        <v>4</v>
      </c>
      <c r="N646" s="20" t="str">
        <f>TEXT(B646,"dddd")</f>
        <v>Friday</v>
      </c>
      <c r="O646" s="20" t="str">
        <f>TEXT(B646,"mmmm")</f>
        <v>November</v>
      </c>
    </row>
    <row r="647" spans="1:15" x14ac:dyDescent="0.3">
      <c r="A647" s="18">
        <v>646</v>
      </c>
      <c r="B647" s="19">
        <v>45049</v>
      </c>
      <c r="C647" s="20" t="s">
        <v>654</v>
      </c>
      <c r="D647" s="20" t="s">
        <v>5</v>
      </c>
      <c r="E647" s="18">
        <v>38</v>
      </c>
      <c r="F647" s="18" t="str">
        <f t="shared" si="20"/>
        <v>Adult</v>
      </c>
      <c r="G647" s="20" t="s">
        <v>9</v>
      </c>
      <c r="H647" s="18">
        <v>3</v>
      </c>
      <c r="I647" s="18">
        <v>30</v>
      </c>
      <c r="J647" s="18">
        <v>90</v>
      </c>
      <c r="K647" s="21" t="str">
        <f t="shared" si="21"/>
        <v>Low</v>
      </c>
      <c r="L647" s="18">
        <f>YEAR(B647)</f>
        <v>2023</v>
      </c>
      <c r="M647" s="18">
        <f>ROUNDUP(MONTH(B647)/3,0)</f>
        <v>2</v>
      </c>
      <c r="N647" s="20" t="str">
        <f>TEXT(B647,"dddd")</f>
        <v>Wednesday</v>
      </c>
      <c r="O647" s="20" t="str">
        <f>TEXT(B647,"mmmm")</f>
        <v>May</v>
      </c>
    </row>
    <row r="648" spans="1:15" x14ac:dyDescent="0.3">
      <c r="A648" s="18">
        <v>647</v>
      </c>
      <c r="B648" s="19">
        <v>45067</v>
      </c>
      <c r="C648" s="20" t="s">
        <v>655</v>
      </c>
      <c r="D648" s="20" t="s">
        <v>5</v>
      </c>
      <c r="E648" s="18">
        <v>59</v>
      </c>
      <c r="F648" s="18" t="str">
        <f t="shared" si="20"/>
        <v>Adult</v>
      </c>
      <c r="G648" s="20" t="s">
        <v>9</v>
      </c>
      <c r="H648" s="18">
        <v>3</v>
      </c>
      <c r="I648" s="18">
        <v>500</v>
      </c>
      <c r="J648" s="18">
        <v>1500</v>
      </c>
      <c r="K648" s="21" t="str">
        <f t="shared" si="21"/>
        <v>Medium</v>
      </c>
      <c r="L648" s="18">
        <f>YEAR(B648)</f>
        <v>2023</v>
      </c>
      <c r="M648" s="18">
        <f>ROUNDUP(MONTH(B648)/3,0)</f>
        <v>2</v>
      </c>
      <c r="N648" s="20" t="str">
        <f>TEXT(B648,"dddd")</f>
        <v>Sunday</v>
      </c>
      <c r="O648" s="20" t="str">
        <f>TEXT(B648,"mmmm")</f>
        <v>May</v>
      </c>
    </row>
    <row r="649" spans="1:15" x14ac:dyDescent="0.3">
      <c r="A649" s="18">
        <v>648</v>
      </c>
      <c r="B649" s="19">
        <v>45152</v>
      </c>
      <c r="C649" s="20" t="s">
        <v>656</v>
      </c>
      <c r="D649" s="20" t="s">
        <v>5</v>
      </c>
      <c r="E649" s="18">
        <v>53</v>
      </c>
      <c r="F649" s="18" t="str">
        <f t="shared" si="20"/>
        <v>Adult</v>
      </c>
      <c r="G649" s="20" t="s">
        <v>6</v>
      </c>
      <c r="H649" s="18">
        <v>4</v>
      </c>
      <c r="I649" s="18">
        <v>300</v>
      </c>
      <c r="J649" s="18">
        <v>1200</v>
      </c>
      <c r="K649" s="21" t="str">
        <f t="shared" si="21"/>
        <v>Medium</v>
      </c>
      <c r="L649" s="18">
        <f>YEAR(B649)</f>
        <v>2023</v>
      </c>
      <c r="M649" s="18">
        <f>ROUNDUP(MONTH(B649)/3,0)</f>
        <v>3</v>
      </c>
      <c r="N649" s="20" t="str">
        <f>TEXT(B649,"dddd")</f>
        <v>Monday</v>
      </c>
      <c r="O649" s="20" t="str">
        <f>TEXT(B649,"mmmm")</f>
        <v>August</v>
      </c>
    </row>
    <row r="650" spans="1:15" x14ac:dyDescent="0.3">
      <c r="A650" s="18">
        <v>649</v>
      </c>
      <c r="B650" s="19">
        <v>44966</v>
      </c>
      <c r="C650" s="20" t="s">
        <v>657</v>
      </c>
      <c r="D650" s="20" t="s">
        <v>8</v>
      </c>
      <c r="E650" s="18">
        <v>58</v>
      </c>
      <c r="F650" s="18" t="str">
        <f t="shared" si="20"/>
        <v>Adult</v>
      </c>
      <c r="G650" s="20" t="s">
        <v>9</v>
      </c>
      <c r="H650" s="18">
        <v>2</v>
      </c>
      <c r="I650" s="18">
        <v>300</v>
      </c>
      <c r="J650" s="18">
        <v>600</v>
      </c>
      <c r="K650" s="21" t="str">
        <f t="shared" si="21"/>
        <v>Medium</v>
      </c>
      <c r="L650" s="18">
        <f>YEAR(B650)</f>
        <v>2023</v>
      </c>
      <c r="M650" s="18">
        <f>ROUNDUP(MONTH(B650)/3,0)</f>
        <v>1</v>
      </c>
      <c r="N650" s="20" t="str">
        <f>TEXT(B650,"dddd")</f>
        <v>Thursday</v>
      </c>
      <c r="O650" s="20" t="str">
        <f>TEXT(B650,"mmmm")</f>
        <v>February</v>
      </c>
    </row>
    <row r="651" spans="1:15" x14ac:dyDescent="0.3">
      <c r="A651" s="18">
        <v>650</v>
      </c>
      <c r="B651" s="19">
        <v>45292</v>
      </c>
      <c r="C651" s="20" t="s">
        <v>658</v>
      </c>
      <c r="D651" s="20" t="s">
        <v>5</v>
      </c>
      <c r="E651" s="18">
        <v>55</v>
      </c>
      <c r="F651" s="18" t="str">
        <f t="shared" si="20"/>
        <v>Adult</v>
      </c>
      <c r="G651" s="20" t="s">
        <v>11</v>
      </c>
      <c r="H651" s="18">
        <v>1</v>
      </c>
      <c r="I651" s="18">
        <v>30</v>
      </c>
      <c r="J651" s="18">
        <v>30</v>
      </c>
      <c r="K651" s="21" t="str">
        <f t="shared" si="21"/>
        <v>Low</v>
      </c>
      <c r="L651" s="18">
        <f>YEAR(B651)</f>
        <v>2024</v>
      </c>
      <c r="M651" s="18">
        <f>ROUNDUP(MONTH(B651)/3,0)</f>
        <v>1</v>
      </c>
      <c r="N651" s="20" t="str">
        <f>TEXT(B651,"dddd")</f>
        <v>Monday</v>
      </c>
      <c r="O651" s="20" t="str">
        <f>TEXT(B651,"mmmm")</f>
        <v>January</v>
      </c>
    </row>
    <row r="652" spans="1:15" x14ac:dyDescent="0.3">
      <c r="A652" s="18">
        <v>651</v>
      </c>
      <c r="B652" s="19">
        <v>45073</v>
      </c>
      <c r="C652" s="20" t="s">
        <v>659</v>
      </c>
      <c r="D652" s="20" t="s">
        <v>5</v>
      </c>
      <c r="E652" s="18">
        <v>51</v>
      </c>
      <c r="F652" s="18" t="str">
        <f t="shared" si="20"/>
        <v>Adult</v>
      </c>
      <c r="G652" s="20" t="s">
        <v>9</v>
      </c>
      <c r="H652" s="18">
        <v>3</v>
      </c>
      <c r="I652" s="18">
        <v>50</v>
      </c>
      <c r="J652" s="18">
        <v>150</v>
      </c>
      <c r="K652" s="21" t="str">
        <f t="shared" si="21"/>
        <v>Low</v>
      </c>
      <c r="L652" s="18">
        <f>YEAR(B652)</f>
        <v>2023</v>
      </c>
      <c r="M652" s="18">
        <f>ROUNDUP(MONTH(B652)/3,0)</f>
        <v>2</v>
      </c>
      <c r="N652" s="20" t="str">
        <f>TEXT(B652,"dddd")</f>
        <v>Saturday</v>
      </c>
      <c r="O652" s="20" t="str">
        <f>TEXT(B652,"mmmm")</f>
        <v>May</v>
      </c>
    </row>
    <row r="653" spans="1:15" x14ac:dyDescent="0.3">
      <c r="A653" s="18">
        <v>652</v>
      </c>
      <c r="B653" s="19">
        <v>45047</v>
      </c>
      <c r="C653" s="20" t="s">
        <v>660</v>
      </c>
      <c r="D653" s="20" t="s">
        <v>8</v>
      </c>
      <c r="E653" s="18">
        <v>34</v>
      </c>
      <c r="F653" s="18" t="str">
        <f t="shared" si="20"/>
        <v>Adult</v>
      </c>
      <c r="G653" s="20" t="s">
        <v>6</v>
      </c>
      <c r="H653" s="18">
        <v>2</v>
      </c>
      <c r="I653" s="18">
        <v>50</v>
      </c>
      <c r="J653" s="18">
        <v>100</v>
      </c>
      <c r="K653" s="21" t="str">
        <f t="shared" si="21"/>
        <v>Low</v>
      </c>
      <c r="L653" s="18">
        <f>YEAR(B653)</f>
        <v>2023</v>
      </c>
      <c r="M653" s="18">
        <f>ROUNDUP(MONTH(B653)/3,0)</f>
        <v>2</v>
      </c>
      <c r="N653" s="20" t="str">
        <f>TEXT(B653,"dddd")</f>
        <v>Monday</v>
      </c>
      <c r="O653" s="20" t="str">
        <f>TEXT(B653,"mmmm")</f>
        <v>May</v>
      </c>
    </row>
    <row r="654" spans="1:15" x14ac:dyDescent="0.3">
      <c r="A654" s="18">
        <v>653</v>
      </c>
      <c r="B654" s="19">
        <v>45066</v>
      </c>
      <c r="C654" s="20" t="s">
        <v>661</v>
      </c>
      <c r="D654" s="20" t="s">
        <v>5</v>
      </c>
      <c r="E654" s="18">
        <v>54</v>
      </c>
      <c r="F654" s="18" t="str">
        <f t="shared" si="20"/>
        <v>Adult</v>
      </c>
      <c r="G654" s="20" t="s">
        <v>9</v>
      </c>
      <c r="H654" s="18">
        <v>3</v>
      </c>
      <c r="I654" s="18">
        <v>25</v>
      </c>
      <c r="J654" s="18">
        <v>75</v>
      </c>
      <c r="K654" s="21" t="str">
        <f t="shared" si="21"/>
        <v>Low</v>
      </c>
      <c r="L654" s="18">
        <f>YEAR(B654)</f>
        <v>2023</v>
      </c>
      <c r="M654" s="18">
        <f>ROUNDUP(MONTH(B654)/3,0)</f>
        <v>2</v>
      </c>
      <c r="N654" s="20" t="str">
        <f>TEXT(B654,"dddd")</f>
        <v>Saturday</v>
      </c>
      <c r="O654" s="20" t="str">
        <f>TEXT(B654,"mmmm")</f>
        <v>May</v>
      </c>
    </row>
    <row r="655" spans="1:15" x14ac:dyDescent="0.3">
      <c r="A655" s="18">
        <v>654</v>
      </c>
      <c r="B655" s="19">
        <v>45098</v>
      </c>
      <c r="C655" s="20" t="s">
        <v>662</v>
      </c>
      <c r="D655" s="20" t="s">
        <v>5</v>
      </c>
      <c r="E655" s="18">
        <v>42</v>
      </c>
      <c r="F655" s="18" t="str">
        <f t="shared" si="20"/>
        <v>Adult</v>
      </c>
      <c r="G655" s="20" t="s">
        <v>9</v>
      </c>
      <c r="H655" s="18">
        <v>3</v>
      </c>
      <c r="I655" s="18">
        <v>25</v>
      </c>
      <c r="J655" s="18">
        <v>75</v>
      </c>
      <c r="K655" s="21" t="str">
        <f t="shared" si="21"/>
        <v>Low</v>
      </c>
      <c r="L655" s="18">
        <f>YEAR(B655)</f>
        <v>2023</v>
      </c>
      <c r="M655" s="18">
        <f>ROUNDUP(MONTH(B655)/3,0)</f>
        <v>2</v>
      </c>
      <c r="N655" s="20" t="str">
        <f>TEXT(B655,"dddd")</f>
        <v>Wednesday</v>
      </c>
      <c r="O655" s="20" t="str">
        <f>TEXT(B655,"mmmm")</f>
        <v>June</v>
      </c>
    </row>
    <row r="656" spans="1:15" x14ac:dyDescent="0.3">
      <c r="A656" s="18">
        <v>655</v>
      </c>
      <c r="B656" s="19">
        <v>45090</v>
      </c>
      <c r="C656" s="20" t="s">
        <v>663</v>
      </c>
      <c r="D656" s="20" t="s">
        <v>8</v>
      </c>
      <c r="E656" s="18">
        <v>55</v>
      </c>
      <c r="F656" s="18" t="str">
        <f t="shared" si="20"/>
        <v>Adult</v>
      </c>
      <c r="G656" s="20" t="s">
        <v>9</v>
      </c>
      <c r="H656" s="18">
        <v>1</v>
      </c>
      <c r="I656" s="18">
        <v>500</v>
      </c>
      <c r="J656" s="18">
        <v>500</v>
      </c>
      <c r="K656" s="21" t="str">
        <f t="shared" si="21"/>
        <v>Low</v>
      </c>
      <c r="L656" s="18">
        <f>YEAR(B656)</f>
        <v>2023</v>
      </c>
      <c r="M656" s="18">
        <f>ROUNDUP(MONTH(B656)/3,0)</f>
        <v>2</v>
      </c>
      <c r="N656" s="20" t="str">
        <f>TEXT(B656,"dddd")</f>
        <v>Tuesday</v>
      </c>
      <c r="O656" s="20" t="str">
        <f>TEXT(B656,"mmmm")</f>
        <v>June</v>
      </c>
    </row>
    <row r="657" spans="1:15" x14ac:dyDescent="0.3">
      <c r="A657" s="18">
        <v>656</v>
      </c>
      <c r="B657" s="19">
        <v>45203</v>
      </c>
      <c r="C657" s="20" t="s">
        <v>664</v>
      </c>
      <c r="D657" s="20" t="s">
        <v>5</v>
      </c>
      <c r="E657" s="18">
        <v>29</v>
      </c>
      <c r="F657" s="18" t="str">
        <f t="shared" si="20"/>
        <v>Young</v>
      </c>
      <c r="G657" s="20" t="s">
        <v>6</v>
      </c>
      <c r="H657" s="18">
        <v>3</v>
      </c>
      <c r="I657" s="18">
        <v>30</v>
      </c>
      <c r="J657" s="18">
        <v>90</v>
      </c>
      <c r="K657" s="21" t="str">
        <f t="shared" si="21"/>
        <v>Low</v>
      </c>
      <c r="L657" s="18">
        <f>YEAR(B657)</f>
        <v>2023</v>
      </c>
      <c r="M657" s="18">
        <f>ROUNDUP(MONTH(B657)/3,0)</f>
        <v>4</v>
      </c>
      <c r="N657" s="20" t="str">
        <f>TEXT(B657,"dddd")</f>
        <v>Wednesday</v>
      </c>
      <c r="O657" s="20" t="str">
        <f>TEXT(B657,"mmmm")</f>
        <v>October</v>
      </c>
    </row>
    <row r="658" spans="1:15" x14ac:dyDescent="0.3">
      <c r="A658" s="18">
        <v>657</v>
      </c>
      <c r="B658" s="19">
        <v>44968</v>
      </c>
      <c r="C658" s="20" t="s">
        <v>665</v>
      </c>
      <c r="D658" s="20" t="s">
        <v>5</v>
      </c>
      <c r="E658" s="18">
        <v>40</v>
      </c>
      <c r="F658" s="18" t="str">
        <f t="shared" si="20"/>
        <v>Adult</v>
      </c>
      <c r="G658" s="20" t="s">
        <v>9</v>
      </c>
      <c r="H658" s="18">
        <v>1</v>
      </c>
      <c r="I658" s="18">
        <v>25</v>
      </c>
      <c r="J658" s="18">
        <v>25</v>
      </c>
      <c r="K658" s="21" t="str">
        <f t="shared" si="21"/>
        <v>Low</v>
      </c>
      <c r="L658" s="18">
        <f>YEAR(B658)</f>
        <v>2023</v>
      </c>
      <c r="M658" s="18">
        <f>ROUNDUP(MONTH(B658)/3,0)</f>
        <v>1</v>
      </c>
      <c r="N658" s="20" t="str">
        <f>TEXT(B658,"dddd")</f>
        <v>Saturday</v>
      </c>
      <c r="O658" s="20" t="str">
        <f>TEXT(B658,"mmmm")</f>
        <v>February</v>
      </c>
    </row>
    <row r="659" spans="1:15" x14ac:dyDescent="0.3">
      <c r="A659" s="18">
        <v>658</v>
      </c>
      <c r="B659" s="19">
        <v>44997</v>
      </c>
      <c r="C659" s="20" t="s">
        <v>666</v>
      </c>
      <c r="D659" s="20" t="s">
        <v>5</v>
      </c>
      <c r="E659" s="18">
        <v>59</v>
      </c>
      <c r="F659" s="18" t="str">
        <f t="shared" si="20"/>
        <v>Adult</v>
      </c>
      <c r="G659" s="20" t="s">
        <v>9</v>
      </c>
      <c r="H659" s="18">
        <v>1</v>
      </c>
      <c r="I659" s="18">
        <v>25</v>
      </c>
      <c r="J659" s="18">
        <v>25</v>
      </c>
      <c r="K659" s="21" t="str">
        <f t="shared" si="21"/>
        <v>Low</v>
      </c>
      <c r="L659" s="18">
        <f>YEAR(B659)</f>
        <v>2023</v>
      </c>
      <c r="M659" s="18">
        <f>ROUNDUP(MONTH(B659)/3,0)</f>
        <v>1</v>
      </c>
      <c r="N659" s="20" t="str">
        <f>TEXT(B659,"dddd")</f>
        <v>Sunday</v>
      </c>
      <c r="O659" s="20" t="str">
        <f>TEXT(B659,"mmmm")</f>
        <v>March</v>
      </c>
    </row>
    <row r="660" spans="1:15" x14ac:dyDescent="0.3">
      <c r="A660" s="18">
        <v>659</v>
      </c>
      <c r="B660" s="19">
        <v>45004</v>
      </c>
      <c r="C660" s="20" t="s">
        <v>667</v>
      </c>
      <c r="D660" s="20" t="s">
        <v>8</v>
      </c>
      <c r="E660" s="18">
        <v>39</v>
      </c>
      <c r="F660" s="18" t="str">
        <f t="shared" si="20"/>
        <v>Adult</v>
      </c>
      <c r="G660" s="20" t="s">
        <v>11</v>
      </c>
      <c r="H660" s="18">
        <v>1</v>
      </c>
      <c r="I660" s="18">
        <v>30</v>
      </c>
      <c r="J660" s="18">
        <v>30</v>
      </c>
      <c r="K660" s="21" t="str">
        <f t="shared" si="21"/>
        <v>Low</v>
      </c>
      <c r="L660" s="18">
        <f>YEAR(B660)</f>
        <v>2023</v>
      </c>
      <c r="M660" s="18">
        <f>ROUNDUP(MONTH(B660)/3,0)</f>
        <v>1</v>
      </c>
      <c r="N660" s="20" t="str">
        <f>TEXT(B660,"dddd")</f>
        <v>Sunday</v>
      </c>
      <c r="O660" s="20" t="str">
        <f>TEXT(B660,"mmmm")</f>
        <v>March</v>
      </c>
    </row>
    <row r="661" spans="1:15" x14ac:dyDescent="0.3">
      <c r="A661" s="18">
        <v>660</v>
      </c>
      <c r="B661" s="19">
        <v>45045</v>
      </c>
      <c r="C661" s="20" t="s">
        <v>668</v>
      </c>
      <c r="D661" s="20" t="s">
        <v>8</v>
      </c>
      <c r="E661" s="18">
        <v>38</v>
      </c>
      <c r="F661" s="18" t="str">
        <f t="shared" si="20"/>
        <v>Adult</v>
      </c>
      <c r="G661" s="20" t="s">
        <v>6</v>
      </c>
      <c r="H661" s="18">
        <v>2</v>
      </c>
      <c r="I661" s="18">
        <v>500</v>
      </c>
      <c r="J661" s="18">
        <v>1000</v>
      </c>
      <c r="K661" s="21" t="str">
        <f t="shared" si="21"/>
        <v>Medium</v>
      </c>
      <c r="L661" s="18">
        <f>YEAR(B661)</f>
        <v>2023</v>
      </c>
      <c r="M661" s="18">
        <f>ROUNDUP(MONTH(B661)/3,0)</f>
        <v>2</v>
      </c>
      <c r="N661" s="20" t="str">
        <f>TEXT(B661,"dddd")</f>
        <v>Saturday</v>
      </c>
      <c r="O661" s="20" t="str">
        <f>TEXT(B661,"mmmm")</f>
        <v>April</v>
      </c>
    </row>
    <row r="662" spans="1:15" x14ac:dyDescent="0.3">
      <c r="A662" s="18">
        <v>661</v>
      </c>
      <c r="B662" s="19">
        <v>45123</v>
      </c>
      <c r="C662" s="20" t="s">
        <v>669</v>
      </c>
      <c r="D662" s="20" t="s">
        <v>8</v>
      </c>
      <c r="E662" s="18">
        <v>44</v>
      </c>
      <c r="F662" s="18" t="str">
        <f t="shared" si="20"/>
        <v>Adult</v>
      </c>
      <c r="G662" s="20" t="s">
        <v>9</v>
      </c>
      <c r="H662" s="18">
        <v>4</v>
      </c>
      <c r="I662" s="18">
        <v>25</v>
      </c>
      <c r="J662" s="18">
        <v>100</v>
      </c>
      <c r="K662" s="21" t="str">
        <f t="shared" si="21"/>
        <v>Low</v>
      </c>
      <c r="L662" s="18">
        <f>YEAR(B662)</f>
        <v>2023</v>
      </c>
      <c r="M662" s="18">
        <f>ROUNDUP(MONTH(B662)/3,0)</f>
        <v>3</v>
      </c>
      <c r="N662" s="20" t="str">
        <f>TEXT(B662,"dddd")</f>
        <v>Sunday</v>
      </c>
      <c r="O662" s="20" t="str">
        <f>TEXT(B662,"mmmm")</f>
        <v>July</v>
      </c>
    </row>
    <row r="663" spans="1:15" x14ac:dyDescent="0.3">
      <c r="A663" s="18">
        <v>662</v>
      </c>
      <c r="B663" s="19">
        <v>45282</v>
      </c>
      <c r="C663" s="20" t="s">
        <v>670</v>
      </c>
      <c r="D663" s="20" t="s">
        <v>5</v>
      </c>
      <c r="E663" s="18">
        <v>48</v>
      </c>
      <c r="F663" s="18" t="str">
        <f t="shared" si="20"/>
        <v>Adult</v>
      </c>
      <c r="G663" s="20" t="s">
        <v>6</v>
      </c>
      <c r="H663" s="18">
        <v>2</v>
      </c>
      <c r="I663" s="18">
        <v>500</v>
      </c>
      <c r="J663" s="18">
        <v>1000</v>
      </c>
      <c r="K663" s="21" t="str">
        <f t="shared" si="21"/>
        <v>Medium</v>
      </c>
      <c r="L663" s="18">
        <f>YEAR(B663)</f>
        <v>2023</v>
      </c>
      <c r="M663" s="18">
        <f>ROUNDUP(MONTH(B663)/3,0)</f>
        <v>4</v>
      </c>
      <c r="N663" s="20" t="str">
        <f>TEXT(B663,"dddd")</f>
        <v>Friday</v>
      </c>
      <c r="O663" s="20" t="str">
        <f>TEXT(B663,"mmmm")</f>
        <v>December</v>
      </c>
    </row>
    <row r="664" spans="1:15" x14ac:dyDescent="0.3">
      <c r="A664" s="18">
        <v>663</v>
      </c>
      <c r="B664" s="19">
        <v>45005</v>
      </c>
      <c r="C664" s="20" t="s">
        <v>671</v>
      </c>
      <c r="D664" s="20" t="s">
        <v>5</v>
      </c>
      <c r="E664" s="18">
        <v>23</v>
      </c>
      <c r="F664" s="18" t="str">
        <f t="shared" si="20"/>
        <v>Young</v>
      </c>
      <c r="G664" s="20" t="s">
        <v>9</v>
      </c>
      <c r="H664" s="18">
        <v>4</v>
      </c>
      <c r="I664" s="18">
        <v>300</v>
      </c>
      <c r="J664" s="18">
        <v>1200</v>
      </c>
      <c r="K664" s="21" t="str">
        <f t="shared" si="21"/>
        <v>Medium</v>
      </c>
      <c r="L664" s="18">
        <f>YEAR(B664)</f>
        <v>2023</v>
      </c>
      <c r="M664" s="18">
        <f>ROUNDUP(MONTH(B664)/3,0)</f>
        <v>1</v>
      </c>
      <c r="N664" s="20" t="str">
        <f>TEXT(B664,"dddd")</f>
        <v>Monday</v>
      </c>
      <c r="O664" s="20" t="str">
        <f>TEXT(B664,"mmmm")</f>
        <v>March</v>
      </c>
    </row>
    <row r="665" spans="1:15" x14ac:dyDescent="0.3">
      <c r="A665" s="18">
        <v>664</v>
      </c>
      <c r="B665" s="19">
        <v>45288</v>
      </c>
      <c r="C665" s="20" t="s">
        <v>672</v>
      </c>
      <c r="D665" s="20" t="s">
        <v>8</v>
      </c>
      <c r="E665" s="18">
        <v>44</v>
      </c>
      <c r="F665" s="18" t="str">
        <f t="shared" si="20"/>
        <v>Adult</v>
      </c>
      <c r="G665" s="20" t="s">
        <v>9</v>
      </c>
      <c r="H665" s="18">
        <v>4</v>
      </c>
      <c r="I665" s="18">
        <v>500</v>
      </c>
      <c r="J665" s="18">
        <v>2000</v>
      </c>
      <c r="K665" s="21" t="str">
        <f t="shared" si="21"/>
        <v>High</v>
      </c>
      <c r="L665" s="18">
        <f>YEAR(B665)</f>
        <v>2023</v>
      </c>
      <c r="M665" s="18">
        <f>ROUNDUP(MONTH(B665)/3,0)</f>
        <v>4</v>
      </c>
      <c r="N665" s="20" t="str">
        <f>TEXT(B665,"dddd")</f>
        <v>Thursday</v>
      </c>
      <c r="O665" s="20" t="str">
        <f>TEXT(B665,"mmmm")</f>
        <v>December</v>
      </c>
    </row>
    <row r="666" spans="1:15" x14ac:dyDescent="0.3">
      <c r="A666" s="18">
        <v>665</v>
      </c>
      <c r="B666" s="19">
        <v>45036</v>
      </c>
      <c r="C666" s="20" t="s">
        <v>673</v>
      </c>
      <c r="D666" s="20" t="s">
        <v>5</v>
      </c>
      <c r="E666" s="18">
        <v>57</v>
      </c>
      <c r="F666" s="18" t="str">
        <f t="shared" si="20"/>
        <v>Adult</v>
      </c>
      <c r="G666" s="20" t="s">
        <v>9</v>
      </c>
      <c r="H666" s="18">
        <v>1</v>
      </c>
      <c r="I666" s="18">
        <v>50</v>
      </c>
      <c r="J666" s="18">
        <v>50</v>
      </c>
      <c r="K666" s="21" t="str">
        <f t="shared" si="21"/>
        <v>Low</v>
      </c>
      <c r="L666" s="18">
        <f>YEAR(B666)</f>
        <v>2023</v>
      </c>
      <c r="M666" s="18">
        <f>ROUNDUP(MONTH(B666)/3,0)</f>
        <v>2</v>
      </c>
      <c r="N666" s="20" t="str">
        <f>TEXT(B666,"dddd")</f>
        <v>Thursday</v>
      </c>
      <c r="O666" s="20" t="str">
        <f>TEXT(B666,"mmmm")</f>
        <v>April</v>
      </c>
    </row>
    <row r="667" spans="1:15" x14ac:dyDescent="0.3">
      <c r="A667" s="18">
        <v>666</v>
      </c>
      <c r="B667" s="19">
        <v>44959</v>
      </c>
      <c r="C667" s="20" t="s">
        <v>674</v>
      </c>
      <c r="D667" s="20" t="s">
        <v>5</v>
      </c>
      <c r="E667" s="18">
        <v>51</v>
      </c>
      <c r="F667" s="18" t="str">
        <f t="shared" si="20"/>
        <v>Adult</v>
      </c>
      <c r="G667" s="20" t="s">
        <v>11</v>
      </c>
      <c r="H667" s="18">
        <v>3</v>
      </c>
      <c r="I667" s="18">
        <v>50</v>
      </c>
      <c r="J667" s="18">
        <v>150</v>
      </c>
      <c r="K667" s="21" t="str">
        <f t="shared" si="21"/>
        <v>Low</v>
      </c>
      <c r="L667" s="18">
        <f>YEAR(B667)</f>
        <v>2023</v>
      </c>
      <c r="M667" s="18">
        <f>ROUNDUP(MONTH(B667)/3,0)</f>
        <v>1</v>
      </c>
      <c r="N667" s="20" t="str">
        <f>TEXT(B667,"dddd")</f>
        <v>Thursday</v>
      </c>
      <c r="O667" s="20" t="str">
        <f>TEXT(B667,"mmmm")</f>
        <v>February</v>
      </c>
    </row>
    <row r="668" spans="1:15" x14ac:dyDescent="0.3">
      <c r="A668" s="18">
        <v>667</v>
      </c>
      <c r="B668" s="19">
        <v>45139</v>
      </c>
      <c r="C668" s="20" t="s">
        <v>675</v>
      </c>
      <c r="D668" s="20" t="s">
        <v>8</v>
      </c>
      <c r="E668" s="18">
        <v>29</v>
      </c>
      <c r="F668" s="18" t="str">
        <f t="shared" si="20"/>
        <v>Young</v>
      </c>
      <c r="G668" s="20" t="s">
        <v>11</v>
      </c>
      <c r="H668" s="18">
        <v>1</v>
      </c>
      <c r="I668" s="18">
        <v>500</v>
      </c>
      <c r="J668" s="18">
        <v>500</v>
      </c>
      <c r="K668" s="21" t="str">
        <f t="shared" si="21"/>
        <v>Low</v>
      </c>
      <c r="L668" s="18">
        <f>YEAR(B668)</f>
        <v>2023</v>
      </c>
      <c r="M668" s="18">
        <f>ROUNDUP(MONTH(B668)/3,0)</f>
        <v>3</v>
      </c>
      <c r="N668" s="20" t="str">
        <f>TEXT(B668,"dddd")</f>
        <v>Tuesday</v>
      </c>
      <c r="O668" s="20" t="str">
        <f>TEXT(B668,"mmmm")</f>
        <v>August</v>
      </c>
    </row>
    <row r="669" spans="1:15" x14ac:dyDescent="0.3">
      <c r="A669" s="18">
        <v>668</v>
      </c>
      <c r="B669" s="19">
        <v>45135</v>
      </c>
      <c r="C669" s="20" t="s">
        <v>676</v>
      </c>
      <c r="D669" s="20" t="s">
        <v>8</v>
      </c>
      <c r="E669" s="18">
        <v>62</v>
      </c>
      <c r="F669" s="18" t="str">
        <f t="shared" si="20"/>
        <v>Senior</v>
      </c>
      <c r="G669" s="20" t="s">
        <v>11</v>
      </c>
      <c r="H669" s="18">
        <v>3</v>
      </c>
      <c r="I669" s="18">
        <v>50</v>
      </c>
      <c r="J669" s="18">
        <v>150</v>
      </c>
      <c r="K669" s="21" t="str">
        <f t="shared" si="21"/>
        <v>Low</v>
      </c>
      <c r="L669" s="18">
        <f>YEAR(B669)</f>
        <v>2023</v>
      </c>
      <c r="M669" s="18">
        <f>ROUNDUP(MONTH(B669)/3,0)</f>
        <v>3</v>
      </c>
      <c r="N669" s="20" t="str">
        <f>TEXT(B669,"dddd")</f>
        <v>Friday</v>
      </c>
      <c r="O669" s="20" t="str">
        <f>TEXT(B669,"mmmm")</f>
        <v>July</v>
      </c>
    </row>
    <row r="670" spans="1:15" x14ac:dyDescent="0.3">
      <c r="A670" s="18">
        <v>669</v>
      </c>
      <c r="B670" s="19">
        <v>45096</v>
      </c>
      <c r="C670" s="20" t="s">
        <v>677</v>
      </c>
      <c r="D670" s="20" t="s">
        <v>5</v>
      </c>
      <c r="E670" s="18">
        <v>24</v>
      </c>
      <c r="F670" s="18" t="str">
        <f t="shared" si="20"/>
        <v>Young</v>
      </c>
      <c r="G670" s="20" t="s">
        <v>6</v>
      </c>
      <c r="H670" s="18">
        <v>4</v>
      </c>
      <c r="I670" s="18">
        <v>300</v>
      </c>
      <c r="J670" s="18">
        <v>1200</v>
      </c>
      <c r="K670" s="21" t="str">
        <f t="shared" si="21"/>
        <v>Medium</v>
      </c>
      <c r="L670" s="18">
        <f>YEAR(B670)</f>
        <v>2023</v>
      </c>
      <c r="M670" s="18">
        <f>ROUNDUP(MONTH(B670)/3,0)</f>
        <v>2</v>
      </c>
      <c r="N670" s="20" t="str">
        <f>TEXT(B670,"dddd")</f>
        <v>Monday</v>
      </c>
      <c r="O670" s="20" t="str">
        <f>TEXT(B670,"mmmm")</f>
        <v>June</v>
      </c>
    </row>
    <row r="671" spans="1:15" x14ac:dyDescent="0.3">
      <c r="A671" s="18">
        <v>670</v>
      </c>
      <c r="B671" s="19">
        <v>45204</v>
      </c>
      <c r="C671" s="20" t="s">
        <v>678</v>
      </c>
      <c r="D671" s="20" t="s">
        <v>5</v>
      </c>
      <c r="E671" s="18">
        <v>27</v>
      </c>
      <c r="F671" s="18" t="str">
        <f t="shared" si="20"/>
        <v>Young</v>
      </c>
      <c r="G671" s="20" t="s">
        <v>6</v>
      </c>
      <c r="H671" s="18">
        <v>1</v>
      </c>
      <c r="I671" s="18">
        <v>30</v>
      </c>
      <c r="J671" s="18">
        <v>30</v>
      </c>
      <c r="K671" s="21" t="str">
        <f t="shared" si="21"/>
        <v>Low</v>
      </c>
      <c r="L671" s="18">
        <f>YEAR(B671)</f>
        <v>2023</v>
      </c>
      <c r="M671" s="18">
        <f>ROUNDUP(MONTH(B671)/3,0)</f>
        <v>4</v>
      </c>
      <c r="N671" s="20" t="str">
        <f>TEXT(B671,"dddd")</f>
        <v>Thursday</v>
      </c>
      <c r="O671" s="20" t="str">
        <f>TEXT(B671,"mmmm")</f>
        <v>October</v>
      </c>
    </row>
    <row r="672" spans="1:15" x14ac:dyDescent="0.3">
      <c r="A672" s="18">
        <v>671</v>
      </c>
      <c r="B672" s="19">
        <v>45165</v>
      </c>
      <c r="C672" s="20" t="s">
        <v>679</v>
      </c>
      <c r="D672" s="20" t="s">
        <v>5</v>
      </c>
      <c r="E672" s="18">
        <v>62</v>
      </c>
      <c r="F672" s="18" t="str">
        <f t="shared" si="20"/>
        <v>Senior</v>
      </c>
      <c r="G672" s="20" t="s">
        <v>11</v>
      </c>
      <c r="H672" s="18">
        <v>3</v>
      </c>
      <c r="I672" s="18">
        <v>50</v>
      </c>
      <c r="J672" s="18">
        <v>150</v>
      </c>
      <c r="K672" s="21" t="str">
        <f t="shared" si="21"/>
        <v>Low</v>
      </c>
      <c r="L672" s="18">
        <f>YEAR(B672)</f>
        <v>2023</v>
      </c>
      <c r="M672" s="18">
        <f>ROUNDUP(MONTH(B672)/3,0)</f>
        <v>3</v>
      </c>
      <c r="N672" s="20" t="str">
        <f>TEXT(B672,"dddd")</f>
        <v>Sunday</v>
      </c>
      <c r="O672" s="20" t="str">
        <f>TEXT(B672,"mmmm")</f>
        <v>August</v>
      </c>
    </row>
    <row r="673" spans="1:15" x14ac:dyDescent="0.3">
      <c r="A673" s="18">
        <v>672</v>
      </c>
      <c r="B673" s="19">
        <v>45139</v>
      </c>
      <c r="C673" s="20" t="s">
        <v>680</v>
      </c>
      <c r="D673" s="20" t="s">
        <v>8</v>
      </c>
      <c r="E673" s="18">
        <v>34</v>
      </c>
      <c r="F673" s="18" t="str">
        <f t="shared" si="20"/>
        <v>Adult</v>
      </c>
      <c r="G673" s="20" t="s">
        <v>6</v>
      </c>
      <c r="H673" s="18">
        <v>2</v>
      </c>
      <c r="I673" s="18">
        <v>50</v>
      </c>
      <c r="J673" s="18">
        <v>100</v>
      </c>
      <c r="K673" s="21" t="str">
        <f t="shared" si="21"/>
        <v>Low</v>
      </c>
      <c r="L673" s="18">
        <f>YEAR(B673)</f>
        <v>2023</v>
      </c>
      <c r="M673" s="18">
        <f>ROUNDUP(MONTH(B673)/3,0)</f>
        <v>3</v>
      </c>
      <c r="N673" s="20" t="str">
        <f>TEXT(B673,"dddd")</f>
        <v>Tuesday</v>
      </c>
      <c r="O673" s="20" t="str">
        <f>TEXT(B673,"mmmm")</f>
        <v>August</v>
      </c>
    </row>
    <row r="674" spans="1:15" x14ac:dyDescent="0.3">
      <c r="A674" s="18">
        <v>673</v>
      </c>
      <c r="B674" s="19">
        <v>44958</v>
      </c>
      <c r="C674" s="20" t="s">
        <v>681</v>
      </c>
      <c r="D674" s="20" t="s">
        <v>8</v>
      </c>
      <c r="E674" s="18">
        <v>43</v>
      </c>
      <c r="F674" s="18" t="str">
        <f t="shared" si="20"/>
        <v>Adult</v>
      </c>
      <c r="G674" s="20" t="s">
        <v>9</v>
      </c>
      <c r="H674" s="18">
        <v>3</v>
      </c>
      <c r="I674" s="18">
        <v>500</v>
      </c>
      <c r="J674" s="18">
        <v>1500</v>
      </c>
      <c r="K674" s="21" t="str">
        <f t="shared" si="21"/>
        <v>Medium</v>
      </c>
      <c r="L674" s="18">
        <f>YEAR(B674)</f>
        <v>2023</v>
      </c>
      <c r="M674" s="18">
        <f>ROUNDUP(MONTH(B674)/3,0)</f>
        <v>1</v>
      </c>
      <c r="N674" s="20" t="str">
        <f>TEXT(B674,"dddd")</f>
        <v>Wednesday</v>
      </c>
      <c r="O674" s="20" t="str">
        <f>TEXT(B674,"mmmm")</f>
        <v>February</v>
      </c>
    </row>
    <row r="675" spans="1:15" x14ac:dyDescent="0.3">
      <c r="A675" s="18">
        <v>674</v>
      </c>
      <c r="B675" s="19">
        <v>45032</v>
      </c>
      <c r="C675" s="20" t="s">
        <v>682</v>
      </c>
      <c r="D675" s="20" t="s">
        <v>8</v>
      </c>
      <c r="E675" s="18">
        <v>38</v>
      </c>
      <c r="F675" s="18" t="str">
        <f t="shared" si="20"/>
        <v>Adult</v>
      </c>
      <c r="G675" s="20" t="s">
        <v>9</v>
      </c>
      <c r="H675" s="18">
        <v>1</v>
      </c>
      <c r="I675" s="18">
        <v>300</v>
      </c>
      <c r="J675" s="18">
        <v>300</v>
      </c>
      <c r="K675" s="21" t="str">
        <f t="shared" si="21"/>
        <v>Low</v>
      </c>
      <c r="L675" s="18">
        <f>YEAR(B675)</f>
        <v>2023</v>
      </c>
      <c r="M675" s="18">
        <f>ROUNDUP(MONTH(B675)/3,0)</f>
        <v>2</v>
      </c>
      <c r="N675" s="20" t="str">
        <f>TEXT(B675,"dddd")</f>
        <v>Sunday</v>
      </c>
      <c r="O675" s="20" t="str">
        <f>TEXT(B675,"mmmm")</f>
        <v>April</v>
      </c>
    </row>
    <row r="676" spans="1:15" x14ac:dyDescent="0.3">
      <c r="A676" s="18">
        <v>675</v>
      </c>
      <c r="B676" s="19">
        <v>45142</v>
      </c>
      <c r="C676" s="20" t="s">
        <v>683</v>
      </c>
      <c r="D676" s="20" t="s">
        <v>8</v>
      </c>
      <c r="E676" s="18">
        <v>45</v>
      </c>
      <c r="F676" s="18" t="str">
        <f t="shared" si="20"/>
        <v>Adult</v>
      </c>
      <c r="G676" s="20" t="s">
        <v>9</v>
      </c>
      <c r="H676" s="18">
        <v>2</v>
      </c>
      <c r="I676" s="18">
        <v>30</v>
      </c>
      <c r="J676" s="18">
        <v>60</v>
      </c>
      <c r="K676" s="21" t="str">
        <f t="shared" si="21"/>
        <v>Low</v>
      </c>
      <c r="L676" s="18">
        <f>YEAR(B676)</f>
        <v>2023</v>
      </c>
      <c r="M676" s="18">
        <f>ROUNDUP(MONTH(B676)/3,0)</f>
        <v>3</v>
      </c>
      <c r="N676" s="20" t="str">
        <f>TEXT(B676,"dddd")</f>
        <v>Friday</v>
      </c>
      <c r="O676" s="20" t="str">
        <f>TEXT(B676,"mmmm")</f>
        <v>August</v>
      </c>
    </row>
    <row r="677" spans="1:15" x14ac:dyDescent="0.3">
      <c r="A677" s="18">
        <v>676</v>
      </c>
      <c r="B677" s="19">
        <v>45126</v>
      </c>
      <c r="C677" s="20" t="s">
        <v>684</v>
      </c>
      <c r="D677" s="20" t="s">
        <v>5</v>
      </c>
      <c r="E677" s="18">
        <v>63</v>
      </c>
      <c r="F677" s="18" t="str">
        <f t="shared" si="20"/>
        <v>Senior</v>
      </c>
      <c r="G677" s="20" t="s">
        <v>11</v>
      </c>
      <c r="H677" s="18">
        <v>3</v>
      </c>
      <c r="I677" s="18">
        <v>500</v>
      </c>
      <c r="J677" s="18">
        <v>1500</v>
      </c>
      <c r="K677" s="21" t="str">
        <f t="shared" si="21"/>
        <v>Medium</v>
      </c>
      <c r="L677" s="18">
        <f>YEAR(B677)</f>
        <v>2023</v>
      </c>
      <c r="M677" s="18">
        <f>ROUNDUP(MONTH(B677)/3,0)</f>
        <v>3</v>
      </c>
      <c r="N677" s="20" t="str">
        <f>TEXT(B677,"dddd")</f>
        <v>Wednesday</v>
      </c>
      <c r="O677" s="20" t="str">
        <f>TEXT(B677,"mmmm")</f>
        <v>July</v>
      </c>
    </row>
    <row r="678" spans="1:15" x14ac:dyDescent="0.3">
      <c r="A678" s="18">
        <v>677</v>
      </c>
      <c r="B678" s="19">
        <v>45226</v>
      </c>
      <c r="C678" s="20" t="s">
        <v>685</v>
      </c>
      <c r="D678" s="20" t="s">
        <v>8</v>
      </c>
      <c r="E678" s="18">
        <v>19</v>
      </c>
      <c r="F678" s="18" t="str">
        <f t="shared" si="20"/>
        <v>Young</v>
      </c>
      <c r="G678" s="20" t="s">
        <v>6</v>
      </c>
      <c r="H678" s="18">
        <v>3</v>
      </c>
      <c r="I678" s="18">
        <v>500</v>
      </c>
      <c r="J678" s="18">
        <v>1500</v>
      </c>
      <c r="K678" s="21" t="str">
        <f t="shared" si="21"/>
        <v>Medium</v>
      </c>
      <c r="L678" s="18">
        <f>YEAR(B678)</f>
        <v>2023</v>
      </c>
      <c r="M678" s="18">
        <f>ROUNDUP(MONTH(B678)/3,0)</f>
        <v>4</v>
      </c>
      <c r="N678" s="20" t="str">
        <f>TEXT(B678,"dddd")</f>
        <v>Friday</v>
      </c>
      <c r="O678" s="20" t="str">
        <f>TEXT(B678,"mmmm")</f>
        <v>October</v>
      </c>
    </row>
    <row r="679" spans="1:15" x14ac:dyDescent="0.3">
      <c r="A679" s="18">
        <v>678</v>
      </c>
      <c r="B679" s="19">
        <v>45283</v>
      </c>
      <c r="C679" s="20" t="s">
        <v>686</v>
      </c>
      <c r="D679" s="20" t="s">
        <v>8</v>
      </c>
      <c r="E679" s="18">
        <v>60</v>
      </c>
      <c r="F679" s="18" t="str">
        <f t="shared" si="20"/>
        <v>Adult</v>
      </c>
      <c r="G679" s="20" t="s">
        <v>11</v>
      </c>
      <c r="H679" s="18">
        <v>3</v>
      </c>
      <c r="I679" s="18">
        <v>300</v>
      </c>
      <c r="J679" s="18">
        <v>900</v>
      </c>
      <c r="K679" s="21" t="str">
        <f t="shared" si="21"/>
        <v>Medium</v>
      </c>
      <c r="L679" s="18">
        <f>YEAR(B679)</f>
        <v>2023</v>
      </c>
      <c r="M679" s="18">
        <f>ROUNDUP(MONTH(B679)/3,0)</f>
        <v>4</v>
      </c>
      <c r="N679" s="20" t="str">
        <f>TEXT(B679,"dddd")</f>
        <v>Saturday</v>
      </c>
      <c r="O679" s="20" t="str">
        <f>TEXT(B679,"mmmm")</f>
        <v>December</v>
      </c>
    </row>
    <row r="680" spans="1:15" x14ac:dyDescent="0.3">
      <c r="A680" s="18">
        <v>679</v>
      </c>
      <c r="B680" s="19">
        <v>44937</v>
      </c>
      <c r="C680" s="20" t="s">
        <v>687</v>
      </c>
      <c r="D680" s="20" t="s">
        <v>8</v>
      </c>
      <c r="E680" s="18">
        <v>18</v>
      </c>
      <c r="F680" s="18" t="str">
        <f t="shared" si="20"/>
        <v>Young</v>
      </c>
      <c r="G680" s="20" t="s">
        <v>6</v>
      </c>
      <c r="H680" s="18">
        <v>3</v>
      </c>
      <c r="I680" s="18">
        <v>30</v>
      </c>
      <c r="J680" s="18">
        <v>90</v>
      </c>
      <c r="K680" s="21" t="str">
        <f t="shared" si="21"/>
        <v>Low</v>
      </c>
      <c r="L680" s="18">
        <f>YEAR(B680)</f>
        <v>2023</v>
      </c>
      <c r="M680" s="18">
        <f>ROUNDUP(MONTH(B680)/3,0)</f>
        <v>1</v>
      </c>
      <c r="N680" s="20" t="str">
        <f>TEXT(B680,"dddd")</f>
        <v>Wednesday</v>
      </c>
      <c r="O680" s="20" t="str">
        <f>TEXT(B680,"mmmm")</f>
        <v>January</v>
      </c>
    </row>
    <row r="681" spans="1:15" x14ac:dyDescent="0.3">
      <c r="A681" s="18">
        <v>680</v>
      </c>
      <c r="B681" s="19">
        <v>45221</v>
      </c>
      <c r="C681" s="20" t="s">
        <v>688</v>
      </c>
      <c r="D681" s="20" t="s">
        <v>8</v>
      </c>
      <c r="E681" s="18">
        <v>53</v>
      </c>
      <c r="F681" s="18" t="str">
        <f t="shared" si="20"/>
        <v>Adult</v>
      </c>
      <c r="G681" s="20" t="s">
        <v>9</v>
      </c>
      <c r="H681" s="18">
        <v>3</v>
      </c>
      <c r="I681" s="18">
        <v>300</v>
      </c>
      <c r="J681" s="18">
        <v>900</v>
      </c>
      <c r="K681" s="21" t="str">
        <f t="shared" si="21"/>
        <v>Medium</v>
      </c>
      <c r="L681" s="18">
        <f>YEAR(B681)</f>
        <v>2023</v>
      </c>
      <c r="M681" s="18">
        <f>ROUNDUP(MONTH(B681)/3,0)</f>
        <v>4</v>
      </c>
      <c r="N681" s="20" t="str">
        <f>TEXT(B681,"dddd")</f>
        <v>Sunday</v>
      </c>
      <c r="O681" s="20" t="str">
        <f>TEXT(B681,"mmmm")</f>
        <v>October</v>
      </c>
    </row>
    <row r="682" spans="1:15" x14ac:dyDescent="0.3">
      <c r="A682" s="18">
        <v>681</v>
      </c>
      <c r="B682" s="19">
        <v>45121</v>
      </c>
      <c r="C682" s="20" t="s">
        <v>689</v>
      </c>
      <c r="D682" s="20" t="s">
        <v>8</v>
      </c>
      <c r="E682" s="18">
        <v>43</v>
      </c>
      <c r="F682" s="18" t="str">
        <f t="shared" si="20"/>
        <v>Adult</v>
      </c>
      <c r="G682" s="20" t="s">
        <v>11</v>
      </c>
      <c r="H682" s="18">
        <v>2</v>
      </c>
      <c r="I682" s="18">
        <v>30</v>
      </c>
      <c r="J682" s="18">
        <v>60</v>
      </c>
      <c r="K682" s="21" t="str">
        <f t="shared" si="21"/>
        <v>Low</v>
      </c>
      <c r="L682" s="18">
        <f>YEAR(B682)</f>
        <v>2023</v>
      </c>
      <c r="M682" s="18">
        <f>ROUNDUP(MONTH(B682)/3,0)</f>
        <v>3</v>
      </c>
      <c r="N682" s="20" t="str">
        <f>TEXT(B682,"dddd")</f>
        <v>Friday</v>
      </c>
      <c r="O682" s="20" t="str">
        <f>TEXT(B682,"mmmm")</f>
        <v>July</v>
      </c>
    </row>
    <row r="683" spans="1:15" x14ac:dyDescent="0.3">
      <c r="A683" s="18">
        <v>682</v>
      </c>
      <c r="B683" s="19">
        <v>45171</v>
      </c>
      <c r="C683" s="20" t="s">
        <v>690</v>
      </c>
      <c r="D683" s="20" t="s">
        <v>5</v>
      </c>
      <c r="E683" s="18">
        <v>46</v>
      </c>
      <c r="F683" s="18" t="str">
        <f t="shared" si="20"/>
        <v>Adult</v>
      </c>
      <c r="G683" s="20" t="s">
        <v>6</v>
      </c>
      <c r="H683" s="18">
        <v>4</v>
      </c>
      <c r="I683" s="18">
        <v>300</v>
      </c>
      <c r="J683" s="18">
        <v>1200</v>
      </c>
      <c r="K683" s="21" t="str">
        <f t="shared" si="21"/>
        <v>Medium</v>
      </c>
      <c r="L683" s="18">
        <f>YEAR(B683)</f>
        <v>2023</v>
      </c>
      <c r="M683" s="18">
        <f>ROUNDUP(MONTH(B683)/3,0)</f>
        <v>3</v>
      </c>
      <c r="N683" s="20" t="str">
        <f>TEXT(B683,"dddd")</f>
        <v>Saturday</v>
      </c>
      <c r="O683" s="20" t="str">
        <f>TEXT(B683,"mmmm")</f>
        <v>September</v>
      </c>
    </row>
    <row r="684" spans="1:15" x14ac:dyDescent="0.3">
      <c r="A684" s="18">
        <v>683</v>
      </c>
      <c r="B684" s="19">
        <v>44930</v>
      </c>
      <c r="C684" s="20" t="s">
        <v>691</v>
      </c>
      <c r="D684" s="20" t="s">
        <v>5</v>
      </c>
      <c r="E684" s="18">
        <v>38</v>
      </c>
      <c r="F684" s="18" t="str">
        <f t="shared" si="20"/>
        <v>Adult</v>
      </c>
      <c r="G684" s="20" t="s">
        <v>6</v>
      </c>
      <c r="H684" s="18">
        <v>2</v>
      </c>
      <c r="I684" s="18">
        <v>500</v>
      </c>
      <c r="J684" s="18">
        <v>1000</v>
      </c>
      <c r="K684" s="21" t="str">
        <f t="shared" si="21"/>
        <v>Medium</v>
      </c>
      <c r="L684" s="18">
        <f>YEAR(B684)</f>
        <v>2023</v>
      </c>
      <c r="M684" s="18">
        <f>ROUNDUP(MONTH(B684)/3,0)</f>
        <v>1</v>
      </c>
      <c r="N684" s="20" t="str">
        <f>TEXT(B684,"dddd")</f>
        <v>Wednesday</v>
      </c>
      <c r="O684" s="20" t="str">
        <f>TEXT(B684,"mmmm")</f>
        <v>January</v>
      </c>
    </row>
    <row r="685" spans="1:15" x14ac:dyDescent="0.3">
      <c r="A685" s="18">
        <v>684</v>
      </c>
      <c r="B685" s="19">
        <v>45107</v>
      </c>
      <c r="C685" s="20" t="s">
        <v>692</v>
      </c>
      <c r="D685" s="20" t="s">
        <v>8</v>
      </c>
      <c r="E685" s="18">
        <v>28</v>
      </c>
      <c r="F685" s="18" t="str">
        <f t="shared" si="20"/>
        <v>Young</v>
      </c>
      <c r="G685" s="20" t="s">
        <v>9</v>
      </c>
      <c r="H685" s="18">
        <v>2</v>
      </c>
      <c r="I685" s="18">
        <v>500</v>
      </c>
      <c r="J685" s="18">
        <v>1000</v>
      </c>
      <c r="K685" s="21" t="str">
        <f t="shared" si="21"/>
        <v>Medium</v>
      </c>
      <c r="L685" s="18">
        <f>YEAR(B685)</f>
        <v>2023</v>
      </c>
      <c r="M685" s="18">
        <f>ROUNDUP(MONTH(B685)/3,0)</f>
        <v>2</v>
      </c>
      <c r="N685" s="20" t="str">
        <f>TEXT(B685,"dddd")</f>
        <v>Friday</v>
      </c>
      <c r="O685" s="20" t="str">
        <f>TEXT(B685,"mmmm")</f>
        <v>June</v>
      </c>
    </row>
    <row r="686" spans="1:15" x14ac:dyDescent="0.3">
      <c r="A686" s="18">
        <v>685</v>
      </c>
      <c r="B686" s="19">
        <v>45079</v>
      </c>
      <c r="C686" s="20" t="s">
        <v>693</v>
      </c>
      <c r="D686" s="20" t="s">
        <v>5</v>
      </c>
      <c r="E686" s="18">
        <v>57</v>
      </c>
      <c r="F686" s="18" t="str">
        <f t="shared" si="20"/>
        <v>Adult</v>
      </c>
      <c r="G686" s="20" t="s">
        <v>11</v>
      </c>
      <c r="H686" s="18">
        <v>2</v>
      </c>
      <c r="I686" s="18">
        <v>25</v>
      </c>
      <c r="J686" s="18">
        <v>50</v>
      </c>
      <c r="K686" s="21" t="str">
        <f t="shared" si="21"/>
        <v>Low</v>
      </c>
      <c r="L686" s="18">
        <f>YEAR(B686)</f>
        <v>2023</v>
      </c>
      <c r="M686" s="18">
        <f>ROUNDUP(MONTH(B686)/3,0)</f>
        <v>2</v>
      </c>
      <c r="N686" s="20" t="str">
        <f>TEXT(B686,"dddd")</f>
        <v>Friday</v>
      </c>
      <c r="O686" s="20" t="str">
        <f>TEXT(B686,"mmmm")</f>
        <v>June</v>
      </c>
    </row>
    <row r="687" spans="1:15" x14ac:dyDescent="0.3">
      <c r="A687" s="18">
        <v>686</v>
      </c>
      <c r="B687" s="19">
        <v>45126</v>
      </c>
      <c r="C687" s="20" t="s">
        <v>694</v>
      </c>
      <c r="D687" s="20" t="s">
        <v>8</v>
      </c>
      <c r="E687" s="18">
        <v>28</v>
      </c>
      <c r="F687" s="18" t="str">
        <f t="shared" si="20"/>
        <v>Young</v>
      </c>
      <c r="G687" s="20" t="s">
        <v>11</v>
      </c>
      <c r="H687" s="18">
        <v>4</v>
      </c>
      <c r="I687" s="18">
        <v>50</v>
      </c>
      <c r="J687" s="18">
        <v>200</v>
      </c>
      <c r="K687" s="21" t="str">
        <f t="shared" si="21"/>
        <v>Low</v>
      </c>
      <c r="L687" s="18">
        <f>YEAR(B687)</f>
        <v>2023</v>
      </c>
      <c r="M687" s="18">
        <f>ROUNDUP(MONTH(B687)/3,0)</f>
        <v>3</v>
      </c>
      <c r="N687" s="20" t="str">
        <f>TEXT(B687,"dddd")</f>
        <v>Wednesday</v>
      </c>
      <c r="O687" s="20" t="str">
        <f>TEXT(B687,"mmmm")</f>
        <v>July</v>
      </c>
    </row>
    <row r="688" spans="1:15" x14ac:dyDescent="0.3">
      <c r="A688" s="18">
        <v>687</v>
      </c>
      <c r="B688" s="19">
        <v>45141</v>
      </c>
      <c r="C688" s="20" t="s">
        <v>695</v>
      </c>
      <c r="D688" s="20" t="s">
        <v>8</v>
      </c>
      <c r="E688" s="18">
        <v>53</v>
      </c>
      <c r="F688" s="18" t="str">
        <f t="shared" si="20"/>
        <v>Adult</v>
      </c>
      <c r="G688" s="20" t="s">
        <v>11</v>
      </c>
      <c r="H688" s="18">
        <v>1</v>
      </c>
      <c r="I688" s="18">
        <v>300</v>
      </c>
      <c r="J688" s="18">
        <v>300</v>
      </c>
      <c r="K688" s="21" t="str">
        <f t="shared" si="21"/>
        <v>Low</v>
      </c>
      <c r="L688" s="18">
        <f>YEAR(B688)</f>
        <v>2023</v>
      </c>
      <c r="M688" s="18">
        <f>ROUNDUP(MONTH(B688)/3,0)</f>
        <v>3</v>
      </c>
      <c r="N688" s="20" t="str">
        <f>TEXT(B688,"dddd")</f>
        <v>Thursday</v>
      </c>
      <c r="O688" s="20" t="str">
        <f>TEXT(B688,"mmmm")</f>
        <v>August</v>
      </c>
    </row>
    <row r="689" spans="1:15" x14ac:dyDescent="0.3">
      <c r="A689" s="18">
        <v>688</v>
      </c>
      <c r="B689" s="19">
        <v>45202</v>
      </c>
      <c r="C689" s="20" t="s">
        <v>696</v>
      </c>
      <c r="D689" s="20" t="s">
        <v>5</v>
      </c>
      <c r="E689" s="18">
        <v>56</v>
      </c>
      <c r="F689" s="18" t="str">
        <f t="shared" si="20"/>
        <v>Adult</v>
      </c>
      <c r="G689" s="20" t="s">
        <v>9</v>
      </c>
      <c r="H689" s="18">
        <v>4</v>
      </c>
      <c r="I689" s="18">
        <v>25</v>
      </c>
      <c r="J689" s="18">
        <v>100</v>
      </c>
      <c r="K689" s="21" t="str">
        <f t="shared" si="21"/>
        <v>Low</v>
      </c>
      <c r="L689" s="18">
        <f>YEAR(B689)</f>
        <v>2023</v>
      </c>
      <c r="M689" s="18">
        <f>ROUNDUP(MONTH(B689)/3,0)</f>
        <v>4</v>
      </c>
      <c r="N689" s="20" t="str">
        <f>TEXT(B689,"dddd")</f>
        <v>Tuesday</v>
      </c>
      <c r="O689" s="20" t="str">
        <f>TEXT(B689,"mmmm")</f>
        <v>October</v>
      </c>
    </row>
    <row r="690" spans="1:15" x14ac:dyDescent="0.3">
      <c r="A690" s="18">
        <v>689</v>
      </c>
      <c r="B690" s="19">
        <v>45206</v>
      </c>
      <c r="C690" s="20" t="s">
        <v>697</v>
      </c>
      <c r="D690" s="20" t="s">
        <v>5</v>
      </c>
      <c r="E690" s="18">
        <v>57</v>
      </c>
      <c r="F690" s="18" t="str">
        <f t="shared" si="20"/>
        <v>Adult</v>
      </c>
      <c r="G690" s="20" t="s">
        <v>11</v>
      </c>
      <c r="H690" s="18">
        <v>2</v>
      </c>
      <c r="I690" s="18">
        <v>50</v>
      </c>
      <c r="J690" s="18">
        <v>100</v>
      </c>
      <c r="K690" s="21" t="str">
        <f t="shared" si="21"/>
        <v>Low</v>
      </c>
      <c r="L690" s="18">
        <f>YEAR(B690)</f>
        <v>2023</v>
      </c>
      <c r="M690" s="18">
        <f>ROUNDUP(MONTH(B690)/3,0)</f>
        <v>4</v>
      </c>
      <c r="N690" s="20" t="str">
        <f>TEXT(B690,"dddd")</f>
        <v>Saturday</v>
      </c>
      <c r="O690" s="20" t="str">
        <f>TEXT(B690,"mmmm")</f>
        <v>October</v>
      </c>
    </row>
    <row r="691" spans="1:15" x14ac:dyDescent="0.3">
      <c r="A691" s="18">
        <v>690</v>
      </c>
      <c r="B691" s="19">
        <v>45235</v>
      </c>
      <c r="C691" s="20" t="s">
        <v>698</v>
      </c>
      <c r="D691" s="20" t="s">
        <v>8</v>
      </c>
      <c r="E691" s="18">
        <v>52</v>
      </c>
      <c r="F691" s="18" t="str">
        <f t="shared" si="20"/>
        <v>Adult</v>
      </c>
      <c r="G691" s="20" t="s">
        <v>9</v>
      </c>
      <c r="H691" s="18">
        <v>3</v>
      </c>
      <c r="I691" s="18">
        <v>300</v>
      </c>
      <c r="J691" s="18">
        <v>900</v>
      </c>
      <c r="K691" s="21" t="str">
        <f t="shared" si="21"/>
        <v>Medium</v>
      </c>
      <c r="L691" s="18">
        <f>YEAR(B691)</f>
        <v>2023</v>
      </c>
      <c r="M691" s="18">
        <f>ROUNDUP(MONTH(B691)/3,0)</f>
        <v>4</v>
      </c>
      <c r="N691" s="20" t="str">
        <f>TEXT(B691,"dddd")</f>
        <v>Sunday</v>
      </c>
      <c r="O691" s="20" t="str">
        <f>TEXT(B691,"mmmm")</f>
        <v>November</v>
      </c>
    </row>
    <row r="692" spans="1:15" x14ac:dyDescent="0.3">
      <c r="A692" s="18">
        <v>691</v>
      </c>
      <c r="B692" s="19">
        <v>45039</v>
      </c>
      <c r="C692" s="20" t="s">
        <v>699</v>
      </c>
      <c r="D692" s="20" t="s">
        <v>8</v>
      </c>
      <c r="E692" s="18">
        <v>51</v>
      </c>
      <c r="F692" s="18" t="str">
        <f t="shared" si="20"/>
        <v>Adult</v>
      </c>
      <c r="G692" s="20" t="s">
        <v>9</v>
      </c>
      <c r="H692" s="18">
        <v>3</v>
      </c>
      <c r="I692" s="18">
        <v>30</v>
      </c>
      <c r="J692" s="18">
        <v>90</v>
      </c>
      <c r="K692" s="21" t="str">
        <f t="shared" si="21"/>
        <v>Low</v>
      </c>
      <c r="L692" s="18">
        <f>YEAR(B692)</f>
        <v>2023</v>
      </c>
      <c r="M692" s="18">
        <f>ROUNDUP(MONTH(B692)/3,0)</f>
        <v>2</v>
      </c>
      <c r="N692" s="20" t="str">
        <f>TEXT(B692,"dddd")</f>
        <v>Sunday</v>
      </c>
      <c r="O692" s="20" t="str">
        <f>TEXT(B692,"mmmm")</f>
        <v>April</v>
      </c>
    </row>
    <row r="693" spans="1:15" x14ac:dyDescent="0.3">
      <c r="A693" s="18">
        <v>692</v>
      </c>
      <c r="B693" s="19">
        <v>45176</v>
      </c>
      <c r="C693" s="20" t="s">
        <v>700</v>
      </c>
      <c r="D693" s="20" t="s">
        <v>8</v>
      </c>
      <c r="E693" s="18">
        <v>64</v>
      </c>
      <c r="F693" s="18" t="str">
        <f t="shared" si="20"/>
        <v>Senior</v>
      </c>
      <c r="G693" s="20" t="s">
        <v>9</v>
      </c>
      <c r="H693" s="18">
        <v>2</v>
      </c>
      <c r="I693" s="18">
        <v>50</v>
      </c>
      <c r="J693" s="18">
        <v>100</v>
      </c>
      <c r="K693" s="21" t="str">
        <f t="shared" si="21"/>
        <v>Low</v>
      </c>
      <c r="L693" s="18">
        <f>YEAR(B693)</f>
        <v>2023</v>
      </c>
      <c r="M693" s="18">
        <f>ROUNDUP(MONTH(B693)/3,0)</f>
        <v>3</v>
      </c>
      <c r="N693" s="20" t="str">
        <f>TEXT(B693,"dddd")</f>
        <v>Thursday</v>
      </c>
      <c r="O693" s="20" t="str">
        <f>TEXT(B693,"mmmm")</f>
        <v>September</v>
      </c>
    </row>
    <row r="694" spans="1:15" x14ac:dyDescent="0.3">
      <c r="A694" s="18">
        <v>693</v>
      </c>
      <c r="B694" s="19">
        <v>45039</v>
      </c>
      <c r="C694" s="20" t="s">
        <v>701</v>
      </c>
      <c r="D694" s="20" t="s">
        <v>5</v>
      </c>
      <c r="E694" s="18">
        <v>41</v>
      </c>
      <c r="F694" s="18" t="str">
        <f t="shared" si="20"/>
        <v>Adult</v>
      </c>
      <c r="G694" s="20" t="s">
        <v>6</v>
      </c>
      <c r="H694" s="18">
        <v>3</v>
      </c>
      <c r="I694" s="18">
        <v>500</v>
      </c>
      <c r="J694" s="18">
        <v>1500</v>
      </c>
      <c r="K694" s="21" t="str">
        <f t="shared" si="21"/>
        <v>Medium</v>
      </c>
      <c r="L694" s="18">
        <f>YEAR(B694)</f>
        <v>2023</v>
      </c>
      <c r="M694" s="18">
        <f>ROUNDUP(MONTH(B694)/3,0)</f>
        <v>2</v>
      </c>
      <c r="N694" s="20" t="str">
        <f>TEXT(B694,"dddd")</f>
        <v>Sunday</v>
      </c>
      <c r="O694" s="20" t="str">
        <f>TEXT(B694,"mmmm")</f>
        <v>April</v>
      </c>
    </row>
    <row r="695" spans="1:15" x14ac:dyDescent="0.3">
      <c r="A695" s="18">
        <v>694</v>
      </c>
      <c r="B695" s="19">
        <v>45066</v>
      </c>
      <c r="C695" s="20" t="s">
        <v>702</v>
      </c>
      <c r="D695" s="20" t="s">
        <v>8</v>
      </c>
      <c r="E695" s="18">
        <v>39</v>
      </c>
      <c r="F695" s="18" t="str">
        <f t="shared" si="20"/>
        <v>Adult</v>
      </c>
      <c r="G695" s="20" t="s">
        <v>11</v>
      </c>
      <c r="H695" s="18">
        <v>2</v>
      </c>
      <c r="I695" s="18">
        <v>25</v>
      </c>
      <c r="J695" s="18">
        <v>50</v>
      </c>
      <c r="K695" s="21" t="str">
        <f t="shared" si="21"/>
        <v>Low</v>
      </c>
      <c r="L695" s="18">
        <f>YEAR(B695)</f>
        <v>2023</v>
      </c>
      <c r="M695" s="18">
        <f>ROUNDUP(MONTH(B695)/3,0)</f>
        <v>2</v>
      </c>
      <c r="N695" s="20" t="str">
        <f>TEXT(B695,"dddd")</f>
        <v>Saturday</v>
      </c>
      <c r="O695" s="20" t="str">
        <f>TEXT(B695,"mmmm")</f>
        <v>May</v>
      </c>
    </row>
    <row r="696" spans="1:15" x14ac:dyDescent="0.3">
      <c r="A696" s="18">
        <v>695</v>
      </c>
      <c r="B696" s="19">
        <v>45150</v>
      </c>
      <c r="C696" s="20" t="s">
        <v>703</v>
      </c>
      <c r="D696" s="20" t="s">
        <v>8</v>
      </c>
      <c r="E696" s="18">
        <v>22</v>
      </c>
      <c r="F696" s="18" t="str">
        <f t="shared" si="20"/>
        <v>Young</v>
      </c>
      <c r="G696" s="20" t="s">
        <v>11</v>
      </c>
      <c r="H696" s="18">
        <v>3</v>
      </c>
      <c r="I696" s="18">
        <v>50</v>
      </c>
      <c r="J696" s="18">
        <v>150</v>
      </c>
      <c r="K696" s="21" t="str">
        <f t="shared" si="21"/>
        <v>Low</v>
      </c>
      <c r="L696" s="18">
        <f>YEAR(B696)</f>
        <v>2023</v>
      </c>
      <c r="M696" s="18">
        <f>ROUNDUP(MONTH(B696)/3,0)</f>
        <v>3</v>
      </c>
      <c r="N696" s="20" t="str">
        <f>TEXT(B696,"dddd")</f>
        <v>Saturday</v>
      </c>
      <c r="O696" s="20" t="str">
        <f>TEXT(B696,"mmmm")</f>
        <v>August</v>
      </c>
    </row>
    <row r="697" spans="1:15" x14ac:dyDescent="0.3">
      <c r="A697" s="18">
        <v>696</v>
      </c>
      <c r="B697" s="19">
        <v>45175</v>
      </c>
      <c r="C697" s="20" t="s">
        <v>704</v>
      </c>
      <c r="D697" s="20" t="s">
        <v>8</v>
      </c>
      <c r="E697" s="18">
        <v>50</v>
      </c>
      <c r="F697" s="18" t="str">
        <f t="shared" si="20"/>
        <v>Adult</v>
      </c>
      <c r="G697" s="20" t="s">
        <v>9</v>
      </c>
      <c r="H697" s="18">
        <v>4</v>
      </c>
      <c r="I697" s="18">
        <v>50</v>
      </c>
      <c r="J697" s="18">
        <v>200</v>
      </c>
      <c r="K697" s="21" t="str">
        <f t="shared" si="21"/>
        <v>Low</v>
      </c>
      <c r="L697" s="18">
        <f>YEAR(B697)</f>
        <v>2023</v>
      </c>
      <c r="M697" s="18">
        <f>ROUNDUP(MONTH(B697)/3,0)</f>
        <v>3</v>
      </c>
      <c r="N697" s="20" t="str">
        <f>TEXT(B697,"dddd")</f>
        <v>Wednesday</v>
      </c>
      <c r="O697" s="20" t="str">
        <f>TEXT(B697,"mmmm")</f>
        <v>September</v>
      </c>
    </row>
    <row r="698" spans="1:15" x14ac:dyDescent="0.3">
      <c r="A698" s="18">
        <v>697</v>
      </c>
      <c r="B698" s="19">
        <v>44941</v>
      </c>
      <c r="C698" s="20" t="s">
        <v>705</v>
      </c>
      <c r="D698" s="20" t="s">
        <v>5</v>
      </c>
      <c r="E698" s="18">
        <v>53</v>
      </c>
      <c r="F698" s="18" t="str">
        <f t="shared" si="20"/>
        <v>Adult</v>
      </c>
      <c r="G698" s="20" t="s">
        <v>9</v>
      </c>
      <c r="H698" s="18">
        <v>1</v>
      </c>
      <c r="I698" s="18">
        <v>500</v>
      </c>
      <c r="J698" s="18">
        <v>500</v>
      </c>
      <c r="K698" s="21" t="str">
        <f t="shared" si="21"/>
        <v>Low</v>
      </c>
      <c r="L698" s="18">
        <f>YEAR(B698)</f>
        <v>2023</v>
      </c>
      <c r="M698" s="18">
        <f>ROUNDUP(MONTH(B698)/3,0)</f>
        <v>1</v>
      </c>
      <c r="N698" s="20" t="str">
        <f>TEXT(B698,"dddd")</f>
        <v>Sunday</v>
      </c>
      <c r="O698" s="20" t="str">
        <f>TEXT(B698,"mmmm")</f>
        <v>January</v>
      </c>
    </row>
    <row r="699" spans="1:15" x14ac:dyDescent="0.3">
      <c r="A699" s="18">
        <v>698</v>
      </c>
      <c r="B699" s="19">
        <v>45126</v>
      </c>
      <c r="C699" s="20" t="s">
        <v>706</v>
      </c>
      <c r="D699" s="20" t="s">
        <v>8</v>
      </c>
      <c r="E699" s="18">
        <v>64</v>
      </c>
      <c r="F699" s="18" t="str">
        <f t="shared" si="20"/>
        <v>Senior</v>
      </c>
      <c r="G699" s="20" t="s">
        <v>11</v>
      </c>
      <c r="H699" s="18">
        <v>1</v>
      </c>
      <c r="I699" s="18">
        <v>300</v>
      </c>
      <c r="J699" s="18">
        <v>300</v>
      </c>
      <c r="K699" s="21" t="str">
        <f t="shared" si="21"/>
        <v>Low</v>
      </c>
      <c r="L699" s="18">
        <f>YEAR(B699)</f>
        <v>2023</v>
      </c>
      <c r="M699" s="18">
        <f>ROUNDUP(MONTH(B699)/3,0)</f>
        <v>3</v>
      </c>
      <c r="N699" s="20" t="str">
        <f>TEXT(B699,"dddd")</f>
        <v>Wednesday</v>
      </c>
      <c r="O699" s="20" t="str">
        <f>TEXT(B699,"mmmm")</f>
        <v>July</v>
      </c>
    </row>
    <row r="700" spans="1:15" x14ac:dyDescent="0.3">
      <c r="A700" s="18">
        <v>699</v>
      </c>
      <c r="B700" s="19">
        <v>45099</v>
      </c>
      <c r="C700" s="20" t="s">
        <v>707</v>
      </c>
      <c r="D700" s="20" t="s">
        <v>8</v>
      </c>
      <c r="E700" s="18">
        <v>37</v>
      </c>
      <c r="F700" s="18" t="str">
        <f t="shared" si="20"/>
        <v>Adult</v>
      </c>
      <c r="G700" s="20" t="s">
        <v>9</v>
      </c>
      <c r="H700" s="18">
        <v>4</v>
      </c>
      <c r="I700" s="18">
        <v>30</v>
      </c>
      <c r="J700" s="18">
        <v>120</v>
      </c>
      <c r="K700" s="21" t="str">
        <f t="shared" si="21"/>
        <v>Low</v>
      </c>
      <c r="L700" s="18">
        <f>YEAR(B700)</f>
        <v>2023</v>
      </c>
      <c r="M700" s="18">
        <f>ROUNDUP(MONTH(B700)/3,0)</f>
        <v>2</v>
      </c>
      <c r="N700" s="20" t="str">
        <f>TEXT(B700,"dddd")</f>
        <v>Thursday</v>
      </c>
      <c r="O700" s="20" t="str">
        <f>TEXT(B700,"mmmm")</f>
        <v>June</v>
      </c>
    </row>
    <row r="701" spans="1:15" x14ac:dyDescent="0.3">
      <c r="A701" s="18">
        <v>700</v>
      </c>
      <c r="B701" s="19">
        <v>45269</v>
      </c>
      <c r="C701" s="20" t="s">
        <v>708</v>
      </c>
      <c r="D701" s="20" t="s">
        <v>5</v>
      </c>
      <c r="E701" s="18">
        <v>36</v>
      </c>
      <c r="F701" s="18" t="str">
        <f t="shared" si="20"/>
        <v>Adult</v>
      </c>
      <c r="G701" s="20" t="s">
        <v>11</v>
      </c>
      <c r="H701" s="18">
        <v>4</v>
      </c>
      <c r="I701" s="18">
        <v>500</v>
      </c>
      <c r="J701" s="18">
        <v>2000</v>
      </c>
      <c r="K701" s="21" t="str">
        <f t="shared" si="21"/>
        <v>High</v>
      </c>
      <c r="L701" s="18">
        <f>YEAR(B701)</f>
        <v>2023</v>
      </c>
      <c r="M701" s="18">
        <f>ROUNDUP(MONTH(B701)/3,0)</f>
        <v>4</v>
      </c>
      <c r="N701" s="20" t="str">
        <f>TEXT(B701,"dddd")</f>
        <v>Saturday</v>
      </c>
      <c r="O701" s="20" t="str">
        <f>TEXT(B701,"mmmm")</f>
        <v>December</v>
      </c>
    </row>
    <row r="702" spans="1:15" x14ac:dyDescent="0.3">
      <c r="A702" s="18">
        <v>701</v>
      </c>
      <c r="B702" s="19">
        <v>45274</v>
      </c>
      <c r="C702" s="20" t="s">
        <v>709</v>
      </c>
      <c r="D702" s="20" t="s">
        <v>8</v>
      </c>
      <c r="E702" s="18">
        <v>52</v>
      </c>
      <c r="F702" s="18" t="str">
        <f t="shared" si="20"/>
        <v>Adult</v>
      </c>
      <c r="G702" s="20" t="s">
        <v>6</v>
      </c>
      <c r="H702" s="18">
        <v>2</v>
      </c>
      <c r="I702" s="18">
        <v>30</v>
      </c>
      <c r="J702" s="18">
        <v>60</v>
      </c>
      <c r="K702" s="21" t="str">
        <f t="shared" si="21"/>
        <v>Low</v>
      </c>
      <c r="L702" s="18">
        <f>YEAR(B702)</f>
        <v>2023</v>
      </c>
      <c r="M702" s="18">
        <f>ROUNDUP(MONTH(B702)/3,0)</f>
        <v>4</v>
      </c>
      <c r="N702" s="20" t="str">
        <f>TEXT(B702,"dddd")</f>
        <v>Thursday</v>
      </c>
      <c r="O702" s="20" t="str">
        <f>TEXT(B702,"mmmm")</f>
        <v>December</v>
      </c>
    </row>
    <row r="703" spans="1:15" x14ac:dyDescent="0.3">
      <c r="A703" s="18">
        <v>702</v>
      </c>
      <c r="B703" s="19">
        <v>45134</v>
      </c>
      <c r="C703" s="20" t="s">
        <v>710</v>
      </c>
      <c r="D703" s="20" t="s">
        <v>8</v>
      </c>
      <c r="E703" s="18">
        <v>60</v>
      </c>
      <c r="F703" s="18" t="str">
        <f t="shared" si="20"/>
        <v>Adult</v>
      </c>
      <c r="G703" s="20" t="s">
        <v>9</v>
      </c>
      <c r="H703" s="18">
        <v>2</v>
      </c>
      <c r="I703" s="18">
        <v>300</v>
      </c>
      <c r="J703" s="18">
        <v>600</v>
      </c>
      <c r="K703" s="21" t="str">
        <f t="shared" si="21"/>
        <v>Medium</v>
      </c>
      <c r="L703" s="18">
        <f>YEAR(B703)</f>
        <v>2023</v>
      </c>
      <c r="M703" s="18">
        <f>ROUNDUP(MONTH(B703)/3,0)</f>
        <v>3</v>
      </c>
      <c r="N703" s="20" t="str">
        <f>TEXT(B703,"dddd")</f>
        <v>Thursday</v>
      </c>
      <c r="O703" s="20" t="str">
        <f>TEXT(B703,"mmmm")</f>
        <v>July</v>
      </c>
    </row>
    <row r="704" spans="1:15" x14ac:dyDescent="0.3">
      <c r="A704" s="18">
        <v>703</v>
      </c>
      <c r="B704" s="19">
        <v>45011</v>
      </c>
      <c r="C704" s="20" t="s">
        <v>711</v>
      </c>
      <c r="D704" s="20" t="s">
        <v>5</v>
      </c>
      <c r="E704" s="18">
        <v>34</v>
      </c>
      <c r="F704" s="18" t="str">
        <f t="shared" si="20"/>
        <v>Adult</v>
      </c>
      <c r="G704" s="20" t="s">
        <v>11</v>
      </c>
      <c r="H704" s="18">
        <v>2</v>
      </c>
      <c r="I704" s="18">
        <v>50</v>
      </c>
      <c r="J704" s="18">
        <v>100</v>
      </c>
      <c r="K704" s="21" t="str">
        <f t="shared" si="21"/>
        <v>Low</v>
      </c>
      <c r="L704" s="18">
        <f>YEAR(B704)</f>
        <v>2023</v>
      </c>
      <c r="M704" s="18">
        <f>ROUNDUP(MONTH(B704)/3,0)</f>
        <v>1</v>
      </c>
      <c r="N704" s="20" t="str">
        <f>TEXT(B704,"dddd")</f>
        <v>Sunday</v>
      </c>
      <c r="O704" s="20" t="str">
        <f>TEXT(B704,"mmmm")</f>
        <v>March</v>
      </c>
    </row>
    <row r="705" spans="1:15" x14ac:dyDescent="0.3">
      <c r="A705" s="18">
        <v>704</v>
      </c>
      <c r="B705" s="19">
        <v>45166</v>
      </c>
      <c r="C705" s="20" t="s">
        <v>712</v>
      </c>
      <c r="D705" s="20" t="s">
        <v>8</v>
      </c>
      <c r="E705" s="18">
        <v>62</v>
      </c>
      <c r="F705" s="18" t="str">
        <f t="shared" si="20"/>
        <v>Senior</v>
      </c>
      <c r="G705" s="20" t="s">
        <v>9</v>
      </c>
      <c r="H705" s="18">
        <v>3</v>
      </c>
      <c r="I705" s="18">
        <v>30</v>
      </c>
      <c r="J705" s="18">
        <v>90</v>
      </c>
      <c r="K705" s="21" t="str">
        <f t="shared" si="21"/>
        <v>Low</v>
      </c>
      <c r="L705" s="18">
        <f>YEAR(B705)</f>
        <v>2023</v>
      </c>
      <c r="M705" s="18">
        <f>ROUNDUP(MONTH(B705)/3,0)</f>
        <v>3</v>
      </c>
      <c r="N705" s="20" t="str">
        <f>TEXT(B705,"dddd")</f>
        <v>Monday</v>
      </c>
      <c r="O705" s="20" t="str">
        <f>TEXT(B705,"mmmm")</f>
        <v>August</v>
      </c>
    </row>
    <row r="706" spans="1:15" x14ac:dyDescent="0.3">
      <c r="A706" s="18">
        <v>705</v>
      </c>
      <c r="B706" s="19">
        <v>44992</v>
      </c>
      <c r="C706" s="20" t="s">
        <v>713</v>
      </c>
      <c r="D706" s="20" t="s">
        <v>5</v>
      </c>
      <c r="E706" s="18">
        <v>60</v>
      </c>
      <c r="F706" s="18" t="str">
        <f t="shared" si="20"/>
        <v>Adult</v>
      </c>
      <c r="G706" s="20" t="s">
        <v>11</v>
      </c>
      <c r="H706" s="18">
        <v>2</v>
      </c>
      <c r="I706" s="18">
        <v>25</v>
      </c>
      <c r="J706" s="18">
        <v>50</v>
      </c>
      <c r="K706" s="21" t="str">
        <f t="shared" si="21"/>
        <v>Low</v>
      </c>
      <c r="L706" s="18">
        <f>YEAR(B706)</f>
        <v>2023</v>
      </c>
      <c r="M706" s="18">
        <f>ROUNDUP(MONTH(B706)/3,0)</f>
        <v>1</v>
      </c>
      <c r="N706" s="20" t="str">
        <f>TEXT(B706,"dddd")</f>
        <v>Tuesday</v>
      </c>
      <c r="O706" s="20" t="str">
        <f>TEXT(B706,"mmmm")</f>
        <v>March</v>
      </c>
    </row>
    <row r="707" spans="1:15" x14ac:dyDescent="0.3">
      <c r="A707" s="18">
        <v>706</v>
      </c>
      <c r="B707" s="19">
        <v>45245</v>
      </c>
      <c r="C707" s="20" t="s">
        <v>714</v>
      </c>
      <c r="D707" s="20" t="s">
        <v>5</v>
      </c>
      <c r="E707" s="18">
        <v>51</v>
      </c>
      <c r="F707" s="18" t="str">
        <f t="shared" ref="F707:F770" si="22">IF(E707&gt;60,"Senior",IF(E707&gt;30,"Adult","Young"))</f>
        <v>Adult</v>
      </c>
      <c r="G707" s="20" t="s">
        <v>11</v>
      </c>
      <c r="H707" s="18">
        <v>4</v>
      </c>
      <c r="I707" s="18">
        <v>25</v>
      </c>
      <c r="J707" s="18">
        <v>100</v>
      </c>
      <c r="K707" s="21" t="str">
        <f t="shared" ref="K707:K770" si="23">IF(J707&gt;1500,"High",IF(J707&gt;500,"Medium","Low"))</f>
        <v>Low</v>
      </c>
      <c r="L707" s="18">
        <f>YEAR(B707)</f>
        <v>2023</v>
      </c>
      <c r="M707" s="18">
        <f>ROUNDUP(MONTH(B707)/3,0)</f>
        <v>4</v>
      </c>
      <c r="N707" s="20" t="str">
        <f>TEXT(B707,"dddd")</f>
        <v>Wednesday</v>
      </c>
      <c r="O707" s="20" t="str">
        <f>TEXT(B707,"mmmm")</f>
        <v>November</v>
      </c>
    </row>
    <row r="708" spans="1:15" x14ac:dyDescent="0.3">
      <c r="A708" s="18">
        <v>707</v>
      </c>
      <c r="B708" s="19">
        <v>45200</v>
      </c>
      <c r="C708" s="20" t="s">
        <v>715</v>
      </c>
      <c r="D708" s="20" t="s">
        <v>8</v>
      </c>
      <c r="E708" s="18">
        <v>26</v>
      </c>
      <c r="F708" s="18" t="str">
        <f t="shared" si="22"/>
        <v>Young</v>
      </c>
      <c r="G708" s="20" t="s">
        <v>9</v>
      </c>
      <c r="H708" s="18">
        <v>1</v>
      </c>
      <c r="I708" s="18">
        <v>500</v>
      </c>
      <c r="J708" s="18">
        <v>500</v>
      </c>
      <c r="K708" s="21" t="str">
        <f t="shared" si="23"/>
        <v>Low</v>
      </c>
      <c r="L708" s="18">
        <f>YEAR(B708)</f>
        <v>2023</v>
      </c>
      <c r="M708" s="18">
        <f>ROUNDUP(MONTH(B708)/3,0)</f>
        <v>4</v>
      </c>
      <c r="N708" s="20" t="str">
        <f>TEXT(B708,"dddd")</f>
        <v>Sunday</v>
      </c>
      <c r="O708" s="20" t="str">
        <f>TEXT(B708,"mmmm")</f>
        <v>October</v>
      </c>
    </row>
    <row r="709" spans="1:15" x14ac:dyDescent="0.3">
      <c r="A709" s="18">
        <v>708</v>
      </c>
      <c r="B709" s="19">
        <v>44940</v>
      </c>
      <c r="C709" s="20" t="s">
        <v>716</v>
      </c>
      <c r="D709" s="20" t="s">
        <v>8</v>
      </c>
      <c r="E709" s="18">
        <v>43</v>
      </c>
      <c r="F709" s="18" t="str">
        <f t="shared" si="22"/>
        <v>Adult</v>
      </c>
      <c r="G709" s="20" t="s">
        <v>6</v>
      </c>
      <c r="H709" s="18">
        <v>3</v>
      </c>
      <c r="I709" s="18">
        <v>300</v>
      </c>
      <c r="J709" s="18">
        <v>900</v>
      </c>
      <c r="K709" s="21" t="str">
        <f t="shared" si="23"/>
        <v>Medium</v>
      </c>
      <c r="L709" s="18">
        <f>YEAR(B709)</f>
        <v>2023</v>
      </c>
      <c r="M709" s="18">
        <f>ROUNDUP(MONTH(B709)/3,0)</f>
        <v>1</v>
      </c>
      <c r="N709" s="20" t="str">
        <f>TEXT(B709,"dddd")</f>
        <v>Saturday</v>
      </c>
      <c r="O709" s="20" t="str">
        <f>TEXT(B709,"mmmm")</f>
        <v>January</v>
      </c>
    </row>
    <row r="710" spans="1:15" x14ac:dyDescent="0.3">
      <c r="A710" s="18">
        <v>709</v>
      </c>
      <c r="B710" s="19">
        <v>45128</v>
      </c>
      <c r="C710" s="20" t="s">
        <v>717</v>
      </c>
      <c r="D710" s="20" t="s">
        <v>8</v>
      </c>
      <c r="E710" s="18">
        <v>19</v>
      </c>
      <c r="F710" s="18" t="str">
        <f t="shared" si="22"/>
        <v>Young</v>
      </c>
      <c r="G710" s="20" t="s">
        <v>11</v>
      </c>
      <c r="H710" s="18">
        <v>2</v>
      </c>
      <c r="I710" s="18">
        <v>500</v>
      </c>
      <c r="J710" s="18">
        <v>1000</v>
      </c>
      <c r="K710" s="21" t="str">
        <f t="shared" si="23"/>
        <v>Medium</v>
      </c>
      <c r="L710" s="18">
        <f>YEAR(B710)</f>
        <v>2023</v>
      </c>
      <c r="M710" s="18">
        <f>ROUNDUP(MONTH(B710)/3,0)</f>
        <v>3</v>
      </c>
      <c r="N710" s="20" t="str">
        <f>TEXT(B710,"dddd")</f>
        <v>Friday</v>
      </c>
      <c r="O710" s="20" t="str">
        <f>TEXT(B710,"mmmm")</f>
        <v>July</v>
      </c>
    </row>
    <row r="711" spans="1:15" x14ac:dyDescent="0.3">
      <c r="A711" s="18">
        <v>710</v>
      </c>
      <c r="B711" s="19">
        <v>45230</v>
      </c>
      <c r="C711" s="20" t="s">
        <v>718</v>
      </c>
      <c r="D711" s="20" t="s">
        <v>8</v>
      </c>
      <c r="E711" s="18">
        <v>26</v>
      </c>
      <c r="F711" s="18" t="str">
        <f t="shared" si="22"/>
        <v>Young</v>
      </c>
      <c r="G711" s="20" t="s">
        <v>11</v>
      </c>
      <c r="H711" s="18">
        <v>3</v>
      </c>
      <c r="I711" s="18">
        <v>500</v>
      </c>
      <c r="J711" s="18">
        <v>1500</v>
      </c>
      <c r="K711" s="21" t="str">
        <f t="shared" si="23"/>
        <v>Medium</v>
      </c>
      <c r="L711" s="18">
        <f>YEAR(B711)</f>
        <v>2023</v>
      </c>
      <c r="M711" s="18">
        <f>ROUNDUP(MONTH(B711)/3,0)</f>
        <v>4</v>
      </c>
      <c r="N711" s="20" t="str">
        <f>TEXT(B711,"dddd")</f>
        <v>Tuesday</v>
      </c>
      <c r="O711" s="20" t="str">
        <f>TEXT(B711,"mmmm")</f>
        <v>October</v>
      </c>
    </row>
    <row r="712" spans="1:15" x14ac:dyDescent="0.3">
      <c r="A712" s="18">
        <v>711</v>
      </c>
      <c r="B712" s="19">
        <v>45215</v>
      </c>
      <c r="C712" s="20" t="s">
        <v>719</v>
      </c>
      <c r="D712" s="20" t="s">
        <v>5</v>
      </c>
      <c r="E712" s="18">
        <v>26</v>
      </c>
      <c r="F712" s="18" t="str">
        <f t="shared" si="22"/>
        <v>Young</v>
      </c>
      <c r="G712" s="20" t="s">
        <v>11</v>
      </c>
      <c r="H712" s="18">
        <v>3</v>
      </c>
      <c r="I712" s="18">
        <v>500</v>
      </c>
      <c r="J712" s="18">
        <v>1500</v>
      </c>
      <c r="K712" s="21" t="str">
        <f t="shared" si="23"/>
        <v>Medium</v>
      </c>
      <c r="L712" s="18">
        <f>YEAR(B712)</f>
        <v>2023</v>
      </c>
      <c r="M712" s="18">
        <f>ROUNDUP(MONTH(B712)/3,0)</f>
        <v>4</v>
      </c>
      <c r="N712" s="20" t="str">
        <f>TEXT(B712,"dddd")</f>
        <v>Monday</v>
      </c>
      <c r="O712" s="20" t="str">
        <f>TEXT(B712,"mmmm")</f>
        <v>October</v>
      </c>
    </row>
    <row r="713" spans="1:15" x14ac:dyDescent="0.3">
      <c r="A713" s="18">
        <v>712</v>
      </c>
      <c r="B713" s="19">
        <v>45266</v>
      </c>
      <c r="C713" s="20" t="s">
        <v>720</v>
      </c>
      <c r="D713" s="20" t="s">
        <v>8</v>
      </c>
      <c r="E713" s="18">
        <v>57</v>
      </c>
      <c r="F713" s="18" t="str">
        <f t="shared" si="22"/>
        <v>Adult</v>
      </c>
      <c r="G713" s="20" t="s">
        <v>6</v>
      </c>
      <c r="H713" s="18">
        <v>2</v>
      </c>
      <c r="I713" s="18">
        <v>25</v>
      </c>
      <c r="J713" s="18">
        <v>50</v>
      </c>
      <c r="K713" s="21" t="str">
        <f t="shared" si="23"/>
        <v>Low</v>
      </c>
      <c r="L713" s="18">
        <f>YEAR(B713)</f>
        <v>2023</v>
      </c>
      <c r="M713" s="18">
        <f>ROUNDUP(MONTH(B713)/3,0)</f>
        <v>4</v>
      </c>
      <c r="N713" s="20" t="str">
        <f>TEXT(B713,"dddd")</f>
        <v>Wednesday</v>
      </c>
      <c r="O713" s="20" t="str">
        <f>TEXT(B713,"mmmm")</f>
        <v>December</v>
      </c>
    </row>
    <row r="714" spans="1:15" x14ac:dyDescent="0.3">
      <c r="A714" s="18">
        <v>713</v>
      </c>
      <c r="B714" s="19">
        <v>44940</v>
      </c>
      <c r="C714" s="20" t="s">
        <v>721</v>
      </c>
      <c r="D714" s="20" t="s">
        <v>5</v>
      </c>
      <c r="E714" s="18">
        <v>34</v>
      </c>
      <c r="F714" s="18" t="str">
        <f t="shared" si="22"/>
        <v>Adult</v>
      </c>
      <c r="G714" s="20" t="s">
        <v>6</v>
      </c>
      <c r="H714" s="18">
        <v>3</v>
      </c>
      <c r="I714" s="18">
        <v>25</v>
      </c>
      <c r="J714" s="18">
        <v>75</v>
      </c>
      <c r="K714" s="21" t="str">
        <f t="shared" si="23"/>
        <v>Low</v>
      </c>
      <c r="L714" s="18">
        <f>YEAR(B714)</f>
        <v>2023</v>
      </c>
      <c r="M714" s="18">
        <f>ROUNDUP(MONTH(B714)/3,0)</f>
        <v>1</v>
      </c>
      <c r="N714" s="20" t="str">
        <f>TEXT(B714,"dddd")</f>
        <v>Saturday</v>
      </c>
      <c r="O714" s="20" t="str">
        <f>TEXT(B714,"mmmm")</f>
        <v>January</v>
      </c>
    </row>
    <row r="715" spans="1:15" x14ac:dyDescent="0.3">
      <c r="A715" s="18">
        <v>714</v>
      </c>
      <c r="B715" s="19">
        <v>44969</v>
      </c>
      <c r="C715" s="20" t="s">
        <v>722</v>
      </c>
      <c r="D715" s="20" t="s">
        <v>8</v>
      </c>
      <c r="E715" s="18">
        <v>18</v>
      </c>
      <c r="F715" s="18" t="str">
        <f t="shared" si="22"/>
        <v>Young</v>
      </c>
      <c r="G715" s="20" t="s">
        <v>9</v>
      </c>
      <c r="H715" s="18">
        <v>1</v>
      </c>
      <c r="I715" s="18">
        <v>500</v>
      </c>
      <c r="J715" s="18">
        <v>500</v>
      </c>
      <c r="K715" s="21" t="str">
        <f t="shared" si="23"/>
        <v>Low</v>
      </c>
      <c r="L715" s="18">
        <f>YEAR(B715)</f>
        <v>2023</v>
      </c>
      <c r="M715" s="18">
        <f>ROUNDUP(MONTH(B715)/3,0)</f>
        <v>1</v>
      </c>
      <c r="N715" s="20" t="str">
        <f>TEXT(B715,"dddd")</f>
        <v>Sunday</v>
      </c>
      <c r="O715" s="20" t="str">
        <f>TEXT(B715,"mmmm")</f>
        <v>February</v>
      </c>
    </row>
    <row r="716" spans="1:15" x14ac:dyDescent="0.3">
      <c r="A716" s="18">
        <v>715</v>
      </c>
      <c r="B716" s="19">
        <v>45256</v>
      </c>
      <c r="C716" s="20" t="s">
        <v>723</v>
      </c>
      <c r="D716" s="20" t="s">
        <v>8</v>
      </c>
      <c r="E716" s="18">
        <v>42</v>
      </c>
      <c r="F716" s="18" t="str">
        <f t="shared" si="22"/>
        <v>Adult</v>
      </c>
      <c r="G716" s="20" t="s">
        <v>6</v>
      </c>
      <c r="H716" s="18">
        <v>4</v>
      </c>
      <c r="I716" s="18">
        <v>25</v>
      </c>
      <c r="J716" s="18">
        <v>100</v>
      </c>
      <c r="K716" s="21" t="str">
        <f t="shared" si="23"/>
        <v>Low</v>
      </c>
      <c r="L716" s="18">
        <f>YEAR(B716)</f>
        <v>2023</v>
      </c>
      <c r="M716" s="18">
        <f>ROUNDUP(MONTH(B716)/3,0)</f>
        <v>4</v>
      </c>
      <c r="N716" s="20" t="str">
        <f>TEXT(B716,"dddd")</f>
        <v>Sunday</v>
      </c>
      <c r="O716" s="20" t="str">
        <f>TEXT(B716,"mmmm")</f>
        <v>November</v>
      </c>
    </row>
    <row r="717" spans="1:15" x14ac:dyDescent="0.3">
      <c r="A717" s="18">
        <v>716</v>
      </c>
      <c r="B717" s="19">
        <v>45146</v>
      </c>
      <c r="C717" s="20" t="s">
        <v>724</v>
      </c>
      <c r="D717" s="20" t="s">
        <v>8</v>
      </c>
      <c r="E717" s="18">
        <v>60</v>
      </c>
      <c r="F717" s="18" t="str">
        <f t="shared" si="22"/>
        <v>Adult</v>
      </c>
      <c r="G717" s="20" t="s">
        <v>9</v>
      </c>
      <c r="H717" s="18">
        <v>4</v>
      </c>
      <c r="I717" s="18">
        <v>300</v>
      </c>
      <c r="J717" s="18">
        <v>1200</v>
      </c>
      <c r="K717" s="21" t="str">
        <f t="shared" si="23"/>
        <v>Medium</v>
      </c>
      <c r="L717" s="18">
        <f>YEAR(B717)</f>
        <v>2023</v>
      </c>
      <c r="M717" s="18">
        <f>ROUNDUP(MONTH(B717)/3,0)</f>
        <v>3</v>
      </c>
      <c r="N717" s="20" t="str">
        <f>TEXT(B717,"dddd")</f>
        <v>Tuesday</v>
      </c>
      <c r="O717" s="20" t="str">
        <f>TEXT(B717,"mmmm")</f>
        <v>August</v>
      </c>
    </row>
    <row r="718" spans="1:15" x14ac:dyDescent="0.3">
      <c r="A718" s="18">
        <v>717</v>
      </c>
      <c r="B718" s="19">
        <v>44996</v>
      </c>
      <c r="C718" s="20" t="s">
        <v>725</v>
      </c>
      <c r="D718" s="20" t="s">
        <v>5</v>
      </c>
      <c r="E718" s="18">
        <v>57</v>
      </c>
      <c r="F718" s="18" t="str">
        <f t="shared" si="22"/>
        <v>Adult</v>
      </c>
      <c r="G718" s="20" t="s">
        <v>9</v>
      </c>
      <c r="H718" s="18">
        <v>1</v>
      </c>
      <c r="I718" s="18">
        <v>500</v>
      </c>
      <c r="J718" s="18">
        <v>500</v>
      </c>
      <c r="K718" s="21" t="str">
        <f t="shared" si="23"/>
        <v>Low</v>
      </c>
      <c r="L718" s="18">
        <f>YEAR(B718)</f>
        <v>2023</v>
      </c>
      <c r="M718" s="18">
        <f>ROUNDUP(MONTH(B718)/3,0)</f>
        <v>1</v>
      </c>
      <c r="N718" s="20" t="str">
        <f>TEXT(B718,"dddd")</f>
        <v>Saturday</v>
      </c>
      <c r="O718" s="20" t="str">
        <f>TEXT(B718,"mmmm")</f>
        <v>March</v>
      </c>
    </row>
    <row r="719" spans="1:15" x14ac:dyDescent="0.3">
      <c r="A719" s="18">
        <v>718</v>
      </c>
      <c r="B719" s="19">
        <v>45163</v>
      </c>
      <c r="C719" s="20" t="s">
        <v>726</v>
      </c>
      <c r="D719" s="20" t="s">
        <v>8</v>
      </c>
      <c r="E719" s="18">
        <v>59</v>
      </c>
      <c r="F719" s="18" t="str">
        <f t="shared" si="22"/>
        <v>Adult</v>
      </c>
      <c r="G719" s="20" t="s">
        <v>6</v>
      </c>
      <c r="H719" s="18">
        <v>3</v>
      </c>
      <c r="I719" s="18">
        <v>25</v>
      </c>
      <c r="J719" s="18">
        <v>75</v>
      </c>
      <c r="K719" s="21" t="str">
        <f t="shared" si="23"/>
        <v>Low</v>
      </c>
      <c r="L719" s="18">
        <f>YEAR(B719)</f>
        <v>2023</v>
      </c>
      <c r="M719" s="18">
        <f>ROUNDUP(MONTH(B719)/3,0)</f>
        <v>3</v>
      </c>
      <c r="N719" s="20" t="str">
        <f>TEXT(B719,"dddd")</f>
        <v>Friday</v>
      </c>
      <c r="O719" s="20" t="str">
        <f>TEXT(B719,"mmmm")</f>
        <v>August</v>
      </c>
    </row>
    <row r="720" spans="1:15" x14ac:dyDescent="0.3">
      <c r="A720" s="18">
        <v>719</v>
      </c>
      <c r="B720" s="19">
        <v>45020</v>
      </c>
      <c r="C720" s="20" t="s">
        <v>727</v>
      </c>
      <c r="D720" s="20" t="s">
        <v>8</v>
      </c>
      <c r="E720" s="18">
        <v>42</v>
      </c>
      <c r="F720" s="18" t="str">
        <f t="shared" si="22"/>
        <v>Adult</v>
      </c>
      <c r="G720" s="20" t="s">
        <v>9</v>
      </c>
      <c r="H720" s="18">
        <v>2</v>
      </c>
      <c r="I720" s="18">
        <v>30</v>
      </c>
      <c r="J720" s="18">
        <v>60</v>
      </c>
      <c r="K720" s="21" t="str">
        <f t="shared" si="23"/>
        <v>Low</v>
      </c>
      <c r="L720" s="18">
        <f>YEAR(B720)</f>
        <v>2023</v>
      </c>
      <c r="M720" s="18">
        <f>ROUNDUP(MONTH(B720)/3,0)</f>
        <v>2</v>
      </c>
      <c r="N720" s="20" t="str">
        <f>TEXT(B720,"dddd")</f>
        <v>Tuesday</v>
      </c>
      <c r="O720" s="20" t="str">
        <f>TEXT(B720,"mmmm")</f>
        <v>April</v>
      </c>
    </row>
    <row r="721" spans="1:15" x14ac:dyDescent="0.3">
      <c r="A721" s="18">
        <v>720</v>
      </c>
      <c r="B721" s="19">
        <v>44952</v>
      </c>
      <c r="C721" s="20" t="s">
        <v>728</v>
      </c>
      <c r="D721" s="20" t="s">
        <v>8</v>
      </c>
      <c r="E721" s="18">
        <v>56</v>
      </c>
      <c r="F721" s="18" t="str">
        <f t="shared" si="22"/>
        <v>Adult</v>
      </c>
      <c r="G721" s="20" t="s">
        <v>6</v>
      </c>
      <c r="H721" s="18">
        <v>3</v>
      </c>
      <c r="I721" s="18">
        <v>500</v>
      </c>
      <c r="J721" s="18">
        <v>1500</v>
      </c>
      <c r="K721" s="21" t="str">
        <f t="shared" si="23"/>
        <v>Medium</v>
      </c>
      <c r="L721" s="18">
        <f>YEAR(B721)</f>
        <v>2023</v>
      </c>
      <c r="M721" s="18">
        <f>ROUNDUP(MONTH(B721)/3,0)</f>
        <v>1</v>
      </c>
      <c r="N721" s="20" t="str">
        <f>TEXT(B721,"dddd")</f>
        <v>Thursday</v>
      </c>
      <c r="O721" s="20" t="str">
        <f>TEXT(B721,"mmmm")</f>
        <v>January</v>
      </c>
    </row>
    <row r="722" spans="1:15" x14ac:dyDescent="0.3">
      <c r="A722" s="18">
        <v>721</v>
      </c>
      <c r="B722" s="19">
        <v>45060</v>
      </c>
      <c r="C722" s="20" t="s">
        <v>729</v>
      </c>
      <c r="D722" s="20" t="s">
        <v>8</v>
      </c>
      <c r="E722" s="18">
        <v>52</v>
      </c>
      <c r="F722" s="18" t="str">
        <f t="shared" si="22"/>
        <v>Adult</v>
      </c>
      <c r="G722" s="20" t="s">
        <v>9</v>
      </c>
      <c r="H722" s="18">
        <v>1</v>
      </c>
      <c r="I722" s="18">
        <v>500</v>
      </c>
      <c r="J722" s="18">
        <v>500</v>
      </c>
      <c r="K722" s="21" t="str">
        <f t="shared" si="23"/>
        <v>Low</v>
      </c>
      <c r="L722" s="18">
        <f>YEAR(B722)</f>
        <v>2023</v>
      </c>
      <c r="M722" s="18">
        <f>ROUNDUP(MONTH(B722)/3,0)</f>
        <v>2</v>
      </c>
      <c r="N722" s="20" t="str">
        <f>TEXT(B722,"dddd")</f>
        <v>Sunday</v>
      </c>
      <c r="O722" s="20" t="str">
        <f>TEXT(B722,"mmmm")</f>
        <v>May</v>
      </c>
    </row>
    <row r="723" spans="1:15" x14ac:dyDescent="0.3">
      <c r="A723" s="18">
        <v>722</v>
      </c>
      <c r="B723" s="19">
        <v>45121</v>
      </c>
      <c r="C723" s="20" t="s">
        <v>730</v>
      </c>
      <c r="D723" s="20" t="s">
        <v>5</v>
      </c>
      <c r="E723" s="18">
        <v>20</v>
      </c>
      <c r="F723" s="18" t="str">
        <f t="shared" si="22"/>
        <v>Young</v>
      </c>
      <c r="G723" s="20" t="s">
        <v>6</v>
      </c>
      <c r="H723" s="18">
        <v>3</v>
      </c>
      <c r="I723" s="18">
        <v>300</v>
      </c>
      <c r="J723" s="18">
        <v>900</v>
      </c>
      <c r="K723" s="21" t="str">
        <f t="shared" si="23"/>
        <v>Medium</v>
      </c>
      <c r="L723" s="18">
        <f>YEAR(B723)</f>
        <v>2023</v>
      </c>
      <c r="M723" s="18">
        <f>ROUNDUP(MONTH(B723)/3,0)</f>
        <v>3</v>
      </c>
      <c r="N723" s="20" t="str">
        <f>TEXT(B723,"dddd")</f>
        <v>Friday</v>
      </c>
      <c r="O723" s="20" t="str">
        <f>TEXT(B723,"mmmm")</f>
        <v>July</v>
      </c>
    </row>
    <row r="724" spans="1:15" x14ac:dyDescent="0.3">
      <c r="A724" s="18">
        <v>723</v>
      </c>
      <c r="B724" s="19">
        <v>45094</v>
      </c>
      <c r="C724" s="20" t="s">
        <v>731</v>
      </c>
      <c r="D724" s="20" t="s">
        <v>8</v>
      </c>
      <c r="E724" s="18">
        <v>54</v>
      </c>
      <c r="F724" s="18" t="str">
        <f t="shared" si="22"/>
        <v>Adult</v>
      </c>
      <c r="G724" s="20" t="s">
        <v>6</v>
      </c>
      <c r="H724" s="18">
        <v>4</v>
      </c>
      <c r="I724" s="18">
        <v>50</v>
      </c>
      <c r="J724" s="18">
        <v>200</v>
      </c>
      <c r="K724" s="21" t="str">
        <f t="shared" si="23"/>
        <v>Low</v>
      </c>
      <c r="L724" s="18">
        <f>YEAR(B724)</f>
        <v>2023</v>
      </c>
      <c r="M724" s="18">
        <f>ROUNDUP(MONTH(B724)/3,0)</f>
        <v>2</v>
      </c>
      <c r="N724" s="20" t="str">
        <f>TEXT(B724,"dddd")</f>
        <v>Saturday</v>
      </c>
      <c r="O724" s="20" t="str">
        <f>TEXT(B724,"mmmm")</f>
        <v>June</v>
      </c>
    </row>
    <row r="725" spans="1:15" x14ac:dyDescent="0.3">
      <c r="A725" s="18">
        <v>724</v>
      </c>
      <c r="B725" s="19">
        <v>45035</v>
      </c>
      <c r="C725" s="20" t="s">
        <v>732</v>
      </c>
      <c r="D725" s="20" t="s">
        <v>5</v>
      </c>
      <c r="E725" s="18">
        <v>61</v>
      </c>
      <c r="F725" s="18" t="str">
        <f t="shared" si="22"/>
        <v>Senior</v>
      </c>
      <c r="G725" s="20" t="s">
        <v>9</v>
      </c>
      <c r="H725" s="18">
        <v>3</v>
      </c>
      <c r="I725" s="18">
        <v>50</v>
      </c>
      <c r="J725" s="18">
        <v>150</v>
      </c>
      <c r="K725" s="21" t="str">
        <f t="shared" si="23"/>
        <v>Low</v>
      </c>
      <c r="L725" s="18">
        <f>YEAR(B725)</f>
        <v>2023</v>
      </c>
      <c r="M725" s="18">
        <f>ROUNDUP(MONTH(B725)/3,0)</f>
        <v>2</v>
      </c>
      <c r="N725" s="20" t="str">
        <f>TEXT(B725,"dddd")</f>
        <v>Wednesday</v>
      </c>
      <c r="O725" s="20" t="str">
        <f>TEXT(B725,"mmmm")</f>
        <v>April</v>
      </c>
    </row>
    <row r="726" spans="1:15" x14ac:dyDescent="0.3">
      <c r="A726" s="18">
        <v>725</v>
      </c>
      <c r="B726" s="19">
        <v>45159</v>
      </c>
      <c r="C726" s="20" t="s">
        <v>733</v>
      </c>
      <c r="D726" s="20" t="s">
        <v>5</v>
      </c>
      <c r="E726" s="18">
        <v>61</v>
      </c>
      <c r="F726" s="18" t="str">
        <f t="shared" si="22"/>
        <v>Senior</v>
      </c>
      <c r="G726" s="20" t="s">
        <v>11</v>
      </c>
      <c r="H726" s="18">
        <v>1</v>
      </c>
      <c r="I726" s="18">
        <v>300</v>
      </c>
      <c r="J726" s="18">
        <v>300</v>
      </c>
      <c r="K726" s="21" t="str">
        <f t="shared" si="23"/>
        <v>Low</v>
      </c>
      <c r="L726" s="18">
        <f>YEAR(B726)</f>
        <v>2023</v>
      </c>
      <c r="M726" s="18">
        <f>ROUNDUP(MONTH(B726)/3,0)</f>
        <v>3</v>
      </c>
      <c r="N726" s="20" t="str">
        <f>TEXT(B726,"dddd")</f>
        <v>Monday</v>
      </c>
      <c r="O726" s="20" t="str">
        <f>TEXT(B726,"mmmm")</f>
        <v>August</v>
      </c>
    </row>
    <row r="727" spans="1:15" x14ac:dyDescent="0.3">
      <c r="A727" s="18">
        <v>726</v>
      </c>
      <c r="B727" s="19">
        <v>45094</v>
      </c>
      <c r="C727" s="20" t="s">
        <v>734</v>
      </c>
      <c r="D727" s="20" t="s">
        <v>5</v>
      </c>
      <c r="E727" s="18">
        <v>47</v>
      </c>
      <c r="F727" s="18" t="str">
        <f t="shared" si="22"/>
        <v>Adult</v>
      </c>
      <c r="G727" s="20" t="s">
        <v>9</v>
      </c>
      <c r="H727" s="18">
        <v>4</v>
      </c>
      <c r="I727" s="18">
        <v>300</v>
      </c>
      <c r="J727" s="18">
        <v>1200</v>
      </c>
      <c r="K727" s="21" t="str">
        <f t="shared" si="23"/>
        <v>Medium</v>
      </c>
      <c r="L727" s="18">
        <f>YEAR(B727)</f>
        <v>2023</v>
      </c>
      <c r="M727" s="18">
        <f>ROUNDUP(MONTH(B727)/3,0)</f>
        <v>2</v>
      </c>
      <c r="N727" s="20" t="str">
        <f>TEXT(B727,"dddd")</f>
        <v>Saturday</v>
      </c>
      <c r="O727" s="20" t="str">
        <f>TEXT(B727,"mmmm")</f>
        <v>June</v>
      </c>
    </row>
    <row r="728" spans="1:15" x14ac:dyDescent="0.3">
      <c r="A728" s="18">
        <v>727</v>
      </c>
      <c r="B728" s="19">
        <v>45099</v>
      </c>
      <c r="C728" s="20" t="s">
        <v>735</v>
      </c>
      <c r="D728" s="20" t="s">
        <v>5</v>
      </c>
      <c r="E728" s="18">
        <v>55</v>
      </c>
      <c r="F728" s="18" t="str">
        <f t="shared" si="22"/>
        <v>Adult</v>
      </c>
      <c r="G728" s="20" t="s">
        <v>6</v>
      </c>
      <c r="H728" s="18">
        <v>3</v>
      </c>
      <c r="I728" s="18">
        <v>300</v>
      </c>
      <c r="J728" s="18">
        <v>900</v>
      </c>
      <c r="K728" s="21" t="str">
        <f t="shared" si="23"/>
        <v>Medium</v>
      </c>
      <c r="L728" s="18">
        <f>YEAR(B728)</f>
        <v>2023</v>
      </c>
      <c r="M728" s="18">
        <f>ROUNDUP(MONTH(B728)/3,0)</f>
        <v>2</v>
      </c>
      <c r="N728" s="20" t="str">
        <f>TEXT(B728,"dddd")</f>
        <v>Thursday</v>
      </c>
      <c r="O728" s="20" t="str">
        <f>TEXT(B728,"mmmm")</f>
        <v>June</v>
      </c>
    </row>
    <row r="729" spans="1:15" x14ac:dyDescent="0.3">
      <c r="A729" s="18">
        <v>728</v>
      </c>
      <c r="B729" s="19">
        <v>45121</v>
      </c>
      <c r="C729" s="20" t="s">
        <v>736</v>
      </c>
      <c r="D729" s="20" t="s">
        <v>5</v>
      </c>
      <c r="E729" s="18">
        <v>51</v>
      </c>
      <c r="F729" s="18" t="str">
        <f t="shared" si="22"/>
        <v>Adult</v>
      </c>
      <c r="G729" s="20" t="s">
        <v>11</v>
      </c>
      <c r="H729" s="18">
        <v>3</v>
      </c>
      <c r="I729" s="18">
        <v>50</v>
      </c>
      <c r="J729" s="18">
        <v>150</v>
      </c>
      <c r="K729" s="21" t="str">
        <f t="shared" si="23"/>
        <v>Low</v>
      </c>
      <c r="L729" s="18">
        <f>YEAR(B729)</f>
        <v>2023</v>
      </c>
      <c r="M729" s="18">
        <f>ROUNDUP(MONTH(B729)/3,0)</f>
        <v>3</v>
      </c>
      <c r="N729" s="20" t="str">
        <f>TEXT(B729,"dddd")</f>
        <v>Friday</v>
      </c>
      <c r="O729" s="20" t="str">
        <f>TEXT(B729,"mmmm")</f>
        <v>July</v>
      </c>
    </row>
    <row r="730" spans="1:15" x14ac:dyDescent="0.3">
      <c r="A730" s="18">
        <v>729</v>
      </c>
      <c r="B730" s="19">
        <v>45069</v>
      </c>
      <c r="C730" s="20" t="s">
        <v>737</v>
      </c>
      <c r="D730" s="20" t="s">
        <v>5</v>
      </c>
      <c r="E730" s="18">
        <v>29</v>
      </c>
      <c r="F730" s="18" t="str">
        <f t="shared" si="22"/>
        <v>Young</v>
      </c>
      <c r="G730" s="20" t="s">
        <v>9</v>
      </c>
      <c r="H730" s="18">
        <v>4</v>
      </c>
      <c r="I730" s="18">
        <v>300</v>
      </c>
      <c r="J730" s="18">
        <v>1200</v>
      </c>
      <c r="K730" s="21" t="str">
        <f t="shared" si="23"/>
        <v>Medium</v>
      </c>
      <c r="L730" s="18">
        <f>YEAR(B730)</f>
        <v>2023</v>
      </c>
      <c r="M730" s="18">
        <f>ROUNDUP(MONTH(B730)/3,0)</f>
        <v>2</v>
      </c>
      <c r="N730" s="20" t="str">
        <f>TEXT(B730,"dddd")</f>
        <v>Tuesday</v>
      </c>
      <c r="O730" s="20" t="str">
        <f>TEXT(B730,"mmmm")</f>
        <v>May</v>
      </c>
    </row>
    <row r="731" spans="1:15" x14ac:dyDescent="0.3">
      <c r="A731" s="18">
        <v>730</v>
      </c>
      <c r="B731" s="19">
        <v>45142</v>
      </c>
      <c r="C731" s="20" t="s">
        <v>738</v>
      </c>
      <c r="D731" s="20" t="s">
        <v>8</v>
      </c>
      <c r="E731" s="18">
        <v>36</v>
      </c>
      <c r="F731" s="18" t="str">
        <f t="shared" si="22"/>
        <v>Adult</v>
      </c>
      <c r="G731" s="20" t="s">
        <v>9</v>
      </c>
      <c r="H731" s="18">
        <v>2</v>
      </c>
      <c r="I731" s="18">
        <v>25</v>
      </c>
      <c r="J731" s="18">
        <v>50</v>
      </c>
      <c r="K731" s="21" t="str">
        <f t="shared" si="23"/>
        <v>Low</v>
      </c>
      <c r="L731" s="18">
        <f>YEAR(B731)</f>
        <v>2023</v>
      </c>
      <c r="M731" s="18">
        <f>ROUNDUP(MONTH(B731)/3,0)</f>
        <v>3</v>
      </c>
      <c r="N731" s="20" t="str">
        <f>TEXT(B731,"dddd")</f>
        <v>Friday</v>
      </c>
      <c r="O731" s="20" t="str">
        <f>TEXT(B731,"mmmm")</f>
        <v>August</v>
      </c>
    </row>
    <row r="732" spans="1:15" x14ac:dyDescent="0.3">
      <c r="A732" s="18">
        <v>731</v>
      </c>
      <c r="B732" s="19">
        <v>45056</v>
      </c>
      <c r="C732" s="20" t="s">
        <v>739</v>
      </c>
      <c r="D732" s="20" t="s">
        <v>5</v>
      </c>
      <c r="E732" s="18">
        <v>54</v>
      </c>
      <c r="F732" s="18" t="str">
        <f t="shared" si="22"/>
        <v>Adult</v>
      </c>
      <c r="G732" s="20" t="s">
        <v>9</v>
      </c>
      <c r="H732" s="18">
        <v>4</v>
      </c>
      <c r="I732" s="18">
        <v>500</v>
      </c>
      <c r="J732" s="18">
        <v>2000</v>
      </c>
      <c r="K732" s="21" t="str">
        <f t="shared" si="23"/>
        <v>High</v>
      </c>
      <c r="L732" s="18">
        <f>YEAR(B732)</f>
        <v>2023</v>
      </c>
      <c r="M732" s="18">
        <f>ROUNDUP(MONTH(B732)/3,0)</f>
        <v>2</v>
      </c>
      <c r="N732" s="20" t="str">
        <f>TEXT(B732,"dddd")</f>
        <v>Wednesday</v>
      </c>
      <c r="O732" s="20" t="str">
        <f>TEXT(B732,"mmmm")</f>
        <v>May</v>
      </c>
    </row>
    <row r="733" spans="1:15" x14ac:dyDescent="0.3">
      <c r="A733" s="18">
        <v>732</v>
      </c>
      <c r="B733" s="19">
        <v>44968</v>
      </c>
      <c r="C733" s="20" t="s">
        <v>740</v>
      </c>
      <c r="D733" s="20" t="s">
        <v>5</v>
      </c>
      <c r="E733" s="18">
        <v>61</v>
      </c>
      <c r="F733" s="18" t="str">
        <f t="shared" si="22"/>
        <v>Senior</v>
      </c>
      <c r="G733" s="20" t="s">
        <v>11</v>
      </c>
      <c r="H733" s="18">
        <v>2</v>
      </c>
      <c r="I733" s="18">
        <v>500</v>
      </c>
      <c r="J733" s="18">
        <v>1000</v>
      </c>
      <c r="K733" s="21" t="str">
        <f t="shared" si="23"/>
        <v>Medium</v>
      </c>
      <c r="L733" s="18">
        <f>YEAR(B733)</f>
        <v>2023</v>
      </c>
      <c r="M733" s="18">
        <f>ROUNDUP(MONTH(B733)/3,0)</f>
        <v>1</v>
      </c>
      <c r="N733" s="20" t="str">
        <f>TEXT(B733,"dddd")</f>
        <v>Saturday</v>
      </c>
      <c r="O733" s="20" t="str">
        <f>TEXT(B733,"mmmm")</f>
        <v>February</v>
      </c>
    </row>
    <row r="734" spans="1:15" x14ac:dyDescent="0.3">
      <c r="A734" s="18">
        <v>733</v>
      </c>
      <c r="B734" s="19">
        <v>45167</v>
      </c>
      <c r="C734" s="20" t="s">
        <v>741</v>
      </c>
      <c r="D734" s="20" t="s">
        <v>5</v>
      </c>
      <c r="E734" s="18">
        <v>34</v>
      </c>
      <c r="F734" s="18" t="str">
        <f t="shared" si="22"/>
        <v>Adult</v>
      </c>
      <c r="G734" s="20" t="s">
        <v>6</v>
      </c>
      <c r="H734" s="18">
        <v>1</v>
      </c>
      <c r="I734" s="18">
        <v>30</v>
      </c>
      <c r="J734" s="18">
        <v>30</v>
      </c>
      <c r="K734" s="21" t="str">
        <f t="shared" si="23"/>
        <v>Low</v>
      </c>
      <c r="L734" s="18">
        <f>YEAR(B734)</f>
        <v>2023</v>
      </c>
      <c r="M734" s="18">
        <f>ROUNDUP(MONTH(B734)/3,0)</f>
        <v>3</v>
      </c>
      <c r="N734" s="20" t="str">
        <f>TEXT(B734,"dddd")</f>
        <v>Tuesday</v>
      </c>
      <c r="O734" s="20" t="str">
        <f>TEXT(B734,"mmmm")</f>
        <v>August</v>
      </c>
    </row>
    <row r="735" spans="1:15" x14ac:dyDescent="0.3">
      <c r="A735" s="18">
        <v>734</v>
      </c>
      <c r="B735" s="19">
        <v>44936</v>
      </c>
      <c r="C735" s="20" t="s">
        <v>742</v>
      </c>
      <c r="D735" s="20" t="s">
        <v>8</v>
      </c>
      <c r="E735" s="18">
        <v>27</v>
      </c>
      <c r="F735" s="18" t="str">
        <f t="shared" si="22"/>
        <v>Young</v>
      </c>
      <c r="G735" s="20" t="s">
        <v>9</v>
      </c>
      <c r="H735" s="18">
        <v>1</v>
      </c>
      <c r="I735" s="18">
        <v>30</v>
      </c>
      <c r="J735" s="18">
        <v>30</v>
      </c>
      <c r="K735" s="21" t="str">
        <f t="shared" si="23"/>
        <v>Low</v>
      </c>
      <c r="L735" s="18">
        <f>YEAR(B735)</f>
        <v>2023</v>
      </c>
      <c r="M735" s="18">
        <f>ROUNDUP(MONTH(B735)/3,0)</f>
        <v>1</v>
      </c>
      <c r="N735" s="20" t="str">
        <f>TEXT(B735,"dddd")</f>
        <v>Tuesday</v>
      </c>
      <c r="O735" s="20" t="str">
        <f>TEXT(B735,"mmmm")</f>
        <v>January</v>
      </c>
    </row>
    <row r="736" spans="1:15" x14ac:dyDescent="0.3">
      <c r="A736" s="18">
        <v>735</v>
      </c>
      <c r="B736" s="19">
        <v>45203</v>
      </c>
      <c r="C736" s="20" t="s">
        <v>743</v>
      </c>
      <c r="D736" s="20" t="s">
        <v>8</v>
      </c>
      <c r="E736" s="18">
        <v>64</v>
      </c>
      <c r="F736" s="18" t="str">
        <f t="shared" si="22"/>
        <v>Senior</v>
      </c>
      <c r="G736" s="20" t="s">
        <v>9</v>
      </c>
      <c r="H736" s="18">
        <v>4</v>
      </c>
      <c r="I736" s="18">
        <v>500</v>
      </c>
      <c r="J736" s="18">
        <v>2000</v>
      </c>
      <c r="K736" s="21" t="str">
        <f t="shared" si="23"/>
        <v>High</v>
      </c>
      <c r="L736" s="18">
        <f>YEAR(B736)</f>
        <v>2023</v>
      </c>
      <c r="M736" s="18">
        <f>ROUNDUP(MONTH(B736)/3,0)</f>
        <v>4</v>
      </c>
      <c r="N736" s="20" t="str">
        <f>TEXT(B736,"dddd")</f>
        <v>Wednesday</v>
      </c>
      <c r="O736" s="20" t="str">
        <f>TEXT(B736,"mmmm")</f>
        <v>October</v>
      </c>
    </row>
    <row r="737" spans="1:15" x14ac:dyDescent="0.3">
      <c r="A737" s="18">
        <v>736</v>
      </c>
      <c r="B737" s="19">
        <v>44953</v>
      </c>
      <c r="C737" s="20" t="s">
        <v>744</v>
      </c>
      <c r="D737" s="20" t="s">
        <v>5</v>
      </c>
      <c r="E737" s="18">
        <v>29</v>
      </c>
      <c r="F737" s="18" t="str">
        <f t="shared" si="22"/>
        <v>Young</v>
      </c>
      <c r="G737" s="20" t="s">
        <v>9</v>
      </c>
      <c r="H737" s="18">
        <v>4</v>
      </c>
      <c r="I737" s="18">
        <v>25</v>
      </c>
      <c r="J737" s="18">
        <v>100</v>
      </c>
      <c r="K737" s="21" t="str">
        <f t="shared" si="23"/>
        <v>Low</v>
      </c>
      <c r="L737" s="18">
        <f>YEAR(B737)</f>
        <v>2023</v>
      </c>
      <c r="M737" s="18">
        <f>ROUNDUP(MONTH(B737)/3,0)</f>
        <v>1</v>
      </c>
      <c r="N737" s="20" t="str">
        <f>TEXT(B737,"dddd")</f>
        <v>Friday</v>
      </c>
      <c r="O737" s="20" t="str">
        <f>TEXT(B737,"mmmm")</f>
        <v>January</v>
      </c>
    </row>
    <row r="738" spans="1:15" x14ac:dyDescent="0.3">
      <c r="A738" s="18">
        <v>737</v>
      </c>
      <c r="B738" s="19">
        <v>45106</v>
      </c>
      <c r="C738" s="20" t="s">
        <v>745</v>
      </c>
      <c r="D738" s="20" t="s">
        <v>8</v>
      </c>
      <c r="E738" s="18">
        <v>33</v>
      </c>
      <c r="F738" s="18" t="str">
        <f t="shared" si="22"/>
        <v>Adult</v>
      </c>
      <c r="G738" s="20" t="s">
        <v>9</v>
      </c>
      <c r="H738" s="18">
        <v>1</v>
      </c>
      <c r="I738" s="18">
        <v>50</v>
      </c>
      <c r="J738" s="18">
        <v>50</v>
      </c>
      <c r="K738" s="21" t="str">
        <f t="shared" si="23"/>
        <v>Low</v>
      </c>
      <c r="L738" s="18">
        <f>YEAR(B738)</f>
        <v>2023</v>
      </c>
      <c r="M738" s="18">
        <f>ROUNDUP(MONTH(B738)/3,0)</f>
        <v>2</v>
      </c>
      <c r="N738" s="20" t="str">
        <f>TEXT(B738,"dddd")</f>
        <v>Thursday</v>
      </c>
      <c r="O738" s="20" t="str">
        <f>TEXT(B738,"mmmm")</f>
        <v>June</v>
      </c>
    </row>
    <row r="739" spans="1:15" x14ac:dyDescent="0.3">
      <c r="A739" s="18">
        <v>738</v>
      </c>
      <c r="B739" s="19">
        <v>45041</v>
      </c>
      <c r="C739" s="20" t="s">
        <v>746</v>
      </c>
      <c r="D739" s="20" t="s">
        <v>5</v>
      </c>
      <c r="E739" s="18">
        <v>41</v>
      </c>
      <c r="F739" s="18" t="str">
        <f t="shared" si="22"/>
        <v>Adult</v>
      </c>
      <c r="G739" s="20" t="s">
        <v>9</v>
      </c>
      <c r="H739" s="18">
        <v>2</v>
      </c>
      <c r="I739" s="18">
        <v>50</v>
      </c>
      <c r="J739" s="18">
        <v>100</v>
      </c>
      <c r="K739" s="21" t="str">
        <f t="shared" si="23"/>
        <v>Low</v>
      </c>
      <c r="L739" s="18">
        <f>YEAR(B739)</f>
        <v>2023</v>
      </c>
      <c r="M739" s="18">
        <f>ROUNDUP(MONTH(B739)/3,0)</f>
        <v>2</v>
      </c>
      <c r="N739" s="20" t="str">
        <f>TEXT(B739,"dddd")</f>
        <v>Tuesday</v>
      </c>
      <c r="O739" s="20" t="str">
        <f>TEXT(B739,"mmmm")</f>
        <v>April</v>
      </c>
    </row>
    <row r="740" spans="1:15" x14ac:dyDescent="0.3">
      <c r="A740" s="18">
        <v>739</v>
      </c>
      <c r="B740" s="19">
        <v>45259</v>
      </c>
      <c r="C740" s="20" t="s">
        <v>747</v>
      </c>
      <c r="D740" s="20" t="s">
        <v>5</v>
      </c>
      <c r="E740" s="18">
        <v>36</v>
      </c>
      <c r="F740" s="18" t="str">
        <f t="shared" si="22"/>
        <v>Adult</v>
      </c>
      <c r="G740" s="20" t="s">
        <v>6</v>
      </c>
      <c r="H740" s="18">
        <v>1</v>
      </c>
      <c r="I740" s="18">
        <v>25</v>
      </c>
      <c r="J740" s="18">
        <v>25</v>
      </c>
      <c r="K740" s="21" t="str">
        <f t="shared" si="23"/>
        <v>Low</v>
      </c>
      <c r="L740" s="18">
        <f>YEAR(B740)</f>
        <v>2023</v>
      </c>
      <c r="M740" s="18">
        <f>ROUNDUP(MONTH(B740)/3,0)</f>
        <v>4</v>
      </c>
      <c r="N740" s="20" t="str">
        <f>TEXT(B740,"dddd")</f>
        <v>Wednesday</v>
      </c>
      <c r="O740" s="20" t="str">
        <f>TEXT(B740,"mmmm")</f>
        <v>November</v>
      </c>
    </row>
    <row r="741" spans="1:15" x14ac:dyDescent="0.3">
      <c r="A741" s="18">
        <v>740</v>
      </c>
      <c r="B741" s="19">
        <v>44962</v>
      </c>
      <c r="C741" s="20" t="s">
        <v>748</v>
      </c>
      <c r="D741" s="20" t="s">
        <v>8</v>
      </c>
      <c r="E741" s="18">
        <v>25</v>
      </c>
      <c r="F741" s="18" t="str">
        <f t="shared" si="22"/>
        <v>Young</v>
      </c>
      <c r="G741" s="20" t="s">
        <v>6</v>
      </c>
      <c r="H741" s="18">
        <v>4</v>
      </c>
      <c r="I741" s="18">
        <v>50</v>
      </c>
      <c r="J741" s="18">
        <v>200</v>
      </c>
      <c r="K741" s="21" t="str">
        <f t="shared" si="23"/>
        <v>Low</v>
      </c>
      <c r="L741" s="18">
        <f>YEAR(B741)</f>
        <v>2023</v>
      </c>
      <c r="M741" s="18">
        <f>ROUNDUP(MONTH(B741)/3,0)</f>
        <v>1</v>
      </c>
      <c r="N741" s="20" t="str">
        <f>TEXT(B741,"dddd")</f>
        <v>Sunday</v>
      </c>
      <c r="O741" s="20" t="str">
        <f>TEXT(B741,"mmmm")</f>
        <v>February</v>
      </c>
    </row>
    <row r="742" spans="1:15" x14ac:dyDescent="0.3">
      <c r="A742" s="18">
        <v>741</v>
      </c>
      <c r="B742" s="19">
        <v>45260</v>
      </c>
      <c r="C742" s="20" t="s">
        <v>749</v>
      </c>
      <c r="D742" s="20" t="s">
        <v>5</v>
      </c>
      <c r="E742" s="18">
        <v>48</v>
      </c>
      <c r="F742" s="18" t="str">
        <f t="shared" si="22"/>
        <v>Adult</v>
      </c>
      <c r="G742" s="20" t="s">
        <v>9</v>
      </c>
      <c r="H742" s="18">
        <v>1</v>
      </c>
      <c r="I742" s="18">
        <v>300</v>
      </c>
      <c r="J742" s="18">
        <v>300</v>
      </c>
      <c r="K742" s="21" t="str">
        <f t="shared" si="23"/>
        <v>Low</v>
      </c>
      <c r="L742" s="18">
        <f>YEAR(B742)</f>
        <v>2023</v>
      </c>
      <c r="M742" s="18">
        <f>ROUNDUP(MONTH(B742)/3,0)</f>
        <v>4</v>
      </c>
      <c r="N742" s="20" t="str">
        <f>TEXT(B742,"dddd")</f>
        <v>Thursday</v>
      </c>
      <c r="O742" s="20" t="str">
        <f>TEXT(B742,"mmmm")</f>
        <v>November</v>
      </c>
    </row>
    <row r="743" spans="1:15" x14ac:dyDescent="0.3">
      <c r="A743" s="18">
        <v>742</v>
      </c>
      <c r="B743" s="19">
        <v>44947</v>
      </c>
      <c r="C743" s="20" t="s">
        <v>750</v>
      </c>
      <c r="D743" s="20" t="s">
        <v>8</v>
      </c>
      <c r="E743" s="18">
        <v>38</v>
      </c>
      <c r="F743" s="18" t="str">
        <f t="shared" si="22"/>
        <v>Adult</v>
      </c>
      <c r="G743" s="20" t="s">
        <v>11</v>
      </c>
      <c r="H743" s="18">
        <v>4</v>
      </c>
      <c r="I743" s="18">
        <v>500</v>
      </c>
      <c r="J743" s="18">
        <v>2000</v>
      </c>
      <c r="K743" s="21" t="str">
        <f t="shared" si="23"/>
        <v>High</v>
      </c>
      <c r="L743" s="18">
        <f>YEAR(B743)</f>
        <v>2023</v>
      </c>
      <c r="M743" s="18">
        <f>ROUNDUP(MONTH(B743)/3,0)</f>
        <v>1</v>
      </c>
      <c r="N743" s="20" t="str">
        <f>TEXT(B743,"dddd")</f>
        <v>Saturday</v>
      </c>
      <c r="O743" s="20" t="str">
        <f>TEXT(B743,"mmmm")</f>
        <v>January</v>
      </c>
    </row>
    <row r="744" spans="1:15" x14ac:dyDescent="0.3">
      <c r="A744" s="18">
        <v>743</v>
      </c>
      <c r="B744" s="19">
        <v>44942</v>
      </c>
      <c r="C744" s="20" t="s">
        <v>751</v>
      </c>
      <c r="D744" s="20" t="s">
        <v>8</v>
      </c>
      <c r="E744" s="18">
        <v>34</v>
      </c>
      <c r="F744" s="18" t="str">
        <f t="shared" si="22"/>
        <v>Adult</v>
      </c>
      <c r="G744" s="20" t="s">
        <v>6</v>
      </c>
      <c r="H744" s="18">
        <v>4</v>
      </c>
      <c r="I744" s="18">
        <v>500</v>
      </c>
      <c r="J744" s="18">
        <v>2000</v>
      </c>
      <c r="K744" s="21" t="str">
        <f t="shared" si="23"/>
        <v>High</v>
      </c>
      <c r="L744" s="18">
        <f>YEAR(B744)</f>
        <v>2023</v>
      </c>
      <c r="M744" s="18">
        <f>ROUNDUP(MONTH(B744)/3,0)</f>
        <v>1</v>
      </c>
      <c r="N744" s="20" t="str">
        <f>TEXT(B744,"dddd")</f>
        <v>Monday</v>
      </c>
      <c r="O744" s="20" t="str">
        <f>TEXT(B744,"mmmm")</f>
        <v>January</v>
      </c>
    </row>
    <row r="745" spans="1:15" x14ac:dyDescent="0.3">
      <c r="A745" s="18">
        <v>744</v>
      </c>
      <c r="B745" s="19">
        <v>45053</v>
      </c>
      <c r="C745" s="20" t="s">
        <v>752</v>
      </c>
      <c r="D745" s="20" t="s">
        <v>5</v>
      </c>
      <c r="E745" s="18">
        <v>40</v>
      </c>
      <c r="F745" s="18" t="str">
        <f t="shared" si="22"/>
        <v>Adult</v>
      </c>
      <c r="G745" s="20" t="s">
        <v>11</v>
      </c>
      <c r="H745" s="18">
        <v>1</v>
      </c>
      <c r="I745" s="18">
        <v>25</v>
      </c>
      <c r="J745" s="18">
        <v>25</v>
      </c>
      <c r="K745" s="21" t="str">
        <f t="shared" si="23"/>
        <v>Low</v>
      </c>
      <c r="L745" s="18">
        <f>YEAR(B745)</f>
        <v>2023</v>
      </c>
      <c r="M745" s="18">
        <f>ROUNDUP(MONTH(B745)/3,0)</f>
        <v>2</v>
      </c>
      <c r="N745" s="20" t="str">
        <f>TEXT(B745,"dddd")</f>
        <v>Sunday</v>
      </c>
      <c r="O745" s="20" t="str">
        <f>TEXT(B745,"mmmm")</f>
        <v>May</v>
      </c>
    </row>
    <row r="746" spans="1:15" x14ac:dyDescent="0.3">
      <c r="A746" s="18">
        <v>745</v>
      </c>
      <c r="B746" s="19">
        <v>45029</v>
      </c>
      <c r="C746" s="20" t="s">
        <v>753</v>
      </c>
      <c r="D746" s="20" t="s">
        <v>5</v>
      </c>
      <c r="E746" s="18">
        <v>54</v>
      </c>
      <c r="F746" s="18" t="str">
        <f t="shared" si="22"/>
        <v>Adult</v>
      </c>
      <c r="G746" s="20" t="s">
        <v>6</v>
      </c>
      <c r="H746" s="18">
        <v>2</v>
      </c>
      <c r="I746" s="18">
        <v>50</v>
      </c>
      <c r="J746" s="18">
        <v>100</v>
      </c>
      <c r="K746" s="21" t="str">
        <f t="shared" si="23"/>
        <v>Low</v>
      </c>
      <c r="L746" s="18">
        <f>YEAR(B746)</f>
        <v>2023</v>
      </c>
      <c r="M746" s="18">
        <f>ROUNDUP(MONTH(B746)/3,0)</f>
        <v>2</v>
      </c>
      <c r="N746" s="20" t="str">
        <f>TEXT(B746,"dddd")</f>
        <v>Thursday</v>
      </c>
      <c r="O746" s="20" t="str">
        <f>TEXT(B746,"mmmm")</f>
        <v>April</v>
      </c>
    </row>
    <row r="747" spans="1:15" x14ac:dyDescent="0.3">
      <c r="A747" s="18">
        <v>746</v>
      </c>
      <c r="B747" s="19">
        <v>44937</v>
      </c>
      <c r="C747" s="20" t="s">
        <v>754</v>
      </c>
      <c r="D747" s="20" t="s">
        <v>8</v>
      </c>
      <c r="E747" s="18">
        <v>33</v>
      </c>
      <c r="F747" s="18" t="str">
        <f t="shared" si="22"/>
        <v>Adult</v>
      </c>
      <c r="G747" s="20" t="s">
        <v>9</v>
      </c>
      <c r="H747" s="18">
        <v>3</v>
      </c>
      <c r="I747" s="18">
        <v>30</v>
      </c>
      <c r="J747" s="18">
        <v>90</v>
      </c>
      <c r="K747" s="21" t="str">
        <f t="shared" si="23"/>
        <v>Low</v>
      </c>
      <c r="L747" s="18">
        <f>YEAR(B747)</f>
        <v>2023</v>
      </c>
      <c r="M747" s="18">
        <f>ROUNDUP(MONTH(B747)/3,0)</f>
        <v>1</v>
      </c>
      <c r="N747" s="20" t="str">
        <f>TEXT(B747,"dddd")</f>
        <v>Wednesday</v>
      </c>
      <c r="O747" s="20" t="str">
        <f>TEXT(B747,"mmmm")</f>
        <v>January</v>
      </c>
    </row>
    <row r="748" spans="1:15" x14ac:dyDescent="0.3">
      <c r="A748" s="18">
        <v>747</v>
      </c>
      <c r="B748" s="19">
        <v>45245</v>
      </c>
      <c r="C748" s="20" t="s">
        <v>755</v>
      </c>
      <c r="D748" s="20" t="s">
        <v>5</v>
      </c>
      <c r="E748" s="18">
        <v>23</v>
      </c>
      <c r="F748" s="18" t="str">
        <f t="shared" si="22"/>
        <v>Young</v>
      </c>
      <c r="G748" s="20" t="s">
        <v>6</v>
      </c>
      <c r="H748" s="18">
        <v>1</v>
      </c>
      <c r="I748" s="18">
        <v>30</v>
      </c>
      <c r="J748" s="18">
        <v>30</v>
      </c>
      <c r="K748" s="21" t="str">
        <f t="shared" si="23"/>
        <v>Low</v>
      </c>
      <c r="L748" s="18">
        <f>YEAR(B748)</f>
        <v>2023</v>
      </c>
      <c r="M748" s="18">
        <f>ROUNDUP(MONTH(B748)/3,0)</f>
        <v>4</v>
      </c>
      <c r="N748" s="20" t="str">
        <f>TEXT(B748,"dddd")</f>
        <v>Wednesday</v>
      </c>
      <c r="O748" s="20" t="str">
        <f>TEXT(B748,"mmmm")</f>
        <v>November</v>
      </c>
    </row>
    <row r="749" spans="1:15" x14ac:dyDescent="0.3">
      <c r="A749" s="18">
        <v>748</v>
      </c>
      <c r="B749" s="19">
        <v>45005</v>
      </c>
      <c r="C749" s="20" t="s">
        <v>756</v>
      </c>
      <c r="D749" s="20" t="s">
        <v>5</v>
      </c>
      <c r="E749" s="18">
        <v>25</v>
      </c>
      <c r="F749" s="18" t="str">
        <f t="shared" si="22"/>
        <v>Young</v>
      </c>
      <c r="G749" s="20" t="s">
        <v>9</v>
      </c>
      <c r="H749" s="18">
        <v>3</v>
      </c>
      <c r="I749" s="18">
        <v>50</v>
      </c>
      <c r="J749" s="18">
        <v>150</v>
      </c>
      <c r="K749" s="21" t="str">
        <f t="shared" si="23"/>
        <v>Low</v>
      </c>
      <c r="L749" s="18">
        <f>YEAR(B749)</f>
        <v>2023</v>
      </c>
      <c r="M749" s="18">
        <f>ROUNDUP(MONTH(B749)/3,0)</f>
        <v>1</v>
      </c>
      <c r="N749" s="20" t="str">
        <f>TEXT(B749,"dddd")</f>
        <v>Monday</v>
      </c>
      <c r="O749" s="20" t="str">
        <f>TEXT(B749,"mmmm")</f>
        <v>March</v>
      </c>
    </row>
    <row r="750" spans="1:15" x14ac:dyDescent="0.3">
      <c r="A750" s="18">
        <v>749</v>
      </c>
      <c r="B750" s="19">
        <v>45049</v>
      </c>
      <c r="C750" s="20" t="s">
        <v>757</v>
      </c>
      <c r="D750" s="20" t="s">
        <v>5</v>
      </c>
      <c r="E750" s="18">
        <v>42</v>
      </c>
      <c r="F750" s="18" t="str">
        <f t="shared" si="22"/>
        <v>Adult</v>
      </c>
      <c r="G750" s="20" t="s">
        <v>6</v>
      </c>
      <c r="H750" s="18">
        <v>1</v>
      </c>
      <c r="I750" s="18">
        <v>30</v>
      </c>
      <c r="J750" s="18">
        <v>30</v>
      </c>
      <c r="K750" s="21" t="str">
        <f t="shared" si="23"/>
        <v>Low</v>
      </c>
      <c r="L750" s="18">
        <f>YEAR(B750)</f>
        <v>2023</v>
      </c>
      <c r="M750" s="18">
        <f>ROUNDUP(MONTH(B750)/3,0)</f>
        <v>2</v>
      </c>
      <c r="N750" s="20" t="str">
        <f>TEXT(B750,"dddd")</f>
        <v>Wednesday</v>
      </c>
      <c r="O750" s="20" t="str">
        <f>TEXT(B750,"mmmm")</f>
        <v>May</v>
      </c>
    </row>
    <row r="751" spans="1:15" x14ac:dyDescent="0.3">
      <c r="A751" s="18">
        <v>750</v>
      </c>
      <c r="B751" s="19">
        <v>44991</v>
      </c>
      <c r="C751" s="20" t="s">
        <v>758</v>
      </c>
      <c r="D751" s="20" t="s">
        <v>8</v>
      </c>
      <c r="E751" s="18">
        <v>35</v>
      </c>
      <c r="F751" s="18" t="str">
        <f t="shared" si="22"/>
        <v>Adult</v>
      </c>
      <c r="G751" s="20" t="s">
        <v>9</v>
      </c>
      <c r="H751" s="18">
        <v>3</v>
      </c>
      <c r="I751" s="18">
        <v>25</v>
      </c>
      <c r="J751" s="18">
        <v>75</v>
      </c>
      <c r="K751" s="21" t="str">
        <f t="shared" si="23"/>
        <v>Low</v>
      </c>
      <c r="L751" s="18">
        <f>YEAR(B751)</f>
        <v>2023</v>
      </c>
      <c r="M751" s="18">
        <f>ROUNDUP(MONTH(B751)/3,0)</f>
        <v>1</v>
      </c>
      <c r="N751" s="20" t="str">
        <f>TEXT(B751,"dddd")</f>
        <v>Monday</v>
      </c>
      <c r="O751" s="20" t="str">
        <f>TEXT(B751,"mmmm")</f>
        <v>March</v>
      </c>
    </row>
    <row r="752" spans="1:15" x14ac:dyDescent="0.3">
      <c r="A752" s="18">
        <v>751</v>
      </c>
      <c r="B752" s="19">
        <v>45169</v>
      </c>
      <c r="C752" s="20" t="s">
        <v>759</v>
      </c>
      <c r="D752" s="20" t="s">
        <v>8</v>
      </c>
      <c r="E752" s="18">
        <v>42</v>
      </c>
      <c r="F752" s="18" t="str">
        <f t="shared" si="22"/>
        <v>Adult</v>
      </c>
      <c r="G752" s="20" t="s">
        <v>9</v>
      </c>
      <c r="H752" s="18">
        <v>2</v>
      </c>
      <c r="I752" s="18">
        <v>25</v>
      </c>
      <c r="J752" s="18">
        <v>50</v>
      </c>
      <c r="K752" s="21" t="str">
        <f t="shared" si="23"/>
        <v>Low</v>
      </c>
      <c r="L752" s="18">
        <f>YEAR(B752)</f>
        <v>2023</v>
      </c>
      <c r="M752" s="18">
        <f>ROUNDUP(MONTH(B752)/3,0)</f>
        <v>3</v>
      </c>
      <c r="N752" s="20" t="str">
        <f>TEXT(B752,"dddd")</f>
        <v>Thursday</v>
      </c>
      <c r="O752" s="20" t="str">
        <f>TEXT(B752,"mmmm")</f>
        <v>August</v>
      </c>
    </row>
    <row r="753" spans="1:15" x14ac:dyDescent="0.3">
      <c r="A753" s="18">
        <v>752</v>
      </c>
      <c r="B753" s="19">
        <v>45269</v>
      </c>
      <c r="C753" s="20" t="s">
        <v>760</v>
      </c>
      <c r="D753" s="20" t="s">
        <v>5</v>
      </c>
      <c r="E753" s="18">
        <v>29</v>
      </c>
      <c r="F753" s="18" t="str">
        <f t="shared" si="22"/>
        <v>Young</v>
      </c>
      <c r="G753" s="20" t="s">
        <v>9</v>
      </c>
      <c r="H753" s="18">
        <v>2</v>
      </c>
      <c r="I753" s="18">
        <v>50</v>
      </c>
      <c r="J753" s="18">
        <v>100</v>
      </c>
      <c r="K753" s="21" t="str">
        <f t="shared" si="23"/>
        <v>Low</v>
      </c>
      <c r="L753" s="18">
        <f>YEAR(B753)</f>
        <v>2023</v>
      </c>
      <c r="M753" s="18">
        <f>ROUNDUP(MONTH(B753)/3,0)</f>
        <v>4</v>
      </c>
      <c r="N753" s="20" t="str">
        <f>TEXT(B753,"dddd")</f>
        <v>Saturday</v>
      </c>
      <c r="O753" s="20" t="str">
        <f>TEXT(B753,"mmmm")</f>
        <v>December</v>
      </c>
    </row>
    <row r="754" spans="1:15" x14ac:dyDescent="0.3">
      <c r="A754" s="18">
        <v>753</v>
      </c>
      <c r="B754" s="19">
        <v>44985</v>
      </c>
      <c r="C754" s="20" t="s">
        <v>761</v>
      </c>
      <c r="D754" s="20" t="s">
        <v>8</v>
      </c>
      <c r="E754" s="18">
        <v>32</v>
      </c>
      <c r="F754" s="18" t="str">
        <f t="shared" si="22"/>
        <v>Adult</v>
      </c>
      <c r="G754" s="20" t="s">
        <v>9</v>
      </c>
      <c r="H754" s="18">
        <v>1</v>
      </c>
      <c r="I754" s="18">
        <v>30</v>
      </c>
      <c r="J754" s="18">
        <v>30</v>
      </c>
      <c r="K754" s="21" t="str">
        <f t="shared" si="23"/>
        <v>Low</v>
      </c>
      <c r="L754" s="18">
        <f>YEAR(B754)</f>
        <v>2023</v>
      </c>
      <c r="M754" s="18">
        <f>ROUNDUP(MONTH(B754)/3,0)</f>
        <v>1</v>
      </c>
      <c r="N754" s="20" t="str">
        <f>TEXT(B754,"dddd")</f>
        <v>Tuesday</v>
      </c>
      <c r="O754" s="20" t="str">
        <f>TEXT(B754,"mmmm")</f>
        <v>February</v>
      </c>
    </row>
    <row r="755" spans="1:15" x14ac:dyDescent="0.3">
      <c r="A755" s="18">
        <v>754</v>
      </c>
      <c r="B755" s="19">
        <v>45215</v>
      </c>
      <c r="C755" s="20" t="s">
        <v>762</v>
      </c>
      <c r="D755" s="20" t="s">
        <v>8</v>
      </c>
      <c r="E755" s="18">
        <v>43</v>
      </c>
      <c r="F755" s="18" t="str">
        <f t="shared" si="22"/>
        <v>Adult</v>
      </c>
      <c r="G755" s="20" t="s">
        <v>11</v>
      </c>
      <c r="H755" s="18">
        <v>4</v>
      </c>
      <c r="I755" s="18">
        <v>25</v>
      </c>
      <c r="J755" s="18">
        <v>100</v>
      </c>
      <c r="K755" s="21" t="str">
        <f t="shared" si="23"/>
        <v>Low</v>
      </c>
      <c r="L755" s="18">
        <f>YEAR(B755)</f>
        <v>2023</v>
      </c>
      <c r="M755" s="18">
        <f>ROUNDUP(MONTH(B755)/3,0)</f>
        <v>4</v>
      </c>
      <c r="N755" s="20" t="str">
        <f>TEXT(B755,"dddd")</f>
        <v>Monday</v>
      </c>
      <c r="O755" s="20" t="str">
        <f>TEXT(B755,"mmmm")</f>
        <v>October</v>
      </c>
    </row>
    <row r="756" spans="1:15" x14ac:dyDescent="0.3">
      <c r="A756" s="18">
        <v>755</v>
      </c>
      <c r="B756" s="19">
        <v>45038</v>
      </c>
      <c r="C756" s="20" t="s">
        <v>763</v>
      </c>
      <c r="D756" s="20" t="s">
        <v>8</v>
      </c>
      <c r="E756" s="18">
        <v>58</v>
      </c>
      <c r="F756" s="18" t="str">
        <f t="shared" si="22"/>
        <v>Adult</v>
      </c>
      <c r="G756" s="20" t="s">
        <v>9</v>
      </c>
      <c r="H756" s="18">
        <v>3</v>
      </c>
      <c r="I756" s="18">
        <v>25</v>
      </c>
      <c r="J756" s="18">
        <v>75</v>
      </c>
      <c r="K756" s="21" t="str">
        <f t="shared" si="23"/>
        <v>Low</v>
      </c>
      <c r="L756" s="18">
        <f>YEAR(B756)</f>
        <v>2023</v>
      </c>
      <c r="M756" s="18">
        <f>ROUNDUP(MONTH(B756)/3,0)</f>
        <v>2</v>
      </c>
      <c r="N756" s="20" t="str">
        <f>TEXT(B756,"dddd")</f>
        <v>Saturday</v>
      </c>
      <c r="O756" s="20" t="str">
        <f>TEXT(B756,"mmmm")</f>
        <v>April</v>
      </c>
    </row>
    <row r="757" spans="1:15" x14ac:dyDescent="0.3">
      <c r="A757" s="18">
        <v>756</v>
      </c>
      <c r="B757" s="19">
        <v>45165</v>
      </c>
      <c r="C757" s="20" t="s">
        <v>764</v>
      </c>
      <c r="D757" s="20" t="s">
        <v>8</v>
      </c>
      <c r="E757" s="18">
        <v>62</v>
      </c>
      <c r="F757" s="18" t="str">
        <f t="shared" si="22"/>
        <v>Senior</v>
      </c>
      <c r="G757" s="20" t="s">
        <v>11</v>
      </c>
      <c r="H757" s="18">
        <v>4</v>
      </c>
      <c r="I757" s="18">
        <v>300</v>
      </c>
      <c r="J757" s="18">
        <v>1200</v>
      </c>
      <c r="K757" s="21" t="str">
        <f t="shared" si="23"/>
        <v>Medium</v>
      </c>
      <c r="L757" s="18">
        <f>YEAR(B757)</f>
        <v>2023</v>
      </c>
      <c r="M757" s="18">
        <f>ROUNDUP(MONTH(B757)/3,0)</f>
        <v>3</v>
      </c>
      <c r="N757" s="20" t="str">
        <f>TEXT(B757,"dddd")</f>
        <v>Sunday</v>
      </c>
      <c r="O757" s="20" t="str">
        <f>TEXT(B757,"mmmm")</f>
        <v>August</v>
      </c>
    </row>
    <row r="758" spans="1:15" x14ac:dyDescent="0.3">
      <c r="A758" s="18">
        <v>757</v>
      </c>
      <c r="B758" s="19">
        <v>45285</v>
      </c>
      <c r="C758" s="20" t="s">
        <v>765</v>
      </c>
      <c r="D758" s="20" t="s">
        <v>8</v>
      </c>
      <c r="E758" s="18">
        <v>43</v>
      </c>
      <c r="F758" s="18" t="str">
        <f t="shared" si="22"/>
        <v>Adult</v>
      </c>
      <c r="G758" s="20" t="s">
        <v>11</v>
      </c>
      <c r="H758" s="18">
        <v>4</v>
      </c>
      <c r="I758" s="18">
        <v>300</v>
      </c>
      <c r="J758" s="18">
        <v>1200</v>
      </c>
      <c r="K758" s="21" t="str">
        <f t="shared" si="23"/>
        <v>Medium</v>
      </c>
      <c r="L758" s="18">
        <f>YEAR(B758)</f>
        <v>2023</v>
      </c>
      <c r="M758" s="18">
        <f>ROUNDUP(MONTH(B758)/3,0)</f>
        <v>4</v>
      </c>
      <c r="N758" s="20" t="str">
        <f>TEXT(B758,"dddd")</f>
        <v>Monday</v>
      </c>
      <c r="O758" s="20" t="str">
        <f>TEXT(B758,"mmmm")</f>
        <v>December</v>
      </c>
    </row>
    <row r="759" spans="1:15" x14ac:dyDescent="0.3">
      <c r="A759" s="18">
        <v>758</v>
      </c>
      <c r="B759" s="19">
        <v>45058</v>
      </c>
      <c r="C759" s="20" t="s">
        <v>766</v>
      </c>
      <c r="D759" s="20" t="s">
        <v>5</v>
      </c>
      <c r="E759" s="18">
        <v>64</v>
      </c>
      <c r="F759" s="18" t="str">
        <f t="shared" si="22"/>
        <v>Senior</v>
      </c>
      <c r="G759" s="20" t="s">
        <v>9</v>
      </c>
      <c r="H759" s="18">
        <v>4</v>
      </c>
      <c r="I759" s="18">
        <v>25</v>
      </c>
      <c r="J759" s="18">
        <v>100</v>
      </c>
      <c r="K759" s="21" t="str">
        <f t="shared" si="23"/>
        <v>Low</v>
      </c>
      <c r="L759" s="18">
        <f>YEAR(B759)</f>
        <v>2023</v>
      </c>
      <c r="M759" s="18">
        <f>ROUNDUP(MONTH(B759)/3,0)</f>
        <v>2</v>
      </c>
      <c r="N759" s="20" t="str">
        <f>TEXT(B759,"dddd")</f>
        <v>Friday</v>
      </c>
      <c r="O759" s="20" t="str">
        <f>TEXT(B759,"mmmm")</f>
        <v>May</v>
      </c>
    </row>
    <row r="760" spans="1:15" x14ac:dyDescent="0.3">
      <c r="A760" s="18">
        <v>759</v>
      </c>
      <c r="B760" s="19">
        <v>45115</v>
      </c>
      <c r="C760" s="20" t="s">
        <v>767</v>
      </c>
      <c r="D760" s="20" t="s">
        <v>5</v>
      </c>
      <c r="E760" s="18">
        <v>49</v>
      </c>
      <c r="F760" s="18" t="str">
        <f t="shared" si="22"/>
        <v>Adult</v>
      </c>
      <c r="G760" s="20" t="s">
        <v>11</v>
      </c>
      <c r="H760" s="18">
        <v>2</v>
      </c>
      <c r="I760" s="18">
        <v>50</v>
      </c>
      <c r="J760" s="18">
        <v>100</v>
      </c>
      <c r="K760" s="21" t="str">
        <f t="shared" si="23"/>
        <v>Low</v>
      </c>
      <c r="L760" s="18">
        <f>YEAR(B760)</f>
        <v>2023</v>
      </c>
      <c r="M760" s="18">
        <f>ROUNDUP(MONTH(B760)/3,0)</f>
        <v>3</v>
      </c>
      <c r="N760" s="20" t="str">
        <f>TEXT(B760,"dddd")</f>
        <v>Saturday</v>
      </c>
      <c r="O760" s="20" t="str">
        <f>TEXT(B760,"mmmm")</f>
        <v>July</v>
      </c>
    </row>
    <row r="761" spans="1:15" x14ac:dyDescent="0.3">
      <c r="A761" s="18">
        <v>760</v>
      </c>
      <c r="B761" s="19">
        <v>45012</v>
      </c>
      <c r="C761" s="20" t="s">
        <v>768</v>
      </c>
      <c r="D761" s="20" t="s">
        <v>5</v>
      </c>
      <c r="E761" s="18">
        <v>27</v>
      </c>
      <c r="F761" s="18" t="str">
        <f t="shared" si="22"/>
        <v>Young</v>
      </c>
      <c r="G761" s="20" t="s">
        <v>6</v>
      </c>
      <c r="H761" s="18">
        <v>1</v>
      </c>
      <c r="I761" s="18">
        <v>500</v>
      </c>
      <c r="J761" s="18">
        <v>500</v>
      </c>
      <c r="K761" s="21" t="str">
        <f t="shared" si="23"/>
        <v>Low</v>
      </c>
      <c r="L761" s="18">
        <f>YEAR(B761)</f>
        <v>2023</v>
      </c>
      <c r="M761" s="18">
        <f>ROUNDUP(MONTH(B761)/3,0)</f>
        <v>1</v>
      </c>
      <c r="N761" s="20" t="str">
        <f>TEXT(B761,"dddd")</f>
        <v>Monday</v>
      </c>
      <c r="O761" s="20" t="str">
        <f>TEXT(B761,"mmmm")</f>
        <v>March</v>
      </c>
    </row>
    <row r="762" spans="1:15" x14ac:dyDescent="0.3">
      <c r="A762" s="18">
        <v>761</v>
      </c>
      <c r="B762" s="19">
        <v>45237</v>
      </c>
      <c r="C762" s="20" t="s">
        <v>769</v>
      </c>
      <c r="D762" s="20" t="s">
        <v>8</v>
      </c>
      <c r="E762" s="18">
        <v>33</v>
      </c>
      <c r="F762" s="18" t="str">
        <f t="shared" si="22"/>
        <v>Adult</v>
      </c>
      <c r="G762" s="20" t="s">
        <v>9</v>
      </c>
      <c r="H762" s="18">
        <v>1</v>
      </c>
      <c r="I762" s="18">
        <v>500</v>
      </c>
      <c r="J762" s="18">
        <v>500</v>
      </c>
      <c r="K762" s="21" t="str">
        <f t="shared" si="23"/>
        <v>Low</v>
      </c>
      <c r="L762" s="18">
        <f>YEAR(B762)</f>
        <v>2023</v>
      </c>
      <c r="M762" s="18">
        <f>ROUNDUP(MONTH(B762)/3,0)</f>
        <v>4</v>
      </c>
      <c r="N762" s="20" t="str">
        <f>TEXT(B762,"dddd")</f>
        <v>Tuesday</v>
      </c>
      <c r="O762" s="20" t="str">
        <f>TEXT(B762,"mmmm")</f>
        <v>November</v>
      </c>
    </row>
    <row r="763" spans="1:15" x14ac:dyDescent="0.3">
      <c r="A763" s="18">
        <v>762</v>
      </c>
      <c r="B763" s="19">
        <v>45237</v>
      </c>
      <c r="C763" s="20" t="s">
        <v>770</v>
      </c>
      <c r="D763" s="20" t="s">
        <v>8</v>
      </c>
      <c r="E763" s="18">
        <v>24</v>
      </c>
      <c r="F763" s="18" t="str">
        <f t="shared" si="22"/>
        <v>Young</v>
      </c>
      <c r="G763" s="20" t="s">
        <v>11</v>
      </c>
      <c r="H763" s="18">
        <v>2</v>
      </c>
      <c r="I763" s="18">
        <v>25</v>
      </c>
      <c r="J763" s="18">
        <v>50</v>
      </c>
      <c r="K763" s="21" t="str">
        <f t="shared" si="23"/>
        <v>Low</v>
      </c>
      <c r="L763" s="18">
        <f>YEAR(B763)</f>
        <v>2023</v>
      </c>
      <c r="M763" s="18">
        <f>ROUNDUP(MONTH(B763)/3,0)</f>
        <v>4</v>
      </c>
      <c r="N763" s="20" t="str">
        <f>TEXT(B763,"dddd")</f>
        <v>Tuesday</v>
      </c>
      <c r="O763" s="20" t="str">
        <f>TEXT(B763,"mmmm")</f>
        <v>November</v>
      </c>
    </row>
    <row r="764" spans="1:15" x14ac:dyDescent="0.3">
      <c r="A764" s="18">
        <v>763</v>
      </c>
      <c r="B764" s="19">
        <v>44985</v>
      </c>
      <c r="C764" s="20" t="s">
        <v>771</v>
      </c>
      <c r="D764" s="20" t="s">
        <v>5</v>
      </c>
      <c r="E764" s="18">
        <v>34</v>
      </c>
      <c r="F764" s="18" t="str">
        <f t="shared" si="22"/>
        <v>Adult</v>
      </c>
      <c r="G764" s="20" t="s">
        <v>9</v>
      </c>
      <c r="H764" s="18">
        <v>2</v>
      </c>
      <c r="I764" s="18">
        <v>25</v>
      </c>
      <c r="J764" s="18">
        <v>50</v>
      </c>
      <c r="K764" s="21" t="str">
        <f t="shared" si="23"/>
        <v>Low</v>
      </c>
      <c r="L764" s="18">
        <f>YEAR(B764)</f>
        <v>2023</v>
      </c>
      <c r="M764" s="18">
        <f>ROUNDUP(MONTH(B764)/3,0)</f>
        <v>1</v>
      </c>
      <c r="N764" s="20" t="str">
        <f>TEXT(B764,"dddd")</f>
        <v>Tuesday</v>
      </c>
      <c r="O764" s="20" t="str">
        <f>TEXT(B764,"mmmm")</f>
        <v>February</v>
      </c>
    </row>
    <row r="765" spans="1:15" x14ac:dyDescent="0.3">
      <c r="A765" s="18">
        <v>764</v>
      </c>
      <c r="B765" s="19">
        <v>45010</v>
      </c>
      <c r="C765" s="20" t="s">
        <v>772</v>
      </c>
      <c r="D765" s="20" t="s">
        <v>8</v>
      </c>
      <c r="E765" s="18">
        <v>40</v>
      </c>
      <c r="F765" s="18" t="str">
        <f t="shared" si="22"/>
        <v>Adult</v>
      </c>
      <c r="G765" s="20" t="s">
        <v>9</v>
      </c>
      <c r="H765" s="18">
        <v>1</v>
      </c>
      <c r="I765" s="18">
        <v>25</v>
      </c>
      <c r="J765" s="18">
        <v>25</v>
      </c>
      <c r="K765" s="21" t="str">
        <f t="shared" si="23"/>
        <v>Low</v>
      </c>
      <c r="L765" s="18">
        <f>YEAR(B765)</f>
        <v>2023</v>
      </c>
      <c r="M765" s="18">
        <f>ROUNDUP(MONTH(B765)/3,0)</f>
        <v>1</v>
      </c>
      <c r="N765" s="20" t="str">
        <f>TEXT(B765,"dddd")</f>
        <v>Saturday</v>
      </c>
      <c r="O765" s="20" t="str">
        <f>TEXT(B765,"mmmm")</f>
        <v>March</v>
      </c>
    </row>
    <row r="766" spans="1:15" x14ac:dyDescent="0.3">
      <c r="A766" s="18">
        <v>765</v>
      </c>
      <c r="B766" s="19">
        <v>45086</v>
      </c>
      <c r="C766" s="20" t="s">
        <v>773</v>
      </c>
      <c r="D766" s="20" t="s">
        <v>5</v>
      </c>
      <c r="E766" s="18">
        <v>43</v>
      </c>
      <c r="F766" s="18" t="str">
        <f t="shared" si="22"/>
        <v>Adult</v>
      </c>
      <c r="G766" s="20" t="s">
        <v>9</v>
      </c>
      <c r="H766" s="18">
        <v>4</v>
      </c>
      <c r="I766" s="18">
        <v>50</v>
      </c>
      <c r="J766" s="18">
        <v>200</v>
      </c>
      <c r="K766" s="21" t="str">
        <f t="shared" si="23"/>
        <v>Low</v>
      </c>
      <c r="L766" s="18">
        <f>YEAR(B766)</f>
        <v>2023</v>
      </c>
      <c r="M766" s="18">
        <f>ROUNDUP(MONTH(B766)/3,0)</f>
        <v>2</v>
      </c>
      <c r="N766" s="20" t="str">
        <f>TEXT(B766,"dddd")</f>
        <v>Friday</v>
      </c>
      <c r="O766" s="20" t="str">
        <f>TEXT(B766,"mmmm")</f>
        <v>June</v>
      </c>
    </row>
    <row r="767" spans="1:15" x14ac:dyDescent="0.3">
      <c r="A767" s="18">
        <v>766</v>
      </c>
      <c r="B767" s="19">
        <v>44982</v>
      </c>
      <c r="C767" s="20" t="s">
        <v>774</v>
      </c>
      <c r="D767" s="20" t="s">
        <v>5</v>
      </c>
      <c r="E767" s="18">
        <v>38</v>
      </c>
      <c r="F767" s="18" t="str">
        <f t="shared" si="22"/>
        <v>Adult</v>
      </c>
      <c r="G767" s="20" t="s">
        <v>11</v>
      </c>
      <c r="H767" s="18">
        <v>3</v>
      </c>
      <c r="I767" s="18">
        <v>300</v>
      </c>
      <c r="J767" s="18">
        <v>900</v>
      </c>
      <c r="K767" s="21" t="str">
        <f t="shared" si="23"/>
        <v>Medium</v>
      </c>
      <c r="L767" s="18">
        <f>YEAR(B767)</f>
        <v>2023</v>
      </c>
      <c r="M767" s="18">
        <f>ROUNDUP(MONTH(B767)/3,0)</f>
        <v>1</v>
      </c>
      <c r="N767" s="20" t="str">
        <f>TEXT(B767,"dddd")</f>
        <v>Saturday</v>
      </c>
      <c r="O767" s="20" t="str">
        <f>TEXT(B767,"mmmm")</f>
        <v>February</v>
      </c>
    </row>
    <row r="768" spans="1:15" x14ac:dyDescent="0.3">
      <c r="A768" s="18">
        <v>767</v>
      </c>
      <c r="B768" s="19">
        <v>45223</v>
      </c>
      <c r="C768" s="20" t="s">
        <v>775</v>
      </c>
      <c r="D768" s="20" t="s">
        <v>5</v>
      </c>
      <c r="E768" s="18">
        <v>39</v>
      </c>
      <c r="F768" s="18" t="str">
        <f t="shared" si="22"/>
        <v>Adult</v>
      </c>
      <c r="G768" s="20" t="s">
        <v>6</v>
      </c>
      <c r="H768" s="18">
        <v>3</v>
      </c>
      <c r="I768" s="18">
        <v>25</v>
      </c>
      <c r="J768" s="18">
        <v>75</v>
      </c>
      <c r="K768" s="21" t="str">
        <f t="shared" si="23"/>
        <v>Low</v>
      </c>
      <c r="L768" s="18">
        <f>YEAR(B768)</f>
        <v>2023</v>
      </c>
      <c r="M768" s="18">
        <f>ROUNDUP(MONTH(B768)/3,0)</f>
        <v>4</v>
      </c>
      <c r="N768" s="20" t="str">
        <f>TEXT(B768,"dddd")</f>
        <v>Tuesday</v>
      </c>
      <c r="O768" s="20" t="str">
        <f>TEXT(B768,"mmmm")</f>
        <v>October</v>
      </c>
    </row>
    <row r="769" spans="1:15" x14ac:dyDescent="0.3">
      <c r="A769" s="18">
        <v>768</v>
      </c>
      <c r="B769" s="19">
        <v>44940</v>
      </c>
      <c r="C769" s="20" t="s">
        <v>776</v>
      </c>
      <c r="D769" s="20" t="s">
        <v>8</v>
      </c>
      <c r="E769" s="18">
        <v>24</v>
      </c>
      <c r="F769" s="18" t="str">
        <f t="shared" si="22"/>
        <v>Young</v>
      </c>
      <c r="G769" s="20" t="s">
        <v>6</v>
      </c>
      <c r="H769" s="18">
        <v>3</v>
      </c>
      <c r="I769" s="18">
        <v>25</v>
      </c>
      <c r="J769" s="18">
        <v>75</v>
      </c>
      <c r="K769" s="21" t="str">
        <f t="shared" si="23"/>
        <v>Low</v>
      </c>
      <c r="L769" s="18">
        <f>YEAR(B769)</f>
        <v>2023</v>
      </c>
      <c r="M769" s="18">
        <f>ROUNDUP(MONTH(B769)/3,0)</f>
        <v>1</v>
      </c>
      <c r="N769" s="20" t="str">
        <f>TEXT(B769,"dddd")</f>
        <v>Saturday</v>
      </c>
      <c r="O769" s="20" t="str">
        <f>TEXT(B769,"mmmm")</f>
        <v>January</v>
      </c>
    </row>
    <row r="770" spans="1:15" x14ac:dyDescent="0.3">
      <c r="A770" s="18">
        <v>769</v>
      </c>
      <c r="B770" s="19">
        <v>45086</v>
      </c>
      <c r="C770" s="20" t="s">
        <v>777</v>
      </c>
      <c r="D770" s="20" t="s">
        <v>8</v>
      </c>
      <c r="E770" s="18">
        <v>31</v>
      </c>
      <c r="F770" s="18" t="str">
        <f t="shared" si="22"/>
        <v>Adult</v>
      </c>
      <c r="G770" s="20" t="s">
        <v>11</v>
      </c>
      <c r="H770" s="18">
        <v>4</v>
      </c>
      <c r="I770" s="18">
        <v>30</v>
      </c>
      <c r="J770" s="18">
        <v>120</v>
      </c>
      <c r="K770" s="21" t="str">
        <f t="shared" si="23"/>
        <v>Low</v>
      </c>
      <c r="L770" s="18">
        <f>YEAR(B770)</f>
        <v>2023</v>
      </c>
      <c r="M770" s="18">
        <f>ROUNDUP(MONTH(B770)/3,0)</f>
        <v>2</v>
      </c>
      <c r="N770" s="20" t="str">
        <f>TEXT(B770,"dddd")</f>
        <v>Friday</v>
      </c>
      <c r="O770" s="20" t="str">
        <f>TEXT(B770,"mmmm")</f>
        <v>June</v>
      </c>
    </row>
    <row r="771" spans="1:15" x14ac:dyDescent="0.3">
      <c r="A771" s="18">
        <v>770</v>
      </c>
      <c r="B771" s="19">
        <v>45221</v>
      </c>
      <c r="C771" s="20" t="s">
        <v>778</v>
      </c>
      <c r="D771" s="20" t="s">
        <v>5</v>
      </c>
      <c r="E771" s="18">
        <v>32</v>
      </c>
      <c r="F771" s="18" t="str">
        <f t="shared" ref="F771:F834" si="24">IF(E771&gt;60,"Senior",IF(E771&gt;30,"Adult","Young"))</f>
        <v>Adult</v>
      </c>
      <c r="G771" s="20" t="s">
        <v>9</v>
      </c>
      <c r="H771" s="18">
        <v>1</v>
      </c>
      <c r="I771" s="18">
        <v>50</v>
      </c>
      <c r="J771" s="18">
        <v>50</v>
      </c>
      <c r="K771" s="21" t="str">
        <f t="shared" ref="K771:K834" si="25">IF(J771&gt;1500,"High",IF(J771&gt;500,"Medium","Low"))</f>
        <v>Low</v>
      </c>
      <c r="L771" s="18">
        <f>YEAR(B771)</f>
        <v>2023</v>
      </c>
      <c r="M771" s="18">
        <f>ROUNDUP(MONTH(B771)/3,0)</f>
        <v>4</v>
      </c>
      <c r="N771" s="20" t="str">
        <f>TEXT(B771,"dddd")</f>
        <v>Sunday</v>
      </c>
      <c r="O771" s="20" t="str">
        <f>TEXT(B771,"mmmm")</f>
        <v>October</v>
      </c>
    </row>
    <row r="772" spans="1:15" x14ac:dyDescent="0.3">
      <c r="A772" s="18">
        <v>771</v>
      </c>
      <c r="B772" s="19">
        <v>45273</v>
      </c>
      <c r="C772" s="20" t="s">
        <v>779</v>
      </c>
      <c r="D772" s="20" t="s">
        <v>5</v>
      </c>
      <c r="E772" s="18">
        <v>24</v>
      </c>
      <c r="F772" s="18" t="str">
        <f t="shared" si="24"/>
        <v>Young</v>
      </c>
      <c r="G772" s="20" t="s">
        <v>11</v>
      </c>
      <c r="H772" s="18">
        <v>2</v>
      </c>
      <c r="I772" s="18">
        <v>25</v>
      </c>
      <c r="J772" s="18">
        <v>50</v>
      </c>
      <c r="K772" s="21" t="str">
        <f t="shared" si="25"/>
        <v>Low</v>
      </c>
      <c r="L772" s="18">
        <f>YEAR(B772)</f>
        <v>2023</v>
      </c>
      <c r="M772" s="18">
        <f>ROUNDUP(MONTH(B772)/3,0)</f>
        <v>4</v>
      </c>
      <c r="N772" s="20" t="str">
        <f>TEXT(B772,"dddd")</f>
        <v>Wednesday</v>
      </c>
      <c r="O772" s="20" t="str">
        <f>TEXT(B772,"mmmm")</f>
        <v>December</v>
      </c>
    </row>
    <row r="773" spans="1:15" x14ac:dyDescent="0.3">
      <c r="A773" s="18">
        <v>772</v>
      </c>
      <c r="B773" s="19">
        <v>45119</v>
      </c>
      <c r="C773" s="20" t="s">
        <v>780</v>
      </c>
      <c r="D773" s="20" t="s">
        <v>5</v>
      </c>
      <c r="E773" s="18">
        <v>26</v>
      </c>
      <c r="F773" s="18" t="str">
        <f t="shared" si="24"/>
        <v>Young</v>
      </c>
      <c r="G773" s="20" t="s">
        <v>11</v>
      </c>
      <c r="H773" s="18">
        <v>1</v>
      </c>
      <c r="I773" s="18">
        <v>30</v>
      </c>
      <c r="J773" s="18">
        <v>30</v>
      </c>
      <c r="K773" s="21" t="str">
        <f t="shared" si="25"/>
        <v>Low</v>
      </c>
      <c r="L773" s="18">
        <f>YEAR(B773)</f>
        <v>2023</v>
      </c>
      <c r="M773" s="18">
        <f>ROUNDUP(MONTH(B773)/3,0)</f>
        <v>3</v>
      </c>
      <c r="N773" s="20" t="str">
        <f>TEXT(B773,"dddd")</f>
        <v>Wednesday</v>
      </c>
      <c r="O773" s="20" t="str">
        <f>TEXT(B773,"mmmm")</f>
        <v>July</v>
      </c>
    </row>
    <row r="774" spans="1:15" x14ac:dyDescent="0.3">
      <c r="A774" s="18">
        <v>773</v>
      </c>
      <c r="B774" s="19">
        <v>45130</v>
      </c>
      <c r="C774" s="20" t="s">
        <v>781</v>
      </c>
      <c r="D774" s="20" t="s">
        <v>5</v>
      </c>
      <c r="E774" s="18">
        <v>25</v>
      </c>
      <c r="F774" s="18" t="str">
        <f t="shared" si="24"/>
        <v>Young</v>
      </c>
      <c r="G774" s="20" t="s">
        <v>11</v>
      </c>
      <c r="H774" s="18">
        <v>4</v>
      </c>
      <c r="I774" s="18">
        <v>500</v>
      </c>
      <c r="J774" s="18">
        <v>2000</v>
      </c>
      <c r="K774" s="21" t="str">
        <f t="shared" si="25"/>
        <v>High</v>
      </c>
      <c r="L774" s="18">
        <f>YEAR(B774)</f>
        <v>2023</v>
      </c>
      <c r="M774" s="18">
        <f>ROUNDUP(MONTH(B774)/3,0)</f>
        <v>3</v>
      </c>
      <c r="N774" s="20" t="str">
        <f>TEXT(B774,"dddd")</f>
        <v>Sunday</v>
      </c>
      <c r="O774" s="20" t="str">
        <f>TEXT(B774,"mmmm")</f>
        <v>July</v>
      </c>
    </row>
    <row r="775" spans="1:15" x14ac:dyDescent="0.3">
      <c r="A775" s="18">
        <v>774</v>
      </c>
      <c r="B775" s="19">
        <v>45028</v>
      </c>
      <c r="C775" s="20" t="s">
        <v>782</v>
      </c>
      <c r="D775" s="20" t="s">
        <v>8</v>
      </c>
      <c r="E775" s="18">
        <v>40</v>
      </c>
      <c r="F775" s="18" t="str">
        <f t="shared" si="24"/>
        <v>Adult</v>
      </c>
      <c r="G775" s="20" t="s">
        <v>9</v>
      </c>
      <c r="H775" s="18">
        <v>2</v>
      </c>
      <c r="I775" s="18">
        <v>25</v>
      </c>
      <c r="J775" s="18">
        <v>50</v>
      </c>
      <c r="K775" s="21" t="str">
        <f t="shared" si="25"/>
        <v>Low</v>
      </c>
      <c r="L775" s="18">
        <f>YEAR(B775)</f>
        <v>2023</v>
      </c>
      <c r="M775" s="18">
        <f>ROUNDUP(MONTH(B775)/3,0)</f>
        <v>2</v>
      </c>
      <c r="N775" s="20" t="str">
        <f>TEXT(B775,"dddd")</f>
        <v>Wednesday</v>
      </c>
      <c r="O775" s="20" t="str">
        <f>TEXT(B775,"mmmm")</f>
        <v>April</v>
      </c>
    </row>
    <row r="776" spans="1:15" x14ac:dyDescent="0.3">
      <c r="A776" s="18">
        <v>775</v>
      </c>
      <c r="B776" s="19">
        <v>44965</v>
      </c>
      <c r="C776" s="20" t="s">
        <v>783</v>
      </c>
      <c r="D776" s="20" t="s">
        <v>8</v>
      </c>
      <c r="E776" s="18">
        <v>46</v>
      </c>
      <c r="F776" s="18" t="str">
        <f t="shared" si="24"/>
        <v>Adult</v>
      </c>
      <c r="G776" s="20" t="s">
        <v>11</v>
      </c>
      <c r="H776" s="18">
        <v>4</v>
      </c>
      <c r="I776" s="18">
        <v>25</v>
      </c>
      <c r="J776" s="18">
        <v>100</v>
      </c>
      <c r="K776" s="21" t="str">
        <f t="shared" si="25"/>
        <v>Low</v>
      </c>
      <c r="L776" s="18">
        <f>YEAR(B776)</f>
        <v>2023</v>
      </c>
      <c r="M776" s="18">
        <f>ROUNDUP(MONTH(B776)/3,0)</f>
        <v>1</v>
      </c>
      <c r="N776" s="20" t="str">
        <f>TEXT(B776,"dddd")</f>
        <v>Wednesday</v>
      </c>
      <c r="O776" s="20" t="str">
        <f>TEXT(B776,"mmmm")</f>
        <v>February</v>
      </c>
    </row>
    <row r="777" spans="1:15" x14ac:dyDescent="0.3">
      <c r="A777" s="18">
        <v>776</v>
      </c>
      <c r="B777" s="19">
        <v>45230</v>
      </c>
      <c r="C777" s="20" t="s">
        <v>784</v>
      </c>
      <c r="D777" s="20" t="s">
        <v>5</v>
      </c>
      <c r="E777" s="18">
        <v>35</v>
      </c>
      <c r="F777" s="18" t="str">
        <f t="shared" si="24"/>
        <v>Adult</v>
      </c>
      <c r="G777" s="20" t="s">
        <v>9</v>
      </c>
      <c r="H777" s="18">
        <v>3</v>
      </c>
      <c r="I777" s="18">
        <v>30</v>
      </c>
      <c r="J777" s="18">
        <v>90</v>
      </c>
      <c r="K777" s="21" t="str">
        <f t="shared" si="25"/>
        <v>Low</v>
      </c>
      <c r="L777" s="18">
        <f>YEAR(B777)</f>
        <v>2023</v>
      </c>
      <c r="M777" s="18">
        <f>ROUNDUP(MONTH(B777)/3,0)</f>
        <v>4</v>
      </c>
      <c r="N777" s="20" t="str">
        <f>TEXT(B777,"dddd")</f>
        <v>Tuesday</v>
      </c>
      <c r="O777" s="20" t="str">
        <f>TEXT(B777,"mmmm")</f>
        <v>October</v>
      </c>
    </row>
    <row r="778" spans="1:15" x14ac:dyDescent="0.3">
      <c r="A778" s="18">
        <v>777</v>
      </c>
      <c r="B778" s="19">
        <v>45280</v>
      </c>
      <c r="C778" s="20" t="s">
        <v>785</v>
      </c>
      <c r="D778" s="20" t="s">
        <v>5</v>
      </c>
      <c r="E778" s="18">
        <v>48</v>
      </c>
      <c r="F778" s="18" t="str">
        <f t="shared" si="24"/>
        <v>Adult</v>
      </c>
      <c r="G778" s="20" t="s">
        <v>11</v>
      </c>
      <c r="H778" s="18">
        <v>3</v>
      </c>
      <c r="I778" s="18">
        <v>50</v>
      </c>
      <c r="J778" s="18">
        <v>150</v>
      </c>
      <c r="K778" s="21" t="str">
        <f t="shared" si="25"/>
        <v>Low</v>
      </c>
      <c r="L778" s="18">
        <f>YEAR(B778)</f>
        <v>2023</v>
      </c>
      <c r="M778" s="18">
        <f>ROUNDUP(MONTH(B778)/3,0)</f>
        <v>4</v>
      </c>
      <c r="N778" s="20" t="str">
        <f>TEXT(B778,"dddd")</f>
        <v>Wednesday</v>
      </c>
      <c r="O778" s="20" t="str">
        <f>TEXT(B778,"mmmm")</f>
        <v>December</v>
      </c>
    </row>
    <row r="779" spans="1:15" x14ac:dyDescent="0.3">
      <c r="A779" s="18">
        <v>778</v>
      </c>
      <c r="B779" s="19">
        <v>45248</v>
      </c>
      <c r="C779" s="20" t="s">
        <v>786</v>
      </c>
      <c r="D779" s="20" t="s">
        <v>8</v>
      </c>
      <c r="E779" s="18">
        <v>47</v>
      </c>
      <c r="F779" s="18" t="str">
        <f t="shared" si="24"/>
        <v>Adult</v>
      </c>
      <c r="G779" s="20" t="s">
        <v>6</v>
      </c>
      <c r="H779" s="18">
        <v>4</v>
      </c>
      <c r="I779" s="18">
        <v>25</v>
      </c>
      <c r="J779" s="18">
        <v>100</v>
      </c>
      <c r="K779" s="21" t="str">
        <f t="shared" si="25"/>
        <v>Low</v>
      </c>
      <c r="L779" s="18">
        <f>YEAR(B779)</f>
        <v>2023</v>
      </c>
      <c r="M779" s="18">
        <f>ROUNDUP(MONTH(B779)/3,0)</f>
        <v>4</v>
      </c>
      <c r="N779" s="20" t="str">
        <f>TEXT(B779,"dddd")</f>
        <v>Saturday</v>
      </c>
      <c r="O779" s="20" t="str">
        <f>TEXT(B779,"mmmm")</f>
        <v>November</v>
      </c>
    </row>
    <row r="780" spans="1:15" x14ac:dyDescent="0.3">
      <c r="A780" s="18">
        <v>779</v>
      </c>
      <c r="B780" s="19">
        <v>45051</v>
      </c>
      <c r="C780" s="20" t="s">
        <v>787</v>
      </c>
      <c r="D780" s="20" t="s">
        <v>8</v>
      </c>
      <c r="E780" s="18">
        <v>56</v>
      </c>
      <c r="F780" s="18" t="str">
        <f t="shared" si="24"/>
        <v>Adult</v>
      </c>
      <c r="G780" s="20" t="s">
        <v>11</v>
      </c>
      <c r="H780" s="18">
        <v>2</v>
      </c>
      <c r="I780" s="18">
        <v>500</v>
      </c>
      <c r="J780" s="18">
        <v>1000</v>
      </c>
      <c r="K780" s="21" t="str">
        <f t="shared" si="25"/>
        <v>Medium</v>
      </c>
      <c r="L780" s="18">
        <f>YEAR(B780)</f>
        <v>2023</v>
      </c>
      <c r="M780" s="18">
        <f>ROUNDUP(MONTH(B780)/3,0)</f>
        <v>2</v>
      </c>
      <c r="N780" s="20" t="str">
        <f>TEXT(B780,"dddd")</f>
        <v>Friday</v>
      </c>
      <c r="O780" s="20" t="str">
        <f>TEXT(B780,"mmmm")</f>
        <v>May</v>
      </c>
    </row>
    <row r="781" spans="1:15" x14ac:dyDescent="0.3">
      <c r="A781" s="18">
        <v>780</v>
      </c>
      <c r="B781" s="19">
        <v>44979</v>
      </c>
      <c r="C781" s="20" t="s">
        <v>788</v>
      </c>
      <c r="D781" s="20" t="s">
        <v>5</v>
      </c>
      <c r="E781" s="18">
        <v>52</v>
      </c>
      <c r="F781" s="18" t="str">
        <f t="shared" si="24"/>
        <v>Adult</v>
      </c>
      <c r="G781" s="20" t="s">
        <v>11</v>
      </c>
      <c r="H781" s="18">
        <v>2</v>
      </c>
      <c r="I781" s="18">
        <v>25</v>
      </c>
      <c r="J781" s="18">
        <v>50</v>
      </c>
      <c r="K781" s="21" t="str">
        <f t="shared" si="25"/>
        <v>Low</v>
      </c>
      <c r="L781" s="18">
        <f>YEAR(B781)</f>
        <v>2023</v>
      </c>
      <c r="M781" s="18">
        <f>ROUNDUP(MONTH(B781)/3,0)</f>
        <v>1</v>
      </c>
      <c r="N781" s="20" t="str">
        <f>TEXT(B781,"dddd")</f>
        <v>Wednesday</v>
      </c>
      <c r="O781" s="20" t="str">
        <f>TEXT(B781,"mmmm")</f>
        <v>February</v>
      </c>
    </row>
    <row r="782" spans="1:15" x14ac:dyDescent="0.3">
      <c r="A782" s="18">
        <v>781</v>
      </c>
      <c r="B782" s="19">
        <v>45283</v>
      </c>
      <c r="C782" s="20" t="s">
        <v>789</v>
      </c>
      <c r="D782" s="20" t="s">
        <v>5</v>
      </c>
      <c r="E782" s="18">
        <v>35</v>
      </c>
      <c r="F782" s="18" t="str">
        <f t="shared" si="24"/>
        <v>Adult</v>
      </c>
      <c r="G782" s="20" t="s">
        <v>6</v>
      </c>
      <c r="H782" s="18">
        <v>1</v>
      </c>
      <c r="I782" s="18">
        <v>500</v>
      </c>
      <c r="J782" s="18">
        <v>500</v>
      </c>
      <c r="K782" s="21" t="str">
        <f t="shared" si="25"/>
        <v>Low</v>
      </c>
      <c r="L782" s="18">
        <f>YEAR(B782)</f>
        <v>2023</v>
      </c>
      <c r="M782" s="18">
        <f>ROUNDUP(MONTH(B782)/3,0)</f>
        <v>4</v>
      </c>
      <c r="N782" s="20" t="str">
        <f>TEXT(B782,"dddd")</f>
        <v>Saturday</v>
      </c>
      <c r="O782" s="20" t="str">
        <f>TEXT(B782,"mmmm")</f>
        <v>December</v>
      </c>
    </row>
    <row r="783" spans="1:15" x14ac:dyDescent="0.3">
      <c r="A783" s="18">
        <v>782</v>
      </c>
      <c r="B783" s="19">
        <v>45081</v>
      </c>
      <c r="C783" s="20" t="s">
        <v>790</v>
      </c>
      <c r="D783" s="20" t="s">
        <v>5</v>
      </c>
      <c r="E783" s="18">
        <v>59</v>
      </c>
      <c r="F783" s="18" t="str">
        <f t="shared" si="24"/>
        <v>Adult</v>
      </c>
      <c r="G783" s="20" t="s">
        <v>9</v>
      </c>
      <c r="H783" s="18">
        <v>3</v>
      </c>
      <c r="I783" s="18">
        <v>300</v>
      </c>
      <c r="J783" s="18">
        <v>900</v>
      </c>
      <c r="K783" s="21" t="str">
        <f t="shared" si="25"/>
        <v>Medium</v>
      </c>
      <c r="L783" s="18">
        <f>YEAR(B783)</f>
        <v>2023</v>
      </c>
      <c r="M783" s="18">
        <f>ROUNDUP(MONTH(B783)/3,0)</f>
        <v>2</v>
      </c>
      <c r="N783" s="20" t="str">
        <f>TEXT(B783,"dddd")</f>
        <v>Sunday</v>
      </c>
      <c r="O783" s="20" t="str">
        <f>TEXT(B783,"mmmm")</f>
        <v>June</v>
      </c>
    </row>
    <row r="784" spans="1:15" x14ac:dyDescent="0.3">
      <c r="A784" s="18">
        <v>783</v>
      </c>
      <c r="B784" s="19">
        <v>45277</v>
      </c>
      <c r="C784" s="20" t="s">
        <v>791</v>
      </c>
      <c r="D784" s="20" t="s">
        <v>8</v>
      </c>
      <c r="E784" s="18">
        <v>56</v>
      </c>
      <c r="F784" s="18" t="str">
        <f t="shared" si="24"/>
        <v>Adult</v>
      </c>
      <c r="G784" s="20" t="s">
        <v>9</v>
      </c>
      <c r="H784" s="18">
        <v>1</v>
      </c>
      <c r="I784" s="18">
        <v>300</v>
      </c>
      <c r="J784" s="18">
        <v>300</v>
      </c>
      <c r="K784" s="21" t="str">
        <f t="shared" si="25"/>
        <v>Low</v>
      </c>
      <c r="L784" s="18">
        <f>YEAR(B784)</f>
        <v>2023</v>
      </c>
      <c r="M784" s="18">
        <f>ROUNDUP(MONTH(B784)/3,0)</f>
        <v>4</v>
      </c>
      <c r="N784" s="20" t="str">
        <f>TEXT(B784,"dddd")</f>
        <v>Sunday</v>
      </c>
      <c r="O784" s="20" t="str">
        <f>TEXT(B784,"mmmm")</f>
        <v>December</v>
      </c>
    </row>
    <row r="785" spans="1:15" x14ac:dyDescent="0.3">
      <c r="A785" s="18">
        <v>784</v>
      </c>
      <c r="B785" s="19">
        <v>45234</v>
      </c>
      <c r="C785" s="20" t="s">
        <v>792</v>
      </c>
      <c r="D785" s="20" t="s">
        <v>8</v>
      </c>
      <c r="E785" s="18">
        <v>34</v>
      </c>
      <c r="F785" s="18" t="str">
        <f t="shared" si="24"/>
        <v>Adult</v>
      </c>
      <c r="G785" s="20" t="s">
        <v>11</v>
      </c>
      <c r="H785" s="18">
        <v>1</v>
      </c>
      <c r="I785" s="18">
        <v>500</v>
      </c>
      <c r="J785" s="18">
        <v>500</v>
      </c>
      <c r="K785" s="21" t="str">
        <f t="shared" si="25"/>
        <v>Low</v>
      </c>
      <c r="L785" s="18">
        <f>YEAR(B785)</f>
        <v>2023</v>
      </c>
      <c r="M785" s="18">
        <f>ROUNDUP(MONTH(B785)/3,0)</f>
        <v>4</v>
      </c>
      <c r="N785" s="20" t="str">
        <f>TEXT(B785,"dddd")</f>
        <v>Saturday</v>
      </c>
      <c r="O785" s="20" t="str">
        <f>TEXT(B785,"mmmm")</f>
        <v>November</v>
      </c>
    </row>
    <row r="786" spans="1:15" x14ac:dyDescent="0.3">
      <c r="A786" s="18">
        <v>785</v>
      </c>
      <c r="B786" s="19">
        <v>44988</v>
      </c>
      <c r="C786" s="20" t="s">
        <v>793</v>
      </c>
      <c r="D786" s="20" t="s">
        <v>8</v>
      </c>
      <c r="E786" s="18">
        <v>31</v>
      </c>
      <c r="F786" s="18" t="str">
        <f t="shared" si="24"/>
        <v>Adult</v>
      </c>
      <c r="G786" s="20" t="s">
        <v>6</v>
      </c>
      <c r="H786" s="18">
        <v>4</v>
      </c>
      <c r="I786" s="18">
        <v>50</v>
      </c>
      <c r="J786" s="18">
        <v>200</v>
      </c>
      <c r="K786" s="21" t="str">
        <f t="shared" si="25"/>
        <v>Low</v>
      </c>
      <c r="L786" s="18">
        <f>YEAR(B786)</f>
        <v>2023</v>
      </c>
      <c r="M786" s="18">
        <f>ROUNDUP(MONTH(B786)/3,0)</f>
        <v>1</v>
      </c>
      <c r="N786" s="20" t="str">
        <f>TEXT(B786,"dddd")</f>
        <v>Friday</v>
      </c>
      <c r="O786" s="20" t="str">
        <f>TEXT(B786,"mmmm")</f>
        <v>March</v>
      </c>
    </row>
    <row r="787" spans="1:15" x14ac:dyDescent="0.3">
      <c r="A787" s="18">
        <v>786</v>
      </c>
      <c r="B787" s="19">
        <v>45216</v>
      </c>
      <c r="C787" s="20" t="s">
        <v>794</v>
      </c>
      <c r="D787" s="20" t="s">
        <v>5</v>
      </c>
      <c r="E787" s="18">
        <v>48</v>
      </c>
      <c r="F787" s="18" t="str">
        <f t="shared" si="24"/>
        <v>Adult</v>
      </c>
      <c r="G787" s="20" t="s">
        <v>9</v>
      </c>
      <c r="H787" s="18">
        <v>4</v>
      </c>
      <c r="I787" s="18">
        <v>25</v>
      </c>
      <c r="J787" s="18">
        <v>100</v>
      </c>
      <c r="K787" s="21" t="str">
        <f t="shared" si="25"/>
        <v>Low</v>
      </c>
      <c r="L787" s="18">
        <f>YEAR(B787)</f>
        <v>2023</v>
      </c>
      <c r="M787" s="18">
        <f>ROUNDUP(MONTH(B787)/3,0)</f>
        <v>4</v>
      </c>
      <c r="N787" s="20" t="str">
        <f>TEXT(B787,"dddd")</f>
        <v>Tuesday</v>
      </c>
      <c r="O787" s="20" t="str">
        <f>TEXT(B787,"mmmm")</f>
        <v>October</v>
      </c>
    </row>
    <row r="788" spans="1:15" x14ac:dyDescent="0.3">
      <c r="A788" s="18">
        <v>787</v>
      </c>
      <c r="B788" s="19">
        <v>44948</v>
      </c>
      <c r="C788" s="20" t="s">
        <v>795</v>
      </c>
      <c r="D788" s="20" t="s">
        <v>5</v>
      </c>
      <c r="E788" s="18">
        <v>41</v>
      </c>
      <c r="F788" s="18" t="str">
        <f t="shared" si="24"/>
        <v>Adult</v>
      </c>
      <c r="G788" s="20" t="s">
        <v>11</v>
      </c>
      <c r="H788" s="18">
        <v>1</v>
      </c>
      <c r="I788" s="18">
        <v>25</v>
      </c>
      <c r="J788" s="18">
        <v>25</v>
      </c>
      <c r="K788" s="21" t="str">
        <f t="shared" si="25"/>
        <v>Low</v>
      </c>
      <c r="L788" s="18">
        <f>YEAR(B788)</f>
        <v>2023</v>
      </c>
      <c r="M788" s="18">
        <f>ROUNDUP(MONTH(B788)/3,0)</f>
        <v>1</v>
      </c>
      <c r="N788" s="20" t="str">
        <f>TEXT(B788,"dddd")</f>
        <v>Sunday</v>
      </c>
      <c r="O788" s="20" t="str">
        <f>TEXT(B788,"mmmm")</f>
        <v>January</v>
      </c>
    </row>
    <row r="789" spans="1:15" x14ac:dyDescent="0.3">
      <c r="A789" s="18">
        <v>788</v>
      </c>
      <c r="B789" s="19">
        <v>45104</v>
      </c>
      <c r="C789" s="20" t="s">
        <v>796</v>
      </c>
      <c r="D789" s="20" t="s">
        <v>8</v>
      </c>
      <c r="E789" s="18">
        <v>52</v>
      </c>
      <c r="F789" s="18" t="str">
        <f t="shared" si="24"/>
        <v>Adult</v>
      </c>
      <c r="G789" s="20" t="s">
        <v>6</v>
      </c>
      <c r="H789" s="18">
        <v>3</v>
      </c>
      <c r="I789" s="18">
        <v>300</v>
      </c>
      <c r="J789" s="18">
        <v>900</v>
      </c>
      <c r="K789" s="21" t="str">
        <f t="shared" si="25"/>
        <v>Medium</v>
      </c>
      <c r="L789" s="18">
        <f>YEAR(B789)</f>
        <v>2023</v>
      </c>
      <c r="M789" s="18">
        <f>ROUNDUP(MONTH(B789)/3,0)</f>
        <v>2</v>
      </c>
      <c r="N789" s="20" t="str">
        <f>TEXT(B789,"dddd")</f>
        <v>Tuesday</v>
      </c>
      <c r="O789" s="20" t="str">
        <f>TEXT(B789,"mmmm")</f>
        <v>June</v>
      </c>
    </row>
    <row r="790" spans="1:15" x14ac:dyDescent="0.3">
      <c r="A790" s="18">
        <v>789</v>
      </c>
      <c r="B790" s="19">
        <v>45199</v>
      </c>
      <c r="C790" s="20" t="s">
        <v>797</v>
      </c>
      <c r="D790" s="20" t="s">
        <v>8</v>
      </c>
      <c r="E790" s="18">
        <v>61</v>
      </c>
      <c r="F790" s="18" t="str">
        <f t="shared" si="24"/>
        <v>Senior</v>
      </c>
      <c r="G790" s="20" t="s">
        <v>9</v>
      </c>
      <c r="H790" s="18">
        <v>4</v>
      </c>
      <c r="I790" s="18">
        <v>500</v>
      </c>
      <c r="J790" s="18">
        <v>2000</v>
      </c>
      <c r="K790" s="21" t="str">
        <f t="shared" si="25"/>
        <v>High</v>
      </c>
      <c r="L790" s="18">
        <f>YEAR(B790)</f>
        <v>2023</v>
      </c>
      <c r="M790" s="18">
        <f>ROUNDUP(MONTH(B790)/3,0)</f>
        <v>3</v>
      </c>
      <c r="N790" s="20" t="str">
        <f>TEXT(B790,"dddd")</f>
        <v>Saturday</v>
      </c>
      <c r="O790" s="20" t="str">
        <f>TEXT(B790,"mmmm")</f>
        <v>September</v>
      </c>
    </row>
    <row r="791" spans="1:15" x14ac:dyDescent="0.3">
      <c r="A791" s="18">
        <v>790</v>
      </c>
      <c r="B791" s="19">
        <v>45146</v>
      </c>
      <c r="C791" s="20" t="s">
        <v>798</v>
      </c>
      <c r="D791" s="20" t="s">
        <v>5</v>
      </c>
      <c r="E791" s="18">
        <v>62</v>
      </c>
      <c r="F791" s="18" t="str">
        <f t="shared" si="24"/>
        <v>Senior</v>
      </c>
      <c r="G791" s="20" t="s">
        <v>9</v>
      </c>
      <c r="H791" s="18">
        <v>1</v>
      </c>
      <c r="I791" s="18">
        <v>25</v>
      </c>
      <c r="J791" s="18">
        <v>25</v>
      </c>
      <c r="K791" s="21" t="str">
        <f t="shared" si="25"/>
        <v>Low</v>
      </c>
      <c r="L791" s="18">
        <f>YEAR(B791)</f>
        <v>2023</v>
      </c>
      <c r="M791" s="18">
        <f>ROUNDUP(MONTH(B791)/3,0)</f>
        <v>3</v>
      </c>
      <c r="N791" s="20" t="str">
        <f>TEXT(B791,"dddd")</f>
        <v>Tuesday</v>
      </c>
      <c r="O791" s="20" t="str">
        <f>TEXT(B791,"mmmm")</f>
        <v>August</v>
      </c>
    </row>
    <row r="792" spans="1:15" x14ac:dyDescent="0.3">
      <c r="A792" s="18">
        <v>791</v>
      </c>
      <c r="B792" s="19">
        <v>45265</v>
      </c>
      <c r="C792" s="20" t="s">
        <v>799</v>
      </c>
      <c r="D792" s="20" t="s">
        <v>8</v>
      </c>
      <c r="E792" s="18">
        <v>51</v>
      </c>
      <c r="F792" s="18" t="str">
        <f t="shared" si="24"/>
        <v>Adult</v>
      </c>
      <c r="G792" s="20" t="s">
        <v>6</v>
      </c>
      <c r="H792" s="18">
        <v>1</v>
      </c>
      <c r="I792" s="18">
        <v>25</v>
      </c>
      <c r="J792" s="18">
        <v>25</v>
      </c>
      <c r="K792" s="21" t="str">
        <f t="shared" si="25"/>
        <v>Low</v>
      </c>
      <c r="L792" s="18">
        <f>YEAR(B792)</f>
        <v>2023</v>
      </c>
      <c r="M792" s="18">
        <f>ROUNDUP(MONTH(B792)/3,0)</f>
        <v>4</v>
      </c>
      <c r="N792" s="20" t="str">
        <f>TEXT(B792,"dddd")</f>
        <v>Tuesday</v>
      </c>
      <c r="O792" s="20" t="str">
        <f>TEXT(B792,"mmmm")</f>
        <v>December</v>
      </c>
    </row>
    <row r="793" spans="1:15" x14ac:dyDescent="0.3">
      <c r="A793" s="18">
        <v>792</v>
      </c>
      <c r="B793" s="19">
        <v>45116</v>
      </c>
      <c r="C793" s="20" t="s">
        <v>800</v>
      </c>
      <c r="D793" s="20" t="s">
        <v>8</v>
      </c>
      <c r="E793" s="18">
        <v>20</v>
      </c>
      <c r="F793" s="18" t="str">
        <f t="shared" si="24"/>
        <v>Young</v>
      </c>
      <c r="G793" s="20" t="s">
        <v>6</v>
      </c>
      <c r="H793" s="18">
        <v>1</v>
      </c>
      <c r="I793" s="18">
        <v>50</v>
      </c>
      <c r="J793" s="18">
        <v>50</v>
      </c>
      <c r="K793" s="21" t="str">
        <f t="shared" si="25"/>
        <v>Low</v>
      </c>
      <c r="L793" s="18">
        <f>YEAR(B793)</f>
        <v>2023</v>
      </c>
      <c r="M793" s="18">
        <f>ROUNDUP(MONTH(B793)/3,0)</f>
        <v>3</v>
      </c>
      <c r="N793" s="20" t="str">
        <f>TEXT(B793,"dddd")</f>
        <v>Sunday</v>
      </c>
      <c r="O793" s="20" t="str">
        <f>TEXT(B793,"mmmm")</f>
        <v>July</v>
      </c>
    </row>
    <row r="794" spans="1:15" x14ac:dyDescent="0.3">
      <c r="A794" s="18">
        <v>793</v>
      </c>
      <c r="B794" s="19">
        <v>44962</v>
      </c>
      <c r="C794" s="20" t="s">
        <v>801</v>
      </c>
      <c r="D794" s="20" t="s">
        <v>5</v>
      </c>
      <c r="E794" s="18">
        <v>54</v>
      </c>
      <c r="F794" s="18" t="str">
        <f t="shared" si="24"/>
        <v>Adult</v>
      </c>
      <c r="G794" s="20" t="s">
        <v>6</v>
      </c>
      <c r="H794" s="18">
        <v>1</v>
      </c>
      <c r="I794" s="18">
        <v>30</v>
      </c>
      <c r="J794" s="18">
        <v>30</v>
      </c>
      <c r="K794" s="21" t="str">
        <f t="shared" si="25"/>
        <v>Low</v>
      </c>
      <c r="L794" s="18">
        <f>YEAR(B794)</f>
        <v>2023</v>
      </c>
      <c r="M794" s="18">
        <f>ROUNDUP(MONTH(B794)/3,0)</f>
        <v>1</v>
      </c>
      <c r="N794" s="20" t="str">
        <f>TEXT(B794,"dddd")</f>
        <v>Sunday</v>
      </c>
      <c r="O794" s="20" t="str">
        <f>TEXT(B794,"mmmm")</f>
        <v>February</v>
      </c>
    </row>
    <row r="795" spans="1:15" x14ac:dyDescent="0.3">
      <c r="A795" s="18">
        <v>794</v>
      </c>
      <c r="B795" s="19">
        <v>45186</v>
      </c>
      <c r="C795" s="20" t="s">
        <v>802</v>
      </c>
      <c r="D795" s="20" t="s">
        <v>8</v>
      </c>
      <c r="E795" s="18">
        <v>60</v>
      </c>
      <c r="F795" s="18" t="str">
        <f t="shared" si="24"/>
        <v>Adult</v>
      </c>
      <c r="G795" s="20" t="s">
        <v>6</v>
      </c>
      <c r="H795" s="18">
        <v>1</v>
      </c>
      <c r="I795" s="18">
        <v>300</v>
      </c>
      <c r="J795" s="18">
        <v>300</v>
      </c>
      <c r="K795" s="21" t="str">
        <f t="shared" si="25"/>
        <v>Low</v>
      </c>
      <c r="L795" s="18">
        <f>YEAR(B795)</f>
        <v>2023</v>
      </c>
      <c r="M795" s="18">
        <f>ROUNDUP(MONTH(B795)/3,0)</f>
        <v>3</v>
      </c>
      <c r="N795" s="20" t="str">
        <f>TEXT(B795,"dddd")</f>
        <v>Sunday</v>
      </c>
      <c r="O795" s="20" t="str">
        <f>TEXT(B795,"mmmm")</f>
        <v>September</v>
      </c>
    </row>
    <row r="796" spans="1:15" x14ac:dyDescent="0.3">
      <c r="A796" s="18">
        <v>795</v>
      </c>
      <c r="B796" s="19">
        <v>45258</v>
      </c>
      <c r="C796" s="20" t="s">
        <v>803</v>
      </c>
      <c r="D796" s="20" t="s">
        <v>5</v>
      </c>
      <c r="E796" s="18">
        <v>57</v>
      </c>
      <c r="F796" s="18" t="str">
        <f t="shared" si="24"/>
        <v>Adult</v>
      </c>
      <c r="G796" s="20" t="s">
        <v>11</v>
      </c>
      <c r="H796" s="18">
        <v>1</v>
      </c>
      <c r="I796" s="18">
        <v>300</v>
      </c>
      <c r="J796" s="18">
        <v>300</v>
      </c>
      <c r="K796" s="21" t="str">
        <f t="shared" si="25"/>
        <v>Low</v>
      </c>
      <c r="L796" s="18">
        <f>YEAR(B796)</f>
        <v>2023</v>
      </c>
      <c r="M796" s="18">
        <f>ROUNDUP(MONTH(B796)/3,0)</f>
        <v>4</v>
      </c>
      <c r="N796" s="20" t="str">
        <f>TEXT(B796,"dddd")</f>
        <v>Tuesday</v>
      </c>
      <c r="O796" s="20" t="str">
        <f>TEXT(B796,"mmmm")</f>
        <v>November</v>
      </c>
    </row>
    <row r="797" spans="1:15" x14ac:dyDescent="0.3">
      <c r="A797" s="18">
        <v>796</v>
      </c>
      <c r="B797" s="19">
        <v>45101</v>
      </c>
      <c r="C797" s="20" t="s">
        <v>804</v>
      </c>
      <c r="D797" s="20" t="s">
        <v>5</v>
      </c>
      <c r="E797" s="18">
        <v>43</v>
      </c>
      <c r="F797" s="18" t="str">
        <f t="shared" si="24"/>
        <v>Adult</v>
      </c>
      <c r="G797" s="20" t="s">
        <v>6</v>
      </c>
      <c r="H797" s="18">
        <v>4</v>
      </c>
      <c r="I797" s="18">
        <v>30</v>
      </c>
      <c r="J797" s="18">
        <v>120</v>
      </c>
      <c r="K797" s="21" t="str">
        <f t="shared" si="25"/>
        <v>Low</v>
      </c>
      <c r="L797" s="18">
        <f>YEAR(B797)</f>
        <v>2023</v>
      </c>
      <c r="M797" s="18">
        <f>ROUNDUP(MONTH(B797)/3,0)</f>
        <v>2</v>
      </c>
      <c r="N797" s="20" t="str">
        <f>TEXT(B797,"dddd")</f>
        <v>Saturday</v>
      </c>
      <c r="O797" s="20" t="str">
        <f>TEXT(B797,"mmmm")</f>
        <v>June</v>
      </c>
    </row>
    <row r="798" spans="1:15" x14ac:dyDescent="0.3">
      <c r="A798" s="18">
        <v>797</v>
      </c>
      <c r="B798" s="19">
        <v>44933</v>
      </c>
      <c r="C798" s="20" t="s">
        <v>805</v>
      </c>
      <c r="D798" s="20" t="s">
        <v>5</v>
      </c>
      <c r="E798" s="18">
        <v>40</v>
      </c>
      <c r="F798" s="18" t="str">
        <f t="shared" si="24"/>
        <v>Adult</v>
      </c>
      <c r="G798" s="20" t="s">
        <v>9</v>
      </c>
      <c r="H798" s="18">
        <v>3</v>
      </c>
      <c r="I798" s="18">
        <v>25</v>
      </c>
      <c r="J798" s="18">
        <v>75</v>
      </c>
      <c r="K798" s="21" t="str">
        <f t="shared" si="25"/>
        <v>Low</v>
      </c>
      <c r="L798" s="18">
        <f>YEAR(B798)</f>
        <v>2023</v>
      </c>
      <c r="M798" s="18">
        <f>ROUNDUP(MONTH(B798)/3,0)</f>
        <v>1</v>
      </c>
      <c r="N798" s="20" t="str">
        <f>TEXT(B798,"dddd")</f>
        <v>Saturday</v>
      </c>
      <c r="O798" s="20" t="str">
        <f>TEXT(B798,"mmmm")</f>
        <v>January</v>
      </c>
    </row>
    <row r="799" spans="1:15" x14ac:dyDescent="0.3">
      <c r="A799" s="18">
        <v>798</v>
      </c>
      <c r="B799" s="19">
        <v>45142</v>
      </c>
      <c r="C799" s="20" t="s">
        <v>806</v>
      </c>
      <c r="D799" s="20" t="s">
        <v>5</v>
      </c>
      <c r="E799" s="18">
        <v>61</v>
      </c>
      <c r="F799" s="18" t="str">
        <f t="shared" si="24"/>
        <v>Senior</v>
      </c>
      <c r="G799" s="20" t="s">
        <v>9</v>
      </c>
      <c r="H799" s="18">
        <v>1</v>
      </c>
      <c r="I799" s="18">
        <v>50</v>
      </c>
      <c r="J799" s="18">
        <v>50</v>
      </c>
      <c r="K799" s="21" t="str">
        <f t="shared" si="25"/>
        <v>Low</v>
      </c>
      <c r="L799" s="18">
        <f>YEAR(B799)</f>
        <v>2023</v>
      </c>
      <c r="M799" s="18">
        <f>ROUNDUP(MONTH(B799)/3,0)</f>
        <v>3</v>
      </c>
      <c r="N799" s="20" t="str">
        <f>TEXT(B799,"dddd")</f>
        <v>Friday</v>
      </c>
      <c r="O799" s="20" t="str">
        <f>TEXT(B799,"mmmm")</f>
        <v>August</v>
      </c>
    </row>
    <row r="800" spans="1:15" x14ac:dyDescent="0.3">
      <c r="A800" s="18">
        <v>799</v>
      </c>
      <c r="B800" s="19">
        <v>45177</v>
      </c>
      <c r="C800" s="20" t="s">
        <v>807</v>
      </c>
      <c r="D800" s="20" t="s">
        <v>5</v>
      </c>
      <c r="E800" s="18">
        <v>56</v>
      </c>
      <c r="F800" s="18" t="str">
        <f t="shared" si="24"/>
        <v>Adult</v>
      </c>
      <c r="G800" s="20" t="s">
        <v>11</v>
      </c>
      <c r="H800" s="18">
        <v>2</v>
      </c>
      <c r="I800" s="18">
        <v>50</v>
      </c>
      <c r="J800" s="18">
        <v>100</v>
      </c>
      <c r="K800" s="21" t="str">
        <f t="shared" si="25"/>
        <v>Low</v>
      </c>
      <c r="L800" s="18">
        <f>YEAR(B800)</f>
        <v>2023</v>
      </c>
      <c r="M800" s="18">
        <f>ROUNDUP(MONTH(B800)/3,0)</f>
        <v>3</v>
      </c>
      <c r="N800" s="20" t="str">
        <f>TEXT(B800,"dddd")</f>
        <v>Friday</v>
      </c>
      <c r="O800" s="20" t="str">
        <f>TEXT(B800,"mmmm")</f>
        <v>September</v>
      </c>
    </row>
    <row r="801" spans="1:15" x14ac:dyDescent="0.3">
      <c r="A801" s="18">
        <v>800</v>
      </c>
      <c r="B801" s="19">
        <v>44981</v>
      </c>
      <c r="C801" s="20" t="s">
        <v>808</v>
      </c>
      <c r="D801" s="20" t="s">
        <v>5</v>
      </c>
      <c r="E801" s="18">
        <v>32</v>
      </c>
      <c r="F801" s="18" t="str">
        <f t="shared" si="24"/>
        <v>Adult</v>
      </c>
      <c r="G801" s="20" t="s">
        <v>9</v>
      </c>
      <c r="H801" s="18">
        <v>4</v>
      </c>
      <c r="I801" s="18">
        <v>300</v>
      </c>
      <c r="J801" s="18">
        <v>1200</v>
      </c>
      <c r="K801" s="21" t="str">
        <f t="shared" si="25"/>
        <v>Medium</v>
      </c>
      <c r="L801" s="18">
        <f>YEAR(B801)</f>
        <v>2023</v>
      </c>
      <c r="M801" s="18">
        <f>ROUNDUP(MONTH(B801)/3,0)</f>
        <v>1</v>
      </c>
      <c r="N801" s="20" t="str">
        <f>TEXT(B801,"dddd")</f>
        <v>Friday</v>
      </c>
      <c r="O801" s="20" t="str">
        <f>TEXT(B801,"mmmm")</f>
        <v>February</v>
      </c>
    </row>
    <row r="802" spans="1:15" x14ac:dyDescent="0.3">
      <c r="A802" s="18">
        <v>801</v>
      </c>
      <c r="B802" s="19">
        <v>45148</v>
      </c>
      <c r="C802" s="20" t="s">
        <v>809</v>
      </c>
      <c r="D802" s="20" t="s">
        <v>5</v>
      </c>
      <c r="E802" s="18">
        <v>21</v>
      </c>
      <c r="F802" s="18" t="str">
        <f t="shared" si="24"/>
        <v>Young</v>
      </c>
      <c r="G802" s="20" t="s">
        <v>9</v>
      </c>
      <c r="H802" s="18">
        <v>4</v>
      </c>
      <c r="I802" s="18">
        <v>50</v>
      </c>
      <c r="J802" s="18">
        <v>200</v>
      </c>
      <c r="K802" s="21" t="str">
        <f t="shared" si="25"/>
        <v>Low</v>
      </c>
      <c r="L802" s="18">
        <f>YEAR(B802)</f>
        <v>2023</v>
      </c>
      <c r="M802" s="18">
        <f>ROUNDUP(MONTH(B802)/3,0)</f>
        <v>3</v>
      </c>
      <c r="N802" s="20" t="str">
        <f>TEXT(B802,"dddd")</f>
        <v>Thursday</v>
      </c>
      <c r="O802" s="20" t="str">
        <f>TEXT(B802,"mmmm")</f>
        <v>August</v>
      </c>
    </row>
    <row r="803" spans="1:15" x14ac:dyDescent="0.3">
      <c r="A803" s="18">
        <v>802</v>
      </c>
      <c r="B803" s="19">
        <v>45112</v>
      </c>
      <c r="C803" s="20" t="s">
        <v>810</v>
      </c>
      <c r="D803" s="20" t="s">
        <v>8</v>
      </c>
      <c r="E803" s="18">
        <v>46</v>
      </c>
      <c r="F803" s="18" t="str">
        <f t="shared" si="24"/>
        <v>Adult</v>
      </c>
      <c r="G803" s="20" t="s">
        <v>6</v>
      </c>
      <c r="H803" s="18">
        <v>1</v>
      </c>
      <c r="I803" s="18">
        <v>30</v>
      </c>
      <c r="J803" s="18">
        <v>30</v>
      </c>
      <c r="K803" s="21" t="str">
        <f t="shared" si="25"/>
        <v>Low</v>
      </c>
      <c r="L803" s="18">
        <f>YEAR(B803)</f>
        <v>2023</v>
      </c>
      <c r="M803" s="18">
        <f>ROUNDUP(MONTH(B803)/3,0)</f>
        <v>3</v>
      </c>
      <c r="N803" s="20" t="str">
        <f>TEXT(B803,"dddd")</f>
        <v>Wednesday</v>
      </c>
      <c r="O803" s="20" t="str">
        <f>TEXT(B803,"mmmm")</f>
        <v>July</v>
      </c>
    </row>
    <row r="804" spans="1:15" x14ac:dyDescent="0.3">
      <c r="A804" s="18">
        <v>803</v>
      </c>
      <c r="B804" s="19">
        <v>45252</v>
      </c>
      <c r="C804" s="20" t="s">
        <v>811</v>
      </c>
      <c r="D804" s="20" t="s">
        <v>5</v>
      </c>
      <c r="E804" s="18">
        <v>39</v>
      </c>
      <c r="F804" s="18" t="str">
        <f t="shared" si="24"/>
        <v>Adult</v>
      </c>
      <c r="G804" s="20" t="s">
        <v>9</v>
      </c>
      <c r="H804" s="18">
        <v>4</v>
      </c>
      <c r="I804" s="18">
        <v>25</v>
      </c>
      <c r="J804" s="18">
        <v>100</v>
      </c>
      <c r="K804" s="21" t="str">
        <f t="shared" si="25"/>
        <v>Low</v>
      </c>
      <c r="L804" s="18">
        <f>YEAR(B804)</f>
        <v>2023</v>
      </c>
      <c r="M804" s="18">
        <f>ROUNDUP(MONTH(B804)/3,0)</f>
        <v>4</v>
      </c>
      <c r="N804" s="20" t="str">
        <f>TEXT(B804,"dddd")</f>
        <v>Wednesday</v>
      </c>
      <c r="O804" s="20" t="str">
        <f>TEXT(B804,"mmmm")</f>
        <v>November</v>
      </c>
    </row>
    <row r="805" spans="1:15" x14ac:dyDescent="0.3">
      <c r="A805" s="18">
        <v>804</v>
      </c>
      <c r="B805" s="19">
        <v>45162</v>
      </c>
      <c r="C805" s="20" t="s">
        <v>812</v>
      </c>
      <c r="D805" s="20" t="s">
        <v>5</v>
      </c>
      <c r="E805" s="18">
        <v>42</v>
      </c>
      <c r="F805" s="18" t="str">
        <f t="shared" si="24"/>
        <v>Adult</v>
      </c>
      <c r="G805" s="20" t="s">
        <v>11</v>
      </c>
      <c r="H805" s="18">
        <v>1</v>
      </c>
      <c r="I805" s="18">
        <v>30</v>
      </c>
      <c r="J805" s="18">
        <v>30</v>
      </c>
      <c r="K805" s="21" t="str">
        <f t="shared" si="25"/>
        <v>Low</v>
      </c>
      <c r="L805" s="18">
        <f>YEAR(B805)</f>
        <v>2023</v>
      </c>
      <c r="M805" s="18">
        <f>ROUNDUP(MONTH(B805)/3,0)</f>
        <v>3</v>
      </c>
      <c r="N805" s="20" t="str">
        <f>TEXT(B805,"dddd")</f>
        <v>Thursday</v>
      </c>
      <c r="O805" s="20" t="str">
        <f>TEXT(B805,"mmmm")</f>
        <v>August</v>
      </c>
    </row>
    <row r="806" spans="1:15" x14ac:dyDescent="0.3">
      <c r="A806" s="18">
        <v>805</v>
      </c>
      <c r="B806" s="19">
        <v>45289</v>
      </c>
      <c r="C806" s="20" t="s">
        <v>813</v>
      </c>
      <c r="D806" s="20" t="s">
        <v>8</v>
      </c>
      <c r="E806" s="18">
        <v>30</v>
      </c>
      <c r="F806" s="18" t="str">
        <f t="shared" si="24"/>
        <v>Young</v>
      </c>
      <c r="G806" s="20" t="s">
        <v>6</v>
      </c>
      <c r="H806" s="18">
        <v>3</v>
      </c>
      <c r="I806" s="18">
        <v>500</v>
      </c>
      <c r="J806" s="18">
        <v>1500</v>
      </c>
      <c r="K806" s="21" t="str">
        <f t="shared" si="25"/>
        <v>Medium</v>
      </c>
      <c r="L806" s="18">
        <f>YEAR(B806)</f>
        <v>2023</v>
      </c>
      <c r="M806" s="18">
        <f>ROUNDUP(MONTH(B806)/3,0)</f>
        <v>4</v>
      </c>
      <c r="N806" s="20" t="str">
        <f>TEXT(B806,"dddd")</f>
        <v>Friday</v>
      </c>
      <c r="O806" s="20" t="str">
        <f>TEXT(B806,"mmmm")</f>
        <v>December</v>
      </c>
    </row>
    <row r="807" spans="1:15" x14ac:dyDescent="0.3">
      <c r="A807" s="18">
        <v>806</v>
      </c>
      <c r="B807" s="19">
        <v>45005</v>
      </c>
      <c r="C807" s="20" t="s">
        <v>814</v>
      </c>
      <c r="D807" s="20" t="s">
        <v>8</v>
      </c>
      <c r="E807" s="18">
        <v>35</v>
      </c>
      <c r="F807" s="18" t="str">
        <f t="shared" si="24"/>
        <v>Adult</v>
      </c>
      <c r="G807" s="20" t="s">
        <v>6</v>
      </c>
      <c r="H807" s="18">
        <v>3</v>
      </c>
      <c r="I807" s="18">
        <v>300</v>
      </c>
      <c r="J807" s="18">
        <v>900</v>
      </c>
      <c r="K807" s="21" t="str">
        <f t="shared" si="25"/>
        <v>Medium</v>
      </c>
      <c r="L807" s="18">
        <f>YEAR(B807)</f>
        <v>2023</v>
      </c>
      <c r="M807" s="18">
        <f>ROUNDUP(MONTH(B807)/3,0)</f>
        <v>1</v>
      </c>
      <c r="N807" s="20" t="str">
        <f>TEXT(B807,"dddd")</f>
        <v>Monday</v>
      </c>
      <c r="O807" s="20" t="str">
        <f>TEXT(B807,"mmmm")</f>
        <v>March</v>
      </c>
    </row>
    <row r="808" spans="1:15" x14ac:dyDescent="0.3">
      <c r="A808" s="18">
        <v>807</v>
      </c>
      <c r="B808" s="19">
        <v>45149</v>
      </c>
      <c r="C808" s="20" t="s">
        <v>815</v>
      </c>
      <c r="D808" s="20" t="s">
        <v>8</v>
      </c>
      <c r="E808" s="18">
        <v>50</v>
      </c>
      <c r="F808" s="18" t="str">
        <f t="shared" si="24"/>
        <v>Adult</v>
      </c>
      <c r="G808" s="20" t="s">
        <v>11</v>
      </c>
      <c r="H808" s="18">
        <v>4</v>
      </c>
      <c r="I808" s="18">
        <v>50</v>
      </c>
      <c r="J808" s="18">
        <v>200</v>
      </c>
      <c r="K808" s="21" t="str">
        <f t="shared" si="25"/>
        <v>Low</v>
      </c>
      <c r="L808" s="18">
        <f>YEAR(B808)</f>
        <v>2023</v>
      </c>
      <c r="M808" s="18">
        <f>ROUNDUP(MONTH(B808)/3,0)</f>
        <v>3</v>
      </c>
      <c r="N808" s="20" t="str">
        <f>TEXT(B808,"dddd")</f>
        <v>Friday</v>
      </c>
      <c r="O808" s="20" t="str">
        <f>TEXT(B808,"mmmm")</f>
        <v>August</v>
      </c>
    </row>
    <row r="809" spans="1:15" x14ac:dyDescent="0.3">
      <c r="A809" s="18">
        <v>808</v>
      </c>
      <c r="B809" s="19">
        <v>45017</v>
      </c>
      <c r="C809" s="20" t="s">
        <v>816</v>
      </c>
      <c r="D809" s="20" t="s">
        <v>5</v>
      </c>
      <c r="E809" s="18">
        <v>33</v>
      </c>
      <c r="F809" s="18" t="str">
        <f t="shared" si="24"/>
        <v>Adult</v>
      </c>
      <c r="G809" s="20" t="s">
        <v>6</v>
      </c>
      <c r="H809" s="18">
        <v>4</v>
      </c>
      <c r="I809" s="18">
        <v>500</v>
      </c>
      <c r="J809" s="18">
        <v>2000</v>
      </c>
      <c r="K809" s="21" t="str">
        <f t="shared" si="25"/>
        <v>High</v>
      </c>
      <c r="L809" s="18">
        <f>YEAR(B809)</f>
        <v>2023</v>
      </c>
      <c r="M809" s="18">
        <f>ROUNDUP(MONTH(B809)/3,0)</f>
        <v>2</v>
      </c>
      <c r="N809" s="20" t="str">
        <f>TEXT(B809,"dddd")</f>
        <v>Saturday</v>
      </c>
      <c r="O809" s="20" t="str">
        <f>TEXT(B809,"mmmm")</f>
        <v>April</v>
      </c>
    </row>
    <row r="810" spans="1:15" x14ac:dyDescent="0.3">
      <c r="A810" s="18">
        <v>809</v>
      </c>
      <c r="B810" s="19">
        <v>45194</v>
      </c>
      <c r="C810" s="20" t="s">
        <v>817</v>
      </c>
      <c r="D810" s="20" t="s">
        <v>8</v>
      </c>
      <c r="E810" s="18">
        <v>62</v>
      </c>
      <c r="F810" s="18" t="str">
        <f t="shared" si="24"/>
        <v>Senior</v>
      </c>
      <c r="G810" s="20" t="s">
        <v>6</v>
      </c>
      <c r="H810" s="18">
        <v>2</v>
      </c>
      <c r="I810" s="18">
        <v>50</v>
      </c>
      <c r="J810" s="18">
        <v>100</v>
      </c>
      <c r="K810" s="21" t="str">
        <f t="shared" si="25"/>
        <v>Low</v>
      </c>
      <c r="L810" s="18">
        <f>YEAR(B810)</f>
        <v>2023</v>
      </c>
      <c r="M810" s="18">
        <f>ROUNDUP(MONTH(B810)/3,0)</f>
        <v>3</v>
      </c>
      <c r="N810" s="20" t="str">
        <f>TEXT(B810,"dddd")</f>
        <v>Monday</v>
      </c>
      <c r="O810" s="20" t="str">
        <f>TEXT(B810,"mmmm")</f>
        <v>September</v>
      </c>
    </row>
    <row r="811" spans="1:15" x14ac:dyDescent="0.3">
      <c r="A811" s="18">
        <v>810</v>
      </c>
      <c r="B811" s="19">
        <v>45260</v>
      </c>
      <c r="C811" s="20" t="s">
        <v>818</v>
      </c>
      <c r="D811" s="20" t="s">
        <v>5</v>
      </c>
      <c r="E811" s="18">
        <v>59</v>
      </c>
      <c r="F811" s="18" t="str">
        <f t="shared" si="24"/>
        <v>Adult</v>
      </c>
      <c r="G811" s="20" t="s">
        <v>11</v>
      </c>
      <c r="H811" s="18">
        <v>4</v>
      </c>
      <c r="I811" s="18">
        <v>25</v>
      </c>
      <c r="J811" s="18">
        <v>100</v>
      </c>
      <c r="K811" s="21" t="str">
        <f t="shared" si="25"/>
        <v>Low</v>
      </c>
      <c r="L811" s="18">
        <f>YEAR(B811)</f>
        <v>2023</v>
      </c>
      <c r="M811" s="18">
        <f>ROUNDUP(MONTH(B811)/3,0)</f>
        <v>4</v>
      </c>
      <c r="N811" s="20" t="str">
        <f>TEXT(B811,"dddd")</f>
        <v>Thursday</v>
      </c>
      <c r="O811" s="20" t="str">
        <f>TEXT(B811,"mmmm")</f>
        <v>November</v>
      </c>
    </row>
    <row r="812" spans="1:15" x14ac:dyDescent="0.3">
      <c r="A812" s="18">
        <v>811</v>
      </c>
      <c r="B812" s="19">
        <v>45065</v>
      </c>
      <c r="C812" s="20" t="s">
        <v>819</v>
      </c>
      <c r="D812" s="20" t="s">
        <v>5</v>
      </c>
      <c r="E812" s="18">
        <v>61</v>
      </c>
      <c r="F812" s="18" t="str">
        <f t="shared" si="24"/>
        <v>Senior</v>
      </c>
      <c r="G812" s="20" t="s">
        <v>6</v>
      </c>
      <c r="H812" s="18">
        <v>2</v>
      </c>
      <c r="I812" s="18">
        <v>25</v>
      </c>
      <c r="J812" s="18">
        <v>50</v>
      </c>
      <c r="K812" s="21" t="str">
        <f t="shared" si="25"/>
        <v>Low</v>
      </c>
      <c r="L812" s="18">
        <f>YEAR(B812)</f>
        <v>2023</v>
      </c>
      <c r="M812" s="18">
        <f>ROUNDUP(MONTH(B812)/3,0)</f>
        <v>2</v>
      </c>
      <c r="N812" s="20" t="str">
        <f>TEXT(B812,"dddd")</f>
        <v>Friday</v>
      </c>
      <c r="O812" s="20" t="str">
        <f>TEXT(B812,"mmmm")</f>
        <v>May</v>
      </c>
    </row>
    <row r="813" spans="1:15" x14ac:dyDescent="0.3">
      <c r="A813" s="18">
        <v>812</v>
      </c>
      <c r="B813" s="19">
        <v>45242</v>
      </c>
      <c r="C813" s="20" t="s">
        <v>820</v>
      </c>
      <c r="D813" s="20" t="s">
        <v>5</v>
      </c>
      <c r="E813" s="18">
        <v>19</v>
      </c>
      <c r="F813" s="18" t="str">
        <f t="shared" si="24"/>
        <v>Young</v>
      </c>
      <c r="G813" s="20" t="s">
        <v>11</v>
      </c>
      <c r="H813" s="18">
        <v>3</v>
      </c>
      <c r="I813" s="18">
        <v>25</v>
      </c>
      <c r="J813" s="18">
        <v>75</v>
      </c>
      <c r="K813" s="21" t="str">
        <f t="shared" si="25"/>
        <v>Low</v>
      </c>
      <c r="L813" s="18">
        <f>YEAR(B813)</f>
        <v>2023</v>
      </c>
      <c r="M813" s="18">
        <f>ROUNDUP(MONTH(B813)/3,0)</f>
        <v>4</v>
      </c>
      <c r="N813" s="20" t="str">
        <f>TEXT(B813,"dddd")</f>
        <v>Sunday</v>
      </c>
      <c r="O813" s="20" t="str">
        <f>TEXT(B813,"mmmm")</f>
        <v>November</v>
      </c>
    </row>
    <row r="814" spans="1:15" x14ac:dyDescent="0.3">
      <c r="A814" s="18">
        <v>813</v>
      </c>
      <c r="B814" s="19">
        <v>45202</v>
      </c>
      <c r="C814" s="20" t="s">
        <v>821</v>
      </c>
      <c r="D814" s="20" t="s">
        <v>5</v>
      </c>
      <c r="E814" s="18">
        <v>52</v>
      </c>
      <c r="F814" s="18" t="str">
        <f t="shared" si="24"/>
        <v>Adult</v>
      </c>
      <c r="G814" s="20" t="s">
        <v>11</v>
      </c>
      <c r="H814" s="18">
        <v>3</v>
      </c>
      <c r="I814" s="18">
        <v>50</v>
      </c>
      <c r="J814" s="18">
        <v>150</v>
      </c>
      <c r="K814" s="21" t="str">
        <f t="shared" si="25"/>
        <v>Low</v>
      </c>
      <c r="L814" s="18">
        <f>YEAR(B814)</f>
        <v>2023</v>
      </c>
      <c r="M814" s="18">
        <f>ROUNDUP(MONTH(B814)/3,0)</f>
        <v>4</v>
      </c>
      <c r="N814" s="20" t="str">
        <f>TEXT(B814,"dddd")</f>
        <v>Tuesday</v>
      </c>
      <c r="O814" s="20" t="str">
        <f>TEXT(B814,"mmmm")</f>
        <v>October</v>
      </c>
    </row>
    <row r="815" spans="1:15" x14ac:dyDescent="0.3">
      <c r="A815" s="18">
        <v>814</v>
      </c>
      <c r="B815" s="19">
        <v>45174</v>
      </c>
      <c r="C815" s="20" t="s">
        <v>822</v>
      </c>
      <c r="D815" s="20" t="s">
        <v>8</v>
      </c>
      <c r="E815" s="18">
        <v>59</v>
      </c>
      <c r="F815" s="18" t="str">
        <f t="shared" si="24"/>
        <v>Adult</v>
      </c>
      <c r="G815" s="20" t="s">
        <v>9</v>
      </c>
      <c r="H815" s="18">
        <v>1</v>
      </c>
      <c r="I815" s="18">
        <v>500</v>
      </c>
      <c r="J815" s="18">
        <v>500</v>
      </c>
      <c r="K815" s="21" t="str">
        <f t="shared" si="25"/>
        <v>Low</v>
      </c>
      <c r="L815" s="18">
        <f>YEAR(B815)</f>
        <v>2023</v>
      </c>
      <c r="M815" s="18">
        <f>ROUNDUP(MONTH(B815)/3,0)</f>
        <v>3</v>
      </c>
      <c r="N815" s="20" t="str">
        <f>TEXT(B815,"dddd")</f>
        <v>Tuesday</v>
      </c>
      <c r="O815" s="20" t="str">
        <f>TEXT(B815,"mmmm")</f>
        <v>September</v>
      </c>
    </row>
    <row r="816" spans="1:15" x14ac:dyDescent="0.3">
      <c r="A816" s="18">
        <v>815</v>
      </c>
      <c r="B816" s="19">
        <v>45165</v>
      </c>
      <c r="C816" s="20" t="s">
        <v>823</v>
      </c>
      <c r="D816" s="20" t="s">
        <v>8</v>
      </c>
      <c r="E816" s="18">
        <v>51</v>
      </c>
      <c r="F816" s="18" t="str">
        <f t="shared" si="24"/>
        <v>Adult</v>
      </c>
      <c r="G816" s="20" t="s">
        <v>9</v>
      </c>
      <c r="H816" s="18">
        <v>3</v>
      </c>
      <c r="I816" s="18">
        <v>25</v>
      </c>
      <c r="J816" s="18">
        <v>75</v>
      </c>
      <c r="K816" s="21" t="str">
        <f t="shared" si="25"/>
        <v>Low</v>
      </c>
      <c r="L816" s="18">
        <f>YEAR(B816)</f>
        <v>2023</v>
      </c>
      <c r="M816" s="18">
        <f>ROUNDUP(MONTH(B816)/3,0)</f>
        <v>3</v>
      </c>
      <c r="N816" s="20" t="str">
        <f>TEXT(B816,"dddd")</f>
        <v>Sunday</v>
      </c>
      <c r="O816" s="20" t="str">
        <f>TEXT(B816,"mmmm")</f>
        <v>August</v>
      </c>
    </row>
    <row r="817" spans="1:15" x14ac:dyDescent="0.3">
      <c r="A817" s="18">
        <v>816</v>
      </c>
      <c r="B817" s="19">
        <v>45150</v>
      </c>
      <c r="C817" s="20" t="s">
        <v>824</v>
      </c>
      <c r="D817" s="20" t="s">
        <v>5</v>
      </c>
      <c r="E817" s="18">
        <v>47</v>
      </c>
      <c r="F817" s="18" t="str">
        <f t="shared" si="24"/>
        <v>Adult</v>
      </c>
      <c r="G817" s="20" t="s">
        <v>6</v>
      </c>
      <c r="H817" s="18">
        <v>2</v>
      </c>
      <c r="I817" s="18">
        <v>500</v>
      </c>
      <c r="J817" s="18">
        <v>1000</v>
      </c>
      <c r="K817" s="21" t="str">
        <f t="shared" si="25"/>
        <v>Medium</v>
      </c>
      <c r="L817" s="18">
        <f>YEAR(B817)</f>
        <v>2023</v>
      </c>
      <c r="M817" s="18">
        <f>ROUNDUP(MONTH(B817)/3,0)</f>
        <v>3</v>
      </c>
      <c r="N817" s="20" t="str">
        <f>TEXT(B817,"dddd")</f>
        <v>Saturday</v>
      </c>
      <c r="O817" s="20" t="str">
        <f>TEXT(B817,"mmmm")</f>
        <v>August</v>
      </c>
    </row>
    <row r="818" spans="1:15" x14ac:dyDescent="0.3">
      <c r="A818" s="18">
        <v>817</v>
      </c>
      <c r="B818" s="19">
        <v>45230</v>
      </c>
      <c r="C818" s="20" t="s">
        <v>825</v>
      </c>
      <c r="D818" s="20" t="s">
        <v>5</v>
      </c>
      <c r="E818" s="18">
        <v>30</v>
      </c>
      <c r="F818" s="18" t="str">
        <f t="shared" si="24"/>
        <v>Young</v>
      </c>
      <c r="G818" s="20" t="s">
        <v>6</v>
      </c>
      <c r="H818" s="18">
        <v>4</v>
      </c>
      <c r="I818" s="18">
        <v>50</v>
      </c>
      <c r="J818" s="18">
        <v>200</v>
      </c>
      <c r="K818" s="21" t="str">
        <f t="shared" si="25"/>
        <v>Low</v>
      </c>
      <c r="L818" s="18">
        <f>YEAR(B818)</f>
        <v>2023</v>
      </c>
      <c r="M818" s="18">
        <f>ROUNDUP(MONTH(B818)/3,0)</f>
        <v>4</v>
      </c>
      <c r="N818" s="20" t="str">
        <f>TEXT(B818,"dddd")</f>
        <v>Tuesday</v>
      </c>
      <c r="O818" s="20" t="str">
        <f>TEXT(B818,"mmmm")</f>
        <v>October</v>
      </c>
    </row>
    <row r="819" spans="1:15" x14ac:dyDescent="0.3">
      <c r="A819" s="18">
        <v>818</v>
      </c>
      <c r="B819" s="19">
        <v>45064</v>
      </c>
      <c r="C819" s="20" t="s">
        <v>826</v>
      </c>
      <c r="D819" s="20" t="s">
        <v>5</v>
      </c>
      <c r="E819" s="18">
        <v>30</v>
      </c>
      <c r="F819" s="18" t="str">
        <f t="shared" si="24"/>
        <v>Young</v>
      </c>
      <c r="G819" s="20" t="s">
        <v>11</v>
      </c>
      <c r="H819" s="18">
        <v>1</v>
      </c>
      <c r="I819" s="18">
        <v>500</v>
      </c>
      <c r="J819" s="18">
        <v>500</v>
      </c>
      <c r="K819" s="21" t="str">
        <f t="shared" si="25"/>
        <v>Low</v>
      </c>
      <c r="L819" s="18">
        <f>YEAR(B819)</f>
        <v>2023</v>
      </c>
      <c r="M819" s="18">
        <f>ROUNDUP(MONTH(B819)/3,0)</f>
        <v>2</v>
      </c>
      <c r="N819" s="20" t="str">
        <f>TEXT(B819,"dddd")</f>
        <v>Thursday</v>
      </c>
      <c r="O819" s="20" t="str">
        <f>TEXT(B819,"mmmm")</f>
        <v>May</v>
      </c>
    </row>
    <row r="820" spans="1:15" x14ac:dyDescent="0.3">
      <c r="A820" s="18">
        <v>819</v>
      </c>
      <c r="B820" s="19">
        <v>45092</v>
      </c>
      <c r="C820" s="20" t="s">
        <v>827</v>
      </c>
      <c r="D820" s="20" t="s">
        <v>8</v>
      </c>
      <c r="E820" s="18">
        <v>35</v>
      </c>
      <c r="F820" s="18" t="str">
        <f t="shared" si="24"/>
        <v>Adult</v>
      </c>
      <c r="G820" s="20" t="s">
        <v>6</v>
      </c>
      <c r="H820" s="18">
        <v>2</v>
      </c>
      <c r="I820" s="18">
        <v>50</v>
      </c>
      <c r="J820" s="18">
        <v>100</v>
      </c>
      <c r="K820" s="21" t="str">
        <f t="shared" si="25"/>
        <v>Low</v>
      </c>
      <c r="L820" s="18">
        <f>YEAR(B820)</f>
        <v>2023</v>
      </c>
      <c r="M820" s="18">
        <f>ROUNDUP(MONTH(B820)/3,0)</f>
        <v>2</v>
      </c>
      <c r="N820" s="20" t="str">
        <f>TEXT(B820,"dddd")</f>
        <v>Thursday</v>
      </c>
      <c r="O820" s="20" t="str">
        <f>TEXT(B820,"mmmm")</f>
        <v>June</v>
      </c>
    </row>
    <row r="821" spans="1:15" x14ac:dyDescent="0.3">
      <c r="A821" s="18">
        <v>820</v>
      </c>
      <c r="B821" s="19">
        <v>45052</v>
      </c>
      <c r="C821" s="20" t="s">
        <v>828</v>
      </c>
      <c r="D821" s="20" t="s">
        <v>5</v>
      </c>
      <c r="E821" s="18">
        <v>49</v>
      </c>
      <c r="F821" s="18" t="str">
        <f t="shared" si="24"/>
        <v>Adult</v>
      </c>
      <c r="G821" s="20" t="s">
        <v>11</v>
      </c>
      <c r="H821" s="18">
        <v>4</v>
      </c>
      <c r="I821" s="18">
        <v>50</v>
      </c>
      <c r="J821" s="18">
        <v>200</v>
      </c>
      <c r="K821" s="21" t="str">
        <f t="shared" si="25"/>
        <v>Low</v>
      </c>
      <c r="L821" s="18">
        <f>YEAR(B821)</f>
        <v>2023</v>
      </c>
      <c r="M821" s="18">
        <f>ROUNDUP(MONTH(B821)/3,0)</f>
        <v>2</v>
      </c>
      <c r="N821" s="20" t="str">
        <f>TEXT(B821,"dddd")</f>
        <v>Saturday</v>
      </c>
      <c r="O821" s="20" t="str">
        <f>TEXT(B821,"mmmm")</f>
        <v>May</v>
      </c>
    </row>
    <row r="822" spans="1:15" x14ac:dyDescent="0.3">
      <c r="A822" s="18">
        <v>821</v>
      </c>
      <c r="B822" s="19">
        <v>44971</v>
      </c>
      <c r="C822" s="20" t="s">
        <v>829</v>
      </c>
      <c r="D822" s="20" t="s">
        <v>5</v>
      </c>
      <c r="E822" s="18">
        <v>49</v>
      </c>
      <c r="F822" s="18" t="str">
        <f t="shared" si="24"/>
        <v>Adult</v>
      </c>
      <c r="G822" s="20" t="s">
        <v>11</v>
      </c>
      <c r="H822" s="18">
        <v>1</v>
      </c>
      <c r="I822" s="18">
        <v>300</v>
      </c>
      <c r="J822" s="18">
        <v>300</v>
      </c>
      <c r="K822" s="21" t="str">
        <f t="shared" si="25"/>
        <v>Low</v>
      </c>
      <c r="L822" s="18">
        <f>YEAR(B822)</f>
        <v>2023</v>
      </c>
      <c r="M822" s="18">
        <f>ROUNDUP(MONTH(B822)/3,0)</f>
        <v>1</v>
      </c>
      <c r="N822" s="20" t="str">
        <f>TEXT(B822,"dddd")</f>
        <v>Tuesday</v>
      </c>
      <c r="O822" s="20" t="str">
        <f>TEXT(B822,"mmmm")</f>
        <v>February</v>
      </c>
    </row>
    <row r="823" spans="1:15" x14ac:dyDescent="0.3">
      <c r="A823" s="18">
        <v>822</v>
      </c>
      <c r="B823" s="19">
        <v>45069</v>
      </c>
      <c r="C823" s="20" t="s">
        <v>830</v>
      </c>
      <c r="D823" s="20" t="s">
        <v>8</v>
      </c>
      <c r="E823" s="18">
        <v>52</v>
      </c>
      <c r="F823" s="18" t="str">
        <f t="shared" si="24"/>
        <v>Adult</v>
      </c>
      <c r="G823" s="20" t="s">
        <v>6</v>
      </c>
      <c r="H823" s="18">
        <v>3</v>
      </c>
      <c r="I823" s="18">
        <v>50</v>
      </c>
      <c r="J823" s="18">
        <v>150</v>
      </c>
      <c r="K823" s="21" t="str">
        <f t="shared" si="25"/>
        <v>Low</v>
      </c>
      <c r="L823" s="18">
        <f>YEAR(B823)</f>
        <v>2023</v>
      </c>
      <c r="M823" s="18">
        <f>ROUNDUP(MONTH(B823)/3,0)</f>
        <v>2</v>
      </c>
      <c r="N823" s="20" t="str">
        <f>TEXT(B823,"dddd")</f>
        <v>Tuesday</v>
      </c>
      <c r="O823" s="20" t="str">
        <f>TEXT(B823,"mmmm")</f>
        <v>May</v>
      </c>
    </row>
    <row r="824" spans="1:15" x14ac:dyDescent="0.3">
      <c r="A824" s="18">
        <v>823</v>
      </c>
      <c r="B824" s="19">
        <v>45157</v>
      </c>
      <c r="C824" s="20" t="s">
        <v>831</v>
      </c>
      <c r="D824" s="20" t="s">
        <v>8</v>
      </c>
      <c r="E824" s="18">
        <v>56</v>
      </c>
      <c r="F824" s="18" t="str">
        <f t="shared" si="24"/>
        <v>Adult</v>
      </c>
      <c r="G824" s="20" t="s">
        <v>11</v>
      </c>
      <c r="H824" s="18">
        <v>2</v>
      </c>
      <c r="I824" s="18">
        <v>50</v>
      </c>
      <c r="J824" s="18">
        <v>100</v>
      </c>
      <c r="K824" s="21" t="str">
        <f t="shared" si="25"/>
        <v>Low</v>
      </c>
      <c r="L824" s="18">
        <f>YEAR(B824)</f>
        <v>2023</v>
      </c>
      <c r="M824" s="18">
        <f>ROUNDUP(MONTH(B824)/3,0)</f>
        <v>3</v>
      </c>
      <c r="N824" s="20" t="str">
        <f>TEXT(B824,"dddd")</f>
        <v>Saturday</v>
      </c>
      <c r="O824" s="20" t="str">
        <f>TEXT(B824,"mmmm")</f>
        <v>August</v>
      </c>
    </row>
    <row r="825" spans="1:15" x14ac:dyDescent="0.3">
      <c r="A825" s="18">
        <v>824</v>
      </c>
      <c r="B825" s="19">
        <v>45051</v>
      </c>
      <c r="C825" s="20" t="s">
        <v>832</v>
      </c>
      <c r="D825" s="20" t="s">
        <v>5</v>
      </c>
      <c r="E825" s="18">
        <v>63</v>
      </c>
      <c r="F825" s="18" t="str">
        <f t="shared" si="24"/>
        <v>Senior</v>
      </c>
      <c r="G825" s="20" t="s">
        <v>9</v>
      </c>
      <c r="H825" s="18">
        <v>4</v>
      </c>
      <c r="I825" s="18">
        <v>30</v>
      </c>
      <c r="J825" s="18">
        <v>120</v>
      </c>
      <c r="K825" s="21" t="str">
        <f t="shared" si="25"/>
        <v>Low</v>
      </c>
      <c r="L825" s="18">
        <f>YEAR(B825)</f>
        <v>2023</v>
      </c>
      <c r="M825" s="18">
        <f>ROUNDUP(MONTH(B825)/3,0)</f>
        <v>2</v>
      </c>
      <c r="N825" s="20" t="str">
        <f>TEXT(B825,"dddd")</f>
        <v>Friday</v>
      </c>
      <c r="O825" s="20" t="str">
        <f>TEXT(B825,"mmmm")</f>
        <v>May</v>
      </c>
    </row>
    <row r="826" spans="1:15" x14ac:dyDescent="0.3">
      <c r="A826" s="18">
        <v>825</v>
      </c>
      <c r="B826" s="19">
        <v>45164</v>
      </c>
      <c r="C826" s="20" t="s">
        <v>833</v>
      </c>
      <c r="D826" s="20" t="s">
        <v>8</v>
      </c>
      <c r="E826" s="18">
        <v>46</v>
      </c>
      <c r="F826" s="18" t="str">
        <f t="shared" si="24"/>
        <v>Adult</v>
      </c>
      <c r="G826" s="20" t="s">
        <v>6</v>
      </c>
      <c r="H826" s="18">
        <v>1</v>
      </c>
      <c r="I826" s="18">
        <v>25</v>
      </c>
      <c r="J826" s="18">
        <v>25</v>
      </c>
      <c r="K826" s="21" t="str">
        <f t="shared" si="25"/>
        <v>Low</v>
      </c>
      <c r="L826" s="18">
        <f>YEAR(B826)</f>
        <v>2023</v>
      </c>
      <c r="M826" s="18">
        <f>ROUNDUP(MONTH(B826)/3,0)</f>
        <v>3</v>
      </c>
      <c r="N826" s="20" t="str">
        <f>TEXT(B826,"dddd")</f>
        <v>Saturday</v>
      </c>
      <c r="O826" s="20" t="str">
        <f>TEXT(B826,"mmmm")</f>
        <v>August</v>
      </c>
    </row>
    <row r="827" spans="1:15" x14ac:dyDescent="0.3">
      <c r="A827" s="18">
        <v>826</v>
      </c>
      <c r="B827" s="19">
        <v>45218</v>
      </c>
      <c r="C827" s="20" t="s">
        <v>834</v>
      </c>
      <c r="D827" s="20" t="s">
        <v>8</v>
      </c>
      <c r="E827" s="18">
        <v>46</v>
      </c>
      <c r="F827" s="18" t="str">
        <f t="shared" si="24"/>
        <v>Adult</v>
      </c>
      <c r="G827" s="20" t="s">
        <v>9</v>
      </c>
      <c r="H827" s="18">
        <v>1</v>
      </c>
      <c r="I827" s="18">
        <v>300</v>
      </c>
      <c r="J827" s="18">
        <v>300</v>
      </c>
      <c r="K827" s="21" t="str">
        <f t="shared" si="25"/>
        <v>Low</v>
      </c>
      <c r="L827" s="18">
        <f>YEAR(B827)</f>
        <v>2023</v>
      </c>
      <c r="M827" s="18">
        <f>ROUNDUP(MONTH(B827)/3,0)</f>
        <v>4</v>
      </c>
      <c r="N827" s="20" t="str">
        <f>TEXT(B827,"dddd")</f>
        <v>Thursday</v>
      </c>
      <c r="O827" s="20" t="str">
        <f>TEXT(B827,"mmmm")</f>
        <v>October</v>
      </c>
    </row>
    <row r="828" spans="1:15" x14ac:dyDescent="0.3">
      <c r="A828" s="18">
        <v>827</v>
      </c>
      <c r="B828" s="19">
        <v>45239</v>
      </c>
      <c r="C828" s="20" t="s">
        <v>835</v>
      </c>
      <c r="D828" s="20" t="s">
        <v>5</v>
      </c>
      <c r="E828" s="18">
        <v>61</v>
      </c>
      <c r="F828" s="18" t="str">
        <f t="shared" si="24"/>
        <v>Senior</v>
      </c>
      <c r="G828" s="20" t="s">
        <v>6</v>
      </c>
      <c r="H828" s="18">
        <v>3</v>
      </c>
      <c r="I828" s="18">
        <v>300</v>
      </c>
      <c r="J828" s="18">
        <v>900</v>
      </c>
      <c r="K828" s="21" t="str">
        <f t="shared" si="25"/>
        <v>Medium</v>
      </c>
      <c r="L828" s="18">
        <f>YEAR(B828)</f>
        <v>2023</v>
      </c>
      <c r="M828" s="18">
        <f>ROUNDUP(MONTH(B828)/3,0)</f>
        <v>4</v>
      </c>
      <c r="N828" s="20" t="str">
        <f>TEXT(B828,"dddd")</f>
        <v>Thursday</v>
      </c>
      <c r="O828" s="20" t="str">
        <f>TEXT(B828,"mmmm")</f>
        <v>November</v>
      </c>
    </row>
    <row r="829" spans="1:15" x14ac:dyDescent="0.3">
      <c r="A829" s="18">
        <v>828</v>
      </c>
      <c r="B829" s="19">
        <v>45269</v>
      </c>
      <c r="C829" s="20" t="s">
        <v>836</v>
      </c>
      <c r="D829" s="20" t="s">
        <v>8</v>
      </c>
      <c r="E829" s="18">
        <v>33</v>
      </c>
      <c r="F829" s="18" t="str">
        <f t="shared" si="24"/>
        <v>Adult</v>
      </c>
      <c r="G829" s="20" t="s">
        <v>11</v>
      </c>
      <c r="H829" s="18">
        <v>4</v>
      </c>
      <c r="I829" s="18">
        <v>300</v>
      </c>
      <c r="J829" s="18">
        <v>1200</v>
      </c>
      <c r="K829" s="21" t="str">
        <f t="shared" si="25"/>
        <v>Medium</v>
      </c>
      <c r="L829" s="18">
        <f>YEAR(B829)</f>
        <v>2023</v>
      </c>
      <c r="M829" s="18">
        <f>ROUNDUP(MONTH(B829)/3,0)</f>
        <v>4</v>
      </c>
      <c r="N829" s="20" t="str">
        <f>TEXT(B829,"dddd")</f>
        <v>Saturday</v>
      </c>
      <c r="O829" s="20" t="str">
        <f>TEXT(B829,"mmmm")</f>
        <v>December</v>
      </c>
    </row>
    <row r="830" spans="1:15" x14ac:dyDescent="0.3">
      <c r="A830" s="18">
        <v>829</v>
      </c>
      <c r="B830" s="19">
        <v>45121</v>
      </c>
      <c r="C830" s="20" t="s">
        <v>837</v>
      </c>
      <c r="D830" s="20" t="s">
        <v>5</v>
      </c>
      <c r="E830" s="18">
        <v>61</v>
      </c>
      <c r="F830" s="18" t="str">
        <f t="shared" si="24"/>
        <v>Senior</v>
      </c>
      <c r="G830" s="20" t="s">
        <v>6</v>
      </c>
      <c r="H830" s="18">
        <v>3</v>
      </c>
      <c r="I830" s="18">
        <v>30</v>
      </c>
      <c r="J830" s="18">
        <v>90</v>
      </c>
      <c r="K830" s="21" t="str">
        <f t="shared" si="25"/>
        <v>Low</v>
      </c>
      <c r="L830" s="18">
        <f>YEAR(B830)</f>
        <v>2023</v>
      </c>
      <c r="M830" s="18">
        <f>ROUNDUP(MONTH(B830)/3,0)</f>
        <v>3</v>
      </c>
      <c r="N830" s="20" t="str">
        <f>TEXT(B830,"dddd")</f>
        <v>Friday</v>
      </c>
      <c r="O830" s="20" t="str">
        <f>TEXT(B830,"mmmm")</f>
        <v>July</v>
      </c>
    </row>
    <row r="831" spans="1:15" x14ac:dyDescent="0.3">
      <c r="A831" s="18">
        <v>830</v>
      </c>
      <c r="B831" s="19">
        <v>45099</v>
      </c>
      <c r="C831" s="20" t="s">
        <v>838</v>
      </c>
      <c r="D831" s="20" t="s">
        <v>8</v>
      </c>
      <c r="E831" s="18">
        <v>64</v>
      </c>
      <c r="F831" s="18" t="str">
        <f t="shared" si="24"/>
        <v>Senior</v>
      </c>
      <c r="G831" s="20" t="s">
        <v>9</v>
      </c>
      <c r="H831" s="18">
        <v>3</v>
      </c>
      <c r="I831" s="18">
        <v>50</v>
      </c>
      <c r="J831" s="18">
        <v>150</v>
      </c>
      <c r="K831" s="21" t="str">
        <f t="shared" si="25"/>
        <v>Low</v>
      </c>
      <c r="L831" s="18">
        <f>YEAR(B831)</f>
        <v>2023</v>
      </c>
      <c r="M831" s="18">
        <f>ROUNDUP(MONTH(B831)/3,0)</f>
        <v>2</v>
      </c>
      <c r="N831" s="20" t="str">
        <f>TEXT(B831,"dddd")</f>
        <v>Thursday</v>
      </c>
      <c r="O831" s="20" t="str">
        <f>TEXT(B831,"mmmm")</f>
        <v>June</v>
      </c>
    </row>
    <row r="832" spans="1:15" x14ac:dyDescent="0.3">
      <c r="A832" s="18">
        <v>831</v>
      </c>
      <c r="B832" s="19">
        <v>44941</v>
      </c>
      <c r="C832" s="20" t="s">
        <v>839</v>
      </c>
      <c r="D832" s="20" t="s">
        <v>5</v>
      </c>
      <c r="E832" s="18">
        <v>27</v>
      </c>
      <c r="F832" s="18" t="str">
        <f t="shared" si="24"/>
        <v>Young</v>
      </c>
      <c r="G832" s="20" t="s">
        <v>11</v>
      </c>
      <c r="H832" s="18">
        <v>4</v>
      </c>
      <c r="I832" s="18">
        <v>25</v>
      </c>
      <c r="J832" s="18">
        <v>100</v>
      </c>
      <c r="K832" s="21" t="str">
        <f t="shared" si="25"/>
        <v>Low</v>
      </c>
      <c r="L832" s="18">
        <f>YEAR(B832)</f>
        <v>2023</v>
      </c>
      <c r="M832" s="18">
        <f>ROUNDUP(MONTH(B832)/3,0)</f>
        <v>1</v>
      </c>
      <c r="N832" s="20" t="str">
        <f>TEXT(B832,"dddd")</f>
        <v>Sunday</v>
      </c>
      <c r="O832" s="20" t="str">
        <f>TEXT(B832,"mmmm")</f>
        <v>January</v>
      </c>
    </row>
    <row r="833" spans="1:15" x14ac:dyDescent="0.3">
      <c r="A833" s="18">
        <v>832</v>
      </c>
      <c r="B833" s="19">
        <v>45180</v>
      </c>
      <c r="C833" s="20" t="s">
        <v>840</v>
      </c>
      <c r="D833" s="20" t="s">
        <v>5</v>
      </c>
      <c r="E833" s="18">
        <v>47</v>
      </c>
      <c r="F833" s="18" t="str">
        <f t="shared" si="24"/>
        <v>Adult</v>
      </c>
      <c r="G833" s="20" t="s">
        <v>6</v>
      </c>
      <c r="H833" s="18">
        <v>4</v>
      </c>
      <c r="I833" s="18">
        <v>500</v>
      </c>
      <c r="J833" s="18">
        <v>2000</v>
      </c>
      <c r="K833" s="21" t="str">
        <f t="shared" si="25"/>
        <v>High</v>
      </c>
      <c r="L833" s="18">
        <f>YEAR(B833)</f>
        <v>2023</v>
      </c>
      <c r="M833" s="18">
        <f>ROUNDUP(MONTH(B833)/3,0)</f>
        <v>3</v>
      </c>
      <c r="N833" s="20" t="str">
        <f>TEXT(B833,"dddd")</f>
        <v>Monday</v>
      </c>
      <c r="O833" s="20" t="str">
        <f>TEXT(B833,"mmmm")</f>
        <v>September</v>
      </c>
    </row>
    <row r="834" spans="1:15" x14ac:dyDescent="0.3">
      <c r="A834" s="18">
        <v>833</v>
      </c>
      <c r="B834" s="19">
        <v>45093</v>
      </c>
      <c r="C834" s="20" t="s">
        <v>841</v>
      </c>
      <c r="D834" s="20" t="s">
        <v>5</v>
      </c>
      <c r="E834" s="18">
        <v>42</v>
      </c>
      <c r="F834" s="18" t="str">
        <f t="shared" si="24"/>
        <v>Adult</v>
      </c>
      <c r="G834" s="20" t="s">
        <v>6</v>
      </c>
      <c r="H834" s="18">
        <v>4</v>
      </c>
      <c r="I834" s="18">
        <v>50</v>
      </c>
      <c r="J834" s="18">
        <v>200</v>
      </c>
      <c r="K834" s="21" t="str">
        <f t="shared" si="25"/>
        <v>Low</v>
      </c>
      <c r="L834" s="18">
        <f>YEAR(B834)</f>
        <v>2023</v>
      </c>
      <c r="M834" s="18">
        <f>ROUNDUP(MONTH(B834)/3,0)</f>
        <v>2</v>
      </c>
      <c r="N834" s="20" t="str">
        <f>TEXT(B834,"dddd")</f>
        <v>Friday</v>
      </c>
      <c r="O834" s="20" t="str">
        <f>TEXT(B834,"mmmm")</f>
        <v>June</v>
      </c>
    </row>
    <row r="835" spans="1:15" x14ac:dyDescent="0.3">
      <c r="A835" s="18">
        <v>834</v>
      </c>
      <c r="B835" s="19">
        <v>45020</v>
      </c>
      <c r="C835" s="20" t="s">
        <v>842</v>
      </c>
      <c r="D835" s="20" t="s">
        <v>8</v>
      </c>
      <c r="E835" s="18">
        <v>56</v>
      </c>
      <c r="F835" s="18" t="str">
        <f t="shared" ref="F835:F898" si="26">IF(E835&gt;60,"Senior",IF(E835&gt;30,"Adult","Young"))</f>
        <v>Adult</v>
      </c>
      <c r="G835" s="20" t="s">
        <v>6</v>
      </c>
      <c r="H835" s="18">
        <v>2</v>
      </c>
      <c r="I835" s="18">
        <v>30</v>
      </c>
      <c r="J835" s="18">
        <v>60</v>
      </c>
      <c r="K835" s="21" t="str">
        <f t="shared" ref="K835:K898" si="27">IF(J835&gt;1500,"High",IF(J835&gt;500,"Medium","Low"))</f>
        <v>Low</v>
      </c>
      <c r="L835" s="18">
        <f>YEAR(B835)</f>
        <v>2023</v>
      </c>
      <c r="M835" s="18">
        <f>ROUNDUP(MONTH(B835)/3,0)</f>
        <v>2</v>
      </c>
      <c r="N835" s="20" t="str">
        <f>TEXT(B835,"dddd")</f>
        <v>Tuesday</v>
      </c>
      <c r="O835" s="20" t="str">
        <f>TEXT(B835,"mmmm")</f>
        <v>April</v>
      </c>
    </row>
    <row r="836" spans="1:15" x14ac:dyDescent="0.3">
      <c r="A836" s="18">
        <v>835</v>
      </c>
      <c r="B836" s="19">
        <v>45176</v>
      </c>
      <c r="C836" s="20" t="s">
        <v>843</v>
      </c>
      <c r="D836" s="20" t="s">
        <v>5</v>
      </c>
      <c r="E836" s="18">
        <v>37</v>
      </c>
      <c r="F836" s="18" t="str">
        <f t="shared" si="26"/>
        <v>Adult</v>
      </c>
      <c r="G836" s="20" t="s">
        <v>9</v>
      </c>
      <c r="H836" s="18">
        <v>4</v>
      </c>
      <c r="I836" s="18">
        <v>50</v>
      </c>
      <c r="J836" s="18">
        <v>200</v>
      </c>
      <c r="K836" s="21" t="str">
        <f t="shared" si="27"/>
        <v>Low</v>
      </c>
      <c r="L836" s="18">
        <f>YEAR(B836)</f>
        <v>2023</v>
      </c>
      <c r="M836" s="18">
        <f>ROUNDUP(MONTH(B836)/3,0)</f>
        <v>3</v>
      </c>
      <c r="N836" s="20" t="str">
        <f>TEXT(B836,"dddd")</f>
        <v>Thursday</v>
      </c>
      <c r="O836" s="20" t="str">
        <f>TEXT(B836,"mmmm")</f>
        <v>September</v>
      </c>
    </row>
    <row r="837" spans="1:15" x14ac:dyDescent="0.3">
      <c r="A837" s="18">
        <v>836</v>
      </c>
      <c r="B837" s="19">
        <v>45035</v>
      </c>
      <c r="C837" s="20" t="s">
        <v>844</v>
      </c>
      <c r="D837" s="20" t="s">
        <v>8</v>
      </c>
      <c r="E837" s="18">
        <v>22</v>
      </c>
      <c r="F837" s="18" t="str">
        <f t="shared" si="26"/>
        <v>Young</v>
      </c>
      <c r="G837" s="20" t="s">
        <v>9</v>
      </c>
      <c r="H837" s="18">
        <v>1</v>
      </c>
      <c r="I837" s="18">
        <v>50</v>
      </c>
      <c r="J837" s="18">
        <v>50</v>
      </c>
      <c r="K837" s="21" t="str">
        <f t="shared" si="27"/>
        <v>Low</v>
      </c>
      <c r="L837" s="18">
        <f>YEAR(B837)</f>
        <v>2023</v>
      </c>
      <c r="M837" s="18">
        <f>ROUNDUP(MONTH(B837)/3,0)</f>
        <v>2</v>
      </c>
      <c r="N837" s="20" t="str">
        <f>TEXT(B837,"dddd")</f>
        <v>Wednesday</v>
      </c>
      <c r="O837" s="20" t="str">
        <f>TEXT(B837,"mmmm")</f>
        <v>April</v>
      </c>
    </row>
    <row r="838" spans="1:15" x14ac:dyDescent="0.3">
      <c r="A838" s="18">
        <v>837</v>
      </c>
      <c r="B838" s="19">
        <v>45108</v>
      </c>
      <c r="C838" s="20" t="s">
        <v>845</v>
      </c>
      <c r="D838" s="20" t="s">
        <v>5</v>
      </c>
      <c r="E838" s="18">
        <v>18</v>
      </c>
      <c r="F838" s="18" t="str">
        <f t="shared" si="26"/>
        <v>Young</v>
      </c>
      <c r="G838" s="20" t="s">
        <v>6</v>
      </c>
      <c r="H838" s="18">
        <v>3</v>
      </c>
      <c r="I838" s="18">
        <v>30</v>
      </c>
      <c r="J838" s="18">
        <v>90</v>
      </c>
      <c r="K838" s="21" t="str">
        <f t="shared" si="27"/>
        <v>Low</v>
      </c>
      <c r="L838" s="18">
        <f>YEAR(B838)</f>
        <v>2023</v>
      </c>
      <c r="M838" s="18">
        <f>ROUNDUP(MONTH(B838)/3,0)</f>
        <v>3</v>
      </c>
      <c r="N838" s="20" t="str">
        <f>TEXT(B838,"dddd")</f>
        <v>Saturday</v>
      </c>
      <c r="O838" s="20" t="str">
        <f>TEXT(B838,"mmmm")</f>
        <v>July</v>
      </c>
    </row>
    <row r="839" spans="1:15" x14ac:dyDescent="0.3">
      <c r="A839" s="18">
        <v>838</v>
      </c>
      <c r="B839" s="19">
        <v>45059</v>
      </c>
      <c r="C839" s="20" t="s">
        <v>846</v>
      </c>
      <c r="D839" s="20" t="s">
        <v>5</v>
      </c>
      <c r="E839" s="18">
        <v>47</v>
      </c>
      <c r="F839" s="18" t="str">
        <f t="shared" si="26"/>
        <v>Adult</v>
      </c>
      <c r="G839" s="20" t="s">
        <v>11</v>
      </c>
      <c r="H839" s="18">
        <v>2</v>
      </c>
      <c r="I839" s="18">
        <v>300</v>
      </c>
      <c r="J839" s="18">
        <v>600</v>
      </c>
      <c r="K839" s="21" t="str">
        <f t="shared" si="27"/>
        <v>Medium</v>
      </c>
      <c r="L839" s="18">
        <f>YEAR(B839)</f>
        <v>2023</v>
      </c>
      <c r="M839" s="18">
        <f>ROUNDUP(MONTH(B839)/3,0)</f>
        <v>2</v>
      </c>
      <c r="N839" s="20" t="str">
        <f>TEXT(B839,"dddd")</f>
        <v>Saturday</v>
      </c>
      <c r="O839" s="20" t="str">
        <f>TEXT(B839,"mmmm")</f>
        <v>May</v>
      </c>
    </row>
    <row r="840" spans="1:15" x14ac:dyDescent="0.3">
      <c r="A840" s="18">
        <v>839</v>
      </c>
      <c r="B840" s="19">
        <v>45101</v>
      </c>
      <c r="C840" s="20" t="s">
        <v>847</v>
      </c>
      <c r="D840" s="20" t="s">
        <v>8</v>
      </c>
      <c r="E840" s="18">
        <v>20</v>
      </c>
      <c r="F840" s="18" t="str">
        <f t="shared" si="26"/>
        <v>Young</v>
      </c>
      <c r="G840" s="20" t="s">
        <v>11</v>
      </c>
      <c r="H840" s="18">
        <v>4</v>
      </c>
      <c r="I840" s="18">
        <v>300</v>
      </c>
      <c r="J840" s="18">
        <v>1200</v>
      </c>
      <c r="K840" s="21" t="str">
        <f t="shared" si="27"/>
        <v>Medium</v>
      </c>
      <c r="L840" s="18">
        <f>YEAR(B840)</f>
        <v>2023</v>
      </c>
      <c r="M840" s="18">
        <f>ROUNDUP(MONTH(B840)/3,0)</f>
        <v>2</v>
      </c>
      <c r="N840" s="20" t="str">
        <f>TEXT(B840,"dddd")</f>
        <v>Saturday</v>
      </c>
      <c r="O840" s="20" t="str">
        <f>TEXT(B840,"mmmm")</f>
        <v>June</v>
      </c>
    </row>
    <row r="841" spans="1:15" x14ac:dyDescent="0.3">
      <c r="A841" s="18">
        <v>840</v>
      </c>
      <c r="B841" s="19">
        <v>45070</v>
      </c>
      <c r="C841" s="20" t="s">
        <v>848</v>
      </c>
      <c r="D841" s="20" t="s">
        <v>5</v>
      </c>
      <c r="E841" s="18">
        <v>62</v>
      </c>
      <c r="F841" s="18" t="str">
        <f t="shared" si="26"/>
        <v>Senior</v>
      </c>
      <c r="G841" s="20" t="s">
        <v>9</v>
      </c>
      <c r="H841" s="18">
        <v>2</v>
      </c>
      <c r="I841" s="18">
        <v>25</v>
      </c>
      <c r="J841" s="18">
        <v>50</v>
      </c>
      <c r="K841" s="21" t="str">
        <f t="shared" si="27"/>
        <v>Low</v>
      </c>
      <c r="L841" s="18">
        <f>YEAR(B841)</f>
        <v>2023</v>
      </c>
      <c r="M841" s="18">
        <f>ROUNDUP(MONTH(B841)/3,0)</f>
        <v>2</v>
      </c>
      <c r="N841" s="20" t="str">
        <f>TEXT(B841,"dddd")</f>
        <v>Wednesday</v>
      </c>
      <c r="O841" s="20" t="str">
        <f>TEXT(B841,"mmmm")</f>
        <v>May</v>
      </c>
    </row>
    <row r="842" spans="1:15" x14ac:dyDescent="0.3">
      <c r="A842" s="18">
        <v>841</v>
      </c>
      <c r="B842" s="19">
        <v>45232</v>
      </c>
      <c r="C842" s="20" t="s">
        <v>849</v>
      </c>
      <c r="D842" s="20" t="s">
        <v>5</v>
      </c>
      <c r="E842" s="18">
        <v>31</v>
      </c>
      <c r="F842" s="18" t="str">
        <f t="shared" si="26"/>
        <v>Adult</v>
      </c>
      <c r="G842" s="20" t="s">
        <v>11</v>
      </c>
      <c r="H842" s="18">
        <v>4</v>
      </c>
      <c r="I842" s="18">
        <v>25</v>
      </c>
      <c r="J842" s="18">
        <v>100</v>
      </c>
      <c r="K842" s="21" t="str">
        <f t="shared" si="27"/>
        <v>Low</v>
      </c>
      <c r="L842" s="18">
        <f>YEAR(B842)</f>
        <v>2023</v>
      </c>
      <c r="M842" s="18">
        <f>ROUNDUP(MONTH(B842)/3,0)</f>
        <v>4</v>
      </c>
      <c r="N842" s="20" t="str">
        <f>TEXT(B842,"dddd")</f>
        <v>Thursday</v>
      </c>
      <c r="O842" s="20" t="str">
        <f>TEXT(B842,"mmmm")</f>
        <v>November</v>
      </c>
    </row>
    <row r="843" spans="1:15" x14ac:dyDescent="0.3">
      <c r="A843" s="18">
        <v>842</v>
      </c>
      <c r="B843" s="19">
        <v>45286</v>
      </c>
      <c r="C843" s="20" t="s">
        <v>850</v>
      </c>
      <c r="D843" s="20" t="s">
        <v>8</v>
      </c>
      <c r="E843" s="18">
        <v>47</v>
      </c>
      <c r="F843" s="18" t="str">
        <f t="shared" si="26"/>
        <v>Adult</v>
      </c>
      <c r="G843" s="20" t="s">
        <v>9</v>
      </c>
      <c r="H843" s="18">
        <v>2</v>
      </c>
      <c r="I843" s="18">
        <v>300</v>
      </c>
      <c r="J843" s="18">
        <v>600</v>
      </c>
      <c r="K843" s="21" t="str">
        <f t="shared" si="27"/>
        <v>Medium</v>
      </c>
      <c r="L843" s="18">
        <f>YEAR(B843)</f>
        <v>2023</v>
      </c>
      <c r="M843" s="18">
        <f>ROUNDUP(MONTH(B843)/3,0)</f>
        <v>4</v>
      </c>
      <c r="N843" s="20" t="str">
        <f>TEXT(B843,"dddd")</f>
        <v>Tuesday</v>
      </c>
      <c r="O843" s="20" t="str">
        <f>TEXT(B843,"mmmm")</f>
        <v>December</v>
      </c>
    </row>
    <row r="844" spans="1:15" x14ac:dyDescent="0.3">
      <c r="A844" s="18">
        <v>843</v>
      </c>
      <c r="B844" s="19">
        <v>45068</v>
      </c>
      <c r="C844" s="20" t="s">
        <v>851</v>
      </c>
      <c r="D844" s="20" t="s">
        <v>5</v>
      </c>
      <c r="E844" s="18">
        <v>21</v>
      </c>
      <c r="F844" s="18" t="str">
        <f t="shared" si="26"/>
        <v>Young</v>
      </c>
      <c r="G844" s="20" t="s">
        <v>6</v>
      </c>
      <c r="H844" s="18">
        <v>3</v>
      </c>
      <c r="I844" s="18">
        <v>500</v>
      </c>
      <c r="J844" s="18">
        <v>1500</v>
      </c>
      <c r="K844" s="21" t="str">
        <f t="shared" si="27"/>
        <v>Medium</v>
      </c>
      <c r="L844" s="18">
        <f>YEAR(B844)</f>
        <v>2023</v>
      </c>
      <c r="M844" s="18">
        <f>ROUNDUP(MONTH(B844)/3,0)</f>
        <v>2</v>
      </c>
      <c r="N844" s="20" t="str">
        <f>TEXT(B844,"dddd")</f>
        <v>Monday</v>
      </c>
      <c r="O844" s="20" t="str">
        <f>TEXT(B844,"mmmm")</f>
        <v>May</v>
      </c>
    </row>
    <row r="845" spans="1:15" x14ac:dyDescent="0.3">
      <c r="A845" s="18">
        <v>844</v>
      </c>
      <c r="B845" s="19">
        <v>45211</v>
      </c>
      <c r="C845" s="20" t="s">
        <v>852</v>
      </c>
      <c r="D845" s="20" t="s">
        <v>5</v>
      </c>
      <c r="E845" s="18">
        <v>35</v>
      </c>
      <c r="F845" s="18" t="str">
        <f t="shared" si="26"/>
        <v>Adult</v>
      </c>
      <c r="G845" s="20" t="s">
        <v>9</v>
      </c>
      <c r="H845" s="18">
        <v>3</v>
      </c>
      <c r="I845" s="18">
        <v>50</v>
      </c>
      <c r="J845" s="18">
        <v>150</v>
      </c>
      <c r="K845" s="21" t="str">
        <f t="shared" si="27"/>
        <v>Low</v>
      </c>
      <c r="L845" s="18">
        <f>YEAR(B845)</f>
        <v>2023</v>
      </c>
      <c r="M845" s="18">
        <f>ROUNDUP(MONTH(B845)/3,0)</f>
        <v>4</v>
      </c>
      <c r="N845" s="20" t="str">
        <f>TEXT(B845,"dddd")</f>
        <v>Thursday</v>
      </c>
      <c r="O845" s="20" t="str">
        <f>TEXT(B845,"mmmm")</f>
        <v>October</v>
      </c>
    </row>
    <row r="846" spans="1:15" x14ac:dyDescent="0.3">
      <c r="A846" s="18">
        <v>845</v>
      </c>
      <c r="B846" s="19">
        <v>44932</v>
      </c>
      <c r="C846" s="20" t="s">
        <v>853</v>
      </c>
      <c r="D846" s="20" t="s">
        <v>5</v>
      </c>
      <c r="E846" s="18">
        <v>54</v>
      </c>
      <c r="F846" s="18" t="str">
        <f t="shared" si="26"/>
        <v>Adult</v>
      </c>
      <c r="G846" s="20" t="s">
        <v>9</v>
      </c>
      <c r="H846" s="18">
        <v>1</v>
      </c>
      <c r="I846" s="18">
        <v>500</v>
      </c>
      <c r="J846" s="18">
        <v>500</v>
      </c>
      <c r="K846" s="21" t="str">
        <f t="shared" si="27"/>
        <v>Low</v>
      </c>
      <c r="L846" s="18">
        <f>YEAR(B846)</f>
        <v>2023</v>
      </c>
      <c r="M846" s="18">
        <f>ROUNDUP(MONTH(B846)/3,0)</f>
        <v>1</v>
      </c>
      <c r="N846" s="20" t="str">
        <f>TEXT(B846,"dddd")</f>
        <v>Friday</v>
      </c>
      <c r="O846" s="20" t="str">
        <f>TEXT(B846,"mmmm")</f>
        <v>January</v>
      </c>
    </row>
    <row r="847" spans="1:15" x14ac:dyDescent="0.3">
      <c r="A847" s="18">
        <v>846</v>
      </c>
      <c r="B847" s="19">
        <v>45191</v>
      </c>
      <c r="C847" s="20" t="s">
        <v>854</v>
      </c>
      <c r="D847" s="20" t="s">
        <v>5</v>
      </c>
      <c r="E847" s="18">
        <v>42</v>
      </c>
      <c r="F847" s="18" t="str">
        <f t="shared" si="26"/>
        <v>Adult</v>
      </c>
      <c r="G847" s="20" t="s">
        <v>6</v>
      </c>
      <c r="H847" s="18">
        <v>1</v>
      </c>
      <c r="I847" s="18">
        <v>50</v>
      </c>
      <c r="J847" s="18">
        <v>50</v>
      </c>
      <c r="K847" s="21" t="str">
        <f t="shared" si="27"/>
        <v>Low</v>
      </c>
      <c r="L847" s="18">
        <f>YEAR(B847)</f>
        <v>2023</v>
      </c>
      <c r="M847" s="18">
        <f>ROUNDUP(MONTH(B847)/3,0)</f>
        <v>3</v>
      </c>
      <c r="N847" s="20" t="str">
        <f>TEXT(B847,"dddd")</f>
        <v>Friday</v>
      </c>
      <c r="O847" s="20" t="str">
        <f>TEXT(B847,"mmmm")</f>
        <v>September</v>
      </c>
    </row>
    <row r="848" spans="1:15" x14ac:dyDescent="0.3">
      <c r="A848" s="18">
        <v>847</v>
      </c>
      <c r="B848" s="19">
        <v>45024</v>
      </c>
      <c r="C848" s="20" t="s">
        <v>855</v>
      </c>
      <c r="D848" s="20" t="s">
        <v>8</v>
      </c>
      <c r="E848" s="18">
        <v>18</v>
      </c>
      <c r="F848" s="18" t="str">
        <f t="shared" si="26"/>
        <v>Young</v>
      </c>
      <c r="G848" s="20" t="s">
        <v>11</v>
      </c>
      <c r="H848" s="18">
        <v>4</v>
      </c>
      <c r="I848" s="18">
        <v>300</v>
      </c>
      <c r="J848" s="18">
        <v>1200</v>
      </c>
      <c r="K848" s="21" t="str">
        <f t="shared" si="27"/>
        <v>Medium</v>
      </c>
      <c r="L848" s="18">
        <f>YEAR(B848)</f>
        <v>2023</v>
      </c>
      <c r="M848" s="18">
        <f>ROUNDUP(MONTH(B848)/3,0)</f>
        <v>2</v>
      </c>
      <c r="N848" s="20" t="str">
        <f>TEXT(B848,"dddd")</f>
        <v>Saturday</v>
      </c>
      <c r="O848" s="20" t="str">
        <f>TEXT(B848,"mmmm")</f>
        <v>April</v>
      </c>
    </row>
    <row r="849" spans="1:15" x14ac:dyDescent="0.3">
      <c r="A849" s="18">
        <v>848</v>
      </c>
      <c r="B849" s="19">
        <v>44970</v>
      </c>
      <c r="C849" s="20" t="s">
        <v>856</v>
      </c>
      <c r="D849" s="20" t="s">
        <v>8</v>
      </c>
      <c r="E849" s="18">
        <v>63</v>
      </c>
      <c r="F849" s="18" t="str">
        <f t="shared" si="26"/>
        <v>Senior</v>
      </c>
      <c r="G849" s="20" t="s">
        <v>9</v>
      </c>
      <c r="H849" s="18">
        <v>3</v>
      </c>
      <c r="I849" s="18">
        <v>25</v>
      </c>
      <c r="J849" s="18">
        <v>75</v>
      </c>
      <c r="K849" s="21" t="str">
        <f t="shared" si="27"/>
        <v>Low</v>
      </c>
      <c r="L849" s="18">
        <f>YEAR(B849)</f>
        <v>2023</v>
      </c>
      <c r="M849" s="18">
        <f>ROUNDUP(MONTH(B849)/3,0)</f>
        <v>1</v>
      </c>
      <c r="N849" s="20" t="str">
        <f>TEXT(B849,"dddd")</f>
        <v>Monday</v>
      </c>
      <c r="O849" s="20" t="str">
        <f>TEXT(B849,"mmmm")</f>
        <v>February</v>
      </c>
    </row>
    <row r="850" spans="1:15" x14ac:dyDescent="0.3">
      <c r="A850" s="18">
        <v>849</v>
      </c>
      <c r="B850" s="19">
        <v>45050</v>
      </c>
      <c r="C850" s="20" t="s">
        <v>857</v>
      </c>
      <c r="D850" s="20" t="s">
        <v>5</v>
      </c>
      <c r="E850" s="18">
        <v>32</v>
      </c>
      <c r="F850" s="18" t="str">
        <f t="shared" si="26"/>
        <v>Adult</v>
      </c>
      <c r="G850" s="20" t="s">
        <v>9</v>
      </c>
      <c r="H850" s="18">
        <v>2</v>
      </c>
      <c r="I850" s="18">
        <v>25</v>
      </c>
      <c r="J850" s="18">
        <v>50</v>
      </c>
      <c r="K850" s="21" t="str">
        <f t="shared" si="27"/>
        <v>Low</v>
      </c>
      <c r="L850" s="18">
        <f>YEAR(B850)</f>
        <v>2023</v>
      </c>
      <c r="M850" s="18">
        <f>ROUNDUP(MONTH(B850)/3,0)</f>
        <v>2</v>
      </c>
      <c r="N850" s="20" t="str">
        <f>TEXT(B850,"dddd")</f>
        <v>Thursday</v>
      </c>
      <c r="O850" s="20" t="str">
        <f>TEXT(B850,"mmmm")</f>
        <v>May</v>
      </c>
    </row>
    <row r="851" spans="1:15" x14ac:dyDescent="0.3">
      <c r="A851" s="18">
        <v>850</v>
      </c>
      <c r="B851" s="19">
        <v>45135</v>
      </c>
      <c r="C851" s="20" t="s">
        <v>858</v>
      </c>
      <c r="D851" s="20" t="s">
        <v>8</v>
      </c>
      <c r="E851" s="18">
        <v>26</v>
      </c>
      <c r="F851" s="18" t="str">
        <f t="shared" si="26"/>
        <v>Young</v>
      </c>
      <c r="G851" s="20" t="s">
        <v>6</v>
      </c>
      <c r="H851" s="18">
        <v>2</v>
      </c>
      <c r="I851" s="18">
        <v>500</v>
      </c>
      <c r="J851" s="18">
        <v>1000</v>
      </c>
      <c r="K851" s="21" t="str">
        <f t="shared" si="27"/>
        <v>Medium</v>
      </c>
      <c r="L851" s="18">
        <f>YEAR(B851)</f>
        <v>2023</v>
      </c>
      <c r="M851" s="18">
        <f>ROUNDUP(MONTH(B851)/3,0)</f>
        <v>3</v>
      </c>
      <c r="N851" s="20" t="str">
        <f>TEXT(B851,"dddd")</f>
        <v>Friday</v>
      </c>
      <c r="O851" s="20" t="str">
        <f>TEXT(B851,"mmmm")</f>
        <v>July</v>
      </c>
    </row>
    <row r="852" spans="1:15" x14ac:dyDescent="0.3">
      <c r="A852" s="18">
        <v>851</v>
      </c>
      <c r="B852" s="19">
        <v>45177</v>
      </c>
      <c r="C852" s="20" t="s">
        <v>859</v>
      </c>
      <c r="D852" s="20" t="s">
        <v>5</v>
      </c>
      <c r="E852" s="18">
        <v>32</v>
      </c>
      <c r="F852" s="18" t="str">
        <f t="shared" si="26"/>
        <v>Adult</v>
      </c>
      <c r="G852" s="20" t="s">
        <v>11</v>
      </c>
      <c r="H852" s="18">
        <v>2</v>
      </c>
      <c r="I852" s="18">
        <v>25</v>
      </c>
      <c r="J852" s="18">
        <v>50</v>
      </c>
      <c r="K852" s="21" t="str">
        <f t="shared" si="27"/>
        <v>Low</v>
      </c>
      <c r="L852" s="18">
        <f>YEAR(B852)</f>
        <v>2023</v>
      </c>
      <c r="M852" s="18">
        <f>ROUNDUP(MONTH(B852)/3,0)</f>
        <v>3</v>
      </c>
      <c r="N852" s="20" t="str">
        <f>TEXT(B852,"dddd")</f>
        <v>Friday</v>
      </c>
      <c r="O852" s="20" t="str">
        <f>TEXT(B852,"mmmm")</f>
        <v>September</v>
      </c>
    </row>
    <row r="853" spans="1:15" x14ac:dyDescent="0.3">
      <c r="A853" s="18">
        <v>852</v>
      </c>
      <c r="B853" s="19">
        <v>45211</v>
      </c>
      <c r="C853" s="20" t="s">
        <v>860</v>
      </c>
      <c r="D853" s="20" t="s">
        <v>8</v>
      </c>
      <c r="E853" s="18">
        <v>41</v>
      </c>
      <c r="F853" s="18" t="str">
        <f t="shared" si="26"/>
        <v>Adult</v>
      </c>
      <c r="G853" s="20" t="s">
        <v>9</v>
      </c>
      <c r="H853" s="18">
        <v>1</v>
      </c>
      <c r="I853" s="18">
        <v>300</v>
      </c>
      <c r="J853" s="18">
        <v>300</v>
      </c>
      <c r="K853" s="21" t="str">
        <f t="shared" si="27"/>
        <v>Low</v>
      </c>
      <c r="L853" s="18">
        <f>YEAR(B853)</f>
        <v>2023</v>
      </c>
      <c r="M853" s="18">
        <f>ROUNDUP(MONTH(B853)/3,0)</f>
        <v>4</v>
      </c>
      <c r="N853" s="20" t="str">
        <f>TEXT(B853,"dddd")</f>
        <v>Thursday</v>
      </c>
      <c r="O853" s="20" t="str">
        <f>TEXT(B853,"mmmm")</f>
        <v>October</v>
      </c>
    </row>
    <row r="854" spans="1:15" x14ac:dyDescent="0.3">
      <c r="A854" s="18">
        <v>853</v>
      </c>
      <c r="B854" s="19">
        <v>45050</v>
      </c>
      <c r="C854" s="20" t="s">
        <v>861</v>
      </c>
      <c r="D854" s="20" t="s">
        <v>5</v>
      </c>
      <c r="E854" s="18">
        <v>21</v>
      </c>
      <c r="F854" s="18" t="str">
        <f t="shared" si="26"/>
        <v>Young</v>
      </c>
      <c r="G854" s="20" t="s">
        <v>6</v>
      </c>
      <c r="H854" s="18">
        <v>2</v>
      </c>
      <c r="I854" s="18">
        <v>500</v>
      </c>
      <c r="J854" s="18">
        <v>1000</v>
      </c>
      <c r="K854" s="21" t="str">
        <f t="shared" si="27"/>
        <v>Medium</v>
      </c>
      <c r="L854" s="18">
        <f>YEAR(B854)</f>
        <v>2023</v>
      </c>
      <c r="M854" s="18">
        <f>ROUNDUP(MONTH(B854)/3,0)</f>
        <v>2</v>
      </c>
      <c r="N854" s="20" t="str">
        <f>TEXT(B854,"dddd")</f>
        <v>Thursday</v>
      </c>
      <c r="O854" s="20" t="str">
        <f>TEXT(B854,"mmmm")</f>
        <v>May</v>
      </c>
    </row>
    <row r="855" spans="1:15" x14ac:dyDescent="0.3">
      <c r="A855" s="18">
        <v>854</v>
      </c>
      <c r="B855" s="19">
        <v>45280</v>
      </c>
      <c r="C855" s="20" t="s">
        <v>862</v>
      </c>
      <c r="D855" s="20" t="s">
        <v>5</v>
      </c>
      <c r="E855" s="18">
        <v>29</v>
      </c>
      <c r="F855" s="18" t="str">
        <f t="shared" si="26"/>
        <v>Young</v>
      </c>
      <c r="G855" s="20" t="s">
        <v>9</v>
      </c>
      <c r="H855" s="18">
        <v>1</v>
      </c>
      <c r="I855" s="18">
        <v>50</v>
      </c>
      <c r="J855" s="18">
        <v>50</v>
      </c>
      <c r="K855" s="21" t="str">
        <f t="shared" si="27"/>
        <v>Low</v>
      </c>
      <c r="L855" s="18">
        <f>YEAR(B855)</f>
        <v>2023</v>
      </c>
      <c r="M855" s="18">
        <f>ROUNDUP(MONTH(B855)/3,0)</f>
        <v>4</v>
      </c>
      <c r="N855" s="20" t="str">
        <f>TEXT(B855,"dddd")</f>
        <v>Wednesday</v>
      </c>
      <c r="O855" s="20" t="str">
        <f>TEXT(B855,"mmmm")</f>
        <v>December</v>
      </c>
    </row>
    <row r="856" spans="1:15" x14ac:dyDescent="0.3">
      <c r="A856" s="18">
        <v>855</v>
      </c>
      <c r="B856" s="19">
        <v>45170</v>
      </c>
      <c r="C856" s="20" t="s">
        <v>863</v>
      </c>
      <c r="D856" s="20" t="s">
        <v>5</v>
      </c>
      <c r="E856" s="18">
        <v>54</v>
      </c>
      <c r="F856" s="18" t="str">
        <f t="shared" si="26"/>
        <v>Adult</v>
      </c>
      <c r="G856" s="20" t="s">
        <v>6</v>
      </c>
      <c r="H856" s="18">
        <v>1</v>
      </c>
      <c r="I856" s="18">
        <v>25</v>
      </c>
      <c r="J856" s="18">
        <v>25</v>
      </c>
      <c r="K856" s="21" t="str">
        <f t="shared" si="27"/>
        <v>Low</v>
      </c>
      <c r="L856" s="18">
        <f>YEAR(B856)</f>
        <v>2023</v>
      </c>
      <c r="M856" s="18">
        <f>ROUNDUP(MONTH(B856)/3,0)</f>
        <v>3</v>
      </c>
      <c r="N856" s="20" t="str">
        <f>TEXT(B856,"dddd")</f>
        <v>Friday</v>
      </c>
      <c r="O856" s="20" t="str">
        <f>TEXT(B856,"mmmm")</f>
        <v>September</v>
      </c>
    </row>
    <row r="857" spans="1:15" x14ac:dyDescent="0.3">
      <c r="A857" s="18">
        <v>856</v>
      </c>
      <c r="B857" s="19">
        <v>45257</v>
      </c>
      <c r="C857" s="20" t="s">
        <v>864</v>
      </c>
      <c r="D857" s="20" t="s">
        <v>5</v>
      </c>
      <c r="E857" s="18">
        <v>54</v>
      </c>
      <c r="F857" s="18" t="str">
        <f t="shared" si="26"/>
        <v>Adult</v>
      </c>
      <c r="G857" s="20" t="s">
        <v>11</v>
      </c>
      <c r="H857" s="18">
        <v>4</v>
      </c>
      <c r="I857" s="18">
        <v>30</v>
      </c>
      <c r="J857" s="18">
        <v>120</v>
      </c>
      <c r="K857" s="21" t="str">
        <f t="shared" si="27"/>
        <v>Low</v>
      </c>
      <c r="L857" s="18">
        <f>YEAR(B857)</f>
        <v>2023</v>
      </c>
      <c r="M857" s="18">
        <f>ROUNDUP(MONTH(B857)/3,0)</f>
        <v>4</v>
      </c>
      <c r="N857" s="20" t="str">
        <f>TEXT(B857,"dddd")</f>
        <v>Monday</v>
      </c>
      <c r="O857" s="20" t="str">
        <f>TEXT(B857,"mmmm")</f>
        <v>November</v>
      </c>
    </row>
    <row r="858" spans="1:15" x14ac:dyDescent="0.3">
      <c r="A858" s="18">
        <v>857</v>
      </c>
      <c r="B858" s="19">
        <v>45291</v>
      </c>
      <c r="C858" s="20" t="s">
        <v>865</v>
      </c>
      <c r="D858" s="20" t="s">
        <v>5</v>
      </c>
      <c r="E858" s="18">
        <v>60</v>
      </c>
      <c r="F858" s="18" t="str">
        <f t="shared" si="26"/>
        <v>Adult</v>
      </c>
      <c r="G858" s="20" t="s">
        <v>11</v>
      </c>
      <c r="H858" s="18">
        <v>2</v>
      </c>
      <c r="I858" s="18">
        <v>25</v>
      </c>
      <c r="J858" s="18">
        <v>50</v>
      </c>
      <c r="K858" s="21" t="str">
        <f t="shared" si="27"/>
        <v>Low</v>
      </c>
      <c r="L858" s="18">
        <f>YEAR(B858)</f>
        <v>2023</v>
      </c>
      <c r="M858" s="18">
        <f>ROUNDUP(MONTH(B858)/3,0)</f>
        <v>4</v>
      </c>
      <c r="N858" s="20" t="str">
        <f>TEXT(B858,"dddd")</f>
        <v>Sunday</v>
      </c>
      <c r="O858" s="20" t="str">
        <f>TEXT(B858,"mmmm")</f>
        <v>December</v>
      </c>
    </row>
    <row r="859" spans="1:15" x14ac:dyDescent="0.3">
      <c r="A859" s="18">
        <v>858</v>
      </c>
      <c r="B859" s="19">
        <v>45178</v>
      </c>
      <c r="C859" s="20" t="s">
        <v>866</v>
      </c>
      <c r="D859" s="20" t="s">
        <v>5</v>
      </c>
      <c r="E859" s="18">
        <v>23</v>
      </c>
      <c r="F859" s="18" t="str">
        <f t="shared" si="26"/>
        <v>Young</v>
      </c>
      <c r="G859" s="20" t="s">
        <v>11</v>
      </c>
      <c r="H859" s="18">
        <v>2</v>
      </c>
      <c r="I859" s="18">
        <v>50</v>
      </c>
      <c r="J859" s="18">
        <v>100</v>
      </c>
      <c r="K859" s="21" t="str">
        <f t="shared" si="27"/>
        <v>Low</v>
      </c>
      <c r="L859" s="18">
        <f>YEAR(B859)</f>
        <v>2023</v>
      </c>
      <c r="M859" s="18">
        <f>ROUNDUP(MONTH(B859)/3,0)</f>
        <v>3</v>
      </c>
      <c r="N859" s="20" t="str">
        <f>TEXT(B859,"dddd")</f>
        <v>Saturday</v>
      </c>
      <c r="O859" s="20" t="str">
        <f>TEXT(B859,"mmmm")</f>
        <v>September</v>
      </c>
    </row>
    <row r="860" spans="1:15" x14ac:dyDescent="0.3">
      <c r="A860" s="18">
        <v>859</v>
      </c>
      <c r="B860" s="19">
        <v>45156</v>
      </c>
      <c r="C860" s="20" t="s">
        <v>867</v>
      </c>
      <c r="D860" s="20" t="s">
        <v>8</v>
      </c>
      <c r="E860" s="18">
        <v>56</v>
      </c>
      <c r="F860" s="18" t="str">
        <f t="shared" si="26"/>
        <v>Adult</v>
      </c>
      <c r="G860" s="20" t="s">
        <v>11</v>
      </c>
      <c r="H860" s="18">
        <v>3</v>
      </c>
      <c r="I860" s="18">
        <v>500</v>
      </c>
      <c r="J860" s="18">
        <v>1500</v>
      </c>
      <c r="K860" s="21" t="str">
        <f t="shared" si="27"/>
        <v>Medium</v>
      </c>
      <c r="L860" s="18">
        <f>YEAR(B860)</f>
        <v>2023</v>
      </c>
      <c r="M860" s="18">
        <f>ROUNDUP(MONTH(B860)/3,0)</f>
        <v>3</v>
      </c>
      <c r="N860" s="20" t="str">
        <f>TEXT(B860,"dddd")</f>
        <v>Friday</v>
      </c>
      <c r="O860" s="20" t="str">
        <f>TEXT(B860,"mmmm")</f>
        <v>August</v>
      </c>
    </row>
    <row r="861" spans="1:15" x14ac:dyDescent="0.3">
      <c r="A861" s="18">
        <v>860</v>
      </c>
      <c r="B861" s="19">
        <v>44935</v>
      </c>
      <c r="C861" s="20" t="s">
        <v>868</v>
      </c>
      <c r="D861" s="20" t="s">
        <v>5</v>
      </c>
      <c r="E861" s="18">
        <v>63</v>
      </c>
      <c r="F861" s="18" t="str">
        <f t="shared" si="26"/>
        <v>Senior</v>
      </c>
      <c r="G861" s="20" t="s">
        <v>9</v>
      </c>
      <c r="H861" s="18">
        <v>4</v>
      </c>
      <c r="I861" s="18">
        <v>50</v>
      </c>
      <c r="J861" s="18">
        <v>200</v>
      </c>
      <c r="K861" s="21" t="str">
        <f t="shared" si="27"/>
        <v>Low</v>
      </c>
      <c r="L861" s="18">
        <f>YEAR(B861)</f>
        <v>2023</v>
      </c>
      <c r="M861" s="18">
        <f>ROUNDUP(MONTH(B861)/3,0)</f>
        <v>1</v>
      </c>
      <c r="N861" s="20" t="str">
        <f>TEXT(B861,"dddd")</f>
        <v>Monday</v>
      </c>
      <c r="O861" s="20" t="str">
        <f>TEXT(B861,"mmmm")</f>
        <v>January</v>
      </c>
    </row>
    <row r="862" spans="1:15" x14ac:dyDescent="0.3">
      <c r="A862" s="18">
        <v>861</v>
      </c>
      <c r="B862" s="19">
        <v>44974</v>
      </c>
      <c r="C862" s="20" t="s">
        <v>869</v>
      </c>
      <c r="D862" s="20" t="s">
        <v>8</v>
      </c>
      <c r="E862" s="18">
        <v>41</v>
      </c>
      <c r="F862" s="18" t="str">
        <f t="shared" si="26"/>
        <v>Adult</v>
      </c>
      <c r="G862" s="20" t="s">
        <v>9</v>
      </c>
      <c r="H862" s="18">
        <v>3</v>
      </c>
      <c r="I862" s="18">
        <v>30</v>
      </c>
      <c r="J862" s="18">
        <v>90</v>
      </c>
      <c r="K862" s="21" t="str">
        <f t="shared" si="27"/>
        <v>Low</v>
      </c>
      <c r="L862" s="18">
        <f>YEAR(B862)</f>
        <v>2023</v>
      </c>
      <c r="M862" s="18">
        <f>ROUNDUP(MONTH(B862)/3,0)</f>
        <v>1</v>
      </c>
      <c r="N862" s="20" t="str">
        <f>TEXT(B862,"dddd")</f>
        <v>Friday</v>
      </c>
      <c r="O862" s="20" t="str">
        <f>TEXT(B862,"mmmm")</f>
        <v>February</v>
      </c>
    </row>
    <row r="863" spans="1:15" x14ac:dyDescent="0.3">
      <c r="A863" s="18">
        <v>862</v>
      </c>
      <c r="B863" s="19">
        <v>45077</v>
      </c>
      <c r="C863" s="20" t="s">
        <v>870</v>
      </c>
      <c r="D863" s="20" t="s">
        <v>5</v>
      </c>
      <c r="E863" s="18">
        <v>28</v>
      </c>
      <c r="F863" s="18" t="str">
        <f t="shared" si="26"/>
        <v>Young</v>
      </c>
      <c r="G863" s="20" t="s">
        <v>11</v>
      </c>
      <c r="H863" s="18">
        <v>4</v>
      </c>
      <c r="I863" s="18">
        <v>300</v>
      </c>
      <c r="J863" s="18">
        <v>1200</v>
      </c>
      <c r="K863" s="21" t="str">
        <f t="shared" si="27"/>
        <v>Medium</v>
      </c>
      <c r="L863" s="18">
        <f>YEAR(B863)</f>
        <v>2023</v>
      </c>
      <c r="M863" s="18">
        <f>ROUNDUP(MONTH(B863)/3,0)</f>
        <v>2</v>
      </c>
      <c r="N863" s="20" t="str">
        <f>TEXT(B863,"dddd")</f>
        <v>Wednesday</v>
      </c>
      <c r="O863" s="20" t="str">
        <f>TEXT(B863,"mmmm")</f>
        <v>May</v>
      </c>
    </row>
    <row r="864" spans="1:15" x14ac:dyDescent="0.3">
      <c r="A864" s="18">
        <v>863</v>
      </c>
      <c r="B864" s="19">
        <v>45040</v>
      </c>
      <c r="C864" s="20" t="s">
        <v>871</v>
      </c>
      <c r="D864" s="20" t="s">
        <v>8</v>
      </c>
      <c r="E864" s="18">
        <v>30</v>
      </c>
      <c r="F864" s="18" t="str">
        <f t="shared" si="26"/>
        <v>Young</v>
      </c>
      <c r="G864" s="20" t="s">
        <v>11</v>
      </c>
      <c r="H864" s="18">
        <v>2</v>
      </c>
      <c r="I864" s="18">
        <v>25</v>
      </c>
      <c r="J864" s="18">
        <v>50</v>
      </c>
      <c r="K864" s="21" t="str">
        <f t="shared" si="27"/>
        <v>Low</v>
      </c>
      <c r="L864" s="18">
        <f>YEAR(B864)</f>
        <v>2023</v>
      </c>
      <c r="M864" s="18">
        <f>ROUNDUP(MONTH(B864)/3,0)</f>
        <v>2</v>
      </c>
      <c r="N864" s="20" t="str">
        <f>TEXT(B864,"dddd")</f>
        <v>Monday</v>
      </c>
      <c r="O864" s="20" t="str">
        <f>TEXT(B864,"mmmm")</f>
        <v>April</v>
      </c>
    </row>
    <row r="865" spans="1:15" x14ac:dyDescent="0.3">
      <c r="A865" s="18">
        <v>864</v>
      </c>
      <c r="B865" s="19">
        <v>45134</v>
      </c>
      <c r="C865" s="20" t="s">
        <v>872</v>
      </c>
      <c r="D865" s="20" t="s">
        <v>8</v>
      </c>
      <c r="E865" s="18">
        <v>51</v>
      </c>
      <c r="F865" s="18" t="str">
        <f t="shared" si="26"/>
        <v>Adult</v>
      </c>
      <c r="G865" s="20" t="s">
        <v>11</v>
      </c>
      <c r="H865" s="18">
        <v>1</v>
      </c>
      <c r="I865" s="18">
        <v>500</v>
      </c>
      <c r="J865" s="18">
        <v>500</v>
      </c>
      <c r="K865" s="21" t="str">
        <f t="shared" si="27"/>
        <v>Low</v>
      </c>
      <c r="L865" s="18">
        <f>YEAR(B865)</f>
        <v>2023</v>
      </c>
      <c r="M865" s="18">
        <f>ROUNDUP(MONTH(B865)/3,0)</f>
        <v>3</v>
      </c>
      <c r="N865" s="20" t="str">
        <f>TEXT(B865,"dddd")</f>
        <v>Thursday</v>
      </c>
      <c r="O865" s="20" t="str">
        <f>TEXT(B865,"mmmm")</f>
        <v>July</v>
      </c>
    </row>
    <row r="866" spans="1:15" x14ac:dyDescent="0.3">
      <c r="A866" s="18">
        <v>865</v>
      </c>
      <c r="B866" s="19">
        <v>45281</v>
      </c>
      <c r="C866" s="20" t="s">
        <v>873</v>
      </c>
      <c r="D866" s="20" t="s">
        <v>8</v>
      </c>
      <c r="E866" s="18">
        <v>42</v>
      </c>
      <c r="F866" s="18" t="str">
        <f t="shared" si="26"/>
        <v>Adult</v>
      </c>
      <c r="G866" s="20" t="s">
        <v>9</v>
      </c>
      <c r="H866" s="18">
        <v>1</v>
      </c>
      <c r="I866" s="18">
        <v>300</v>
      </c>
      <c r="J866" s="18">
        <v>300</v>
      </c>
      <c r="K866" s="21" t="str">
        <f t="shared" si="27"/>
        <v>Low</v>
      </c>
      <c r="L866" s="18">
        <f>YEAR(B866)</f>
        <v>2023</v>
      </c>
      <c r="M866" s="18">
        <f>ROUNDUP(MONTH(B866)/3,0)</f>
        <v>4</v>
      </c>
      <c r="N866" s="20" t="str">
        <f>TEXT(B866,"dddd")</f>
        <v>Thursday</v>
      </c>
      <c r="O866" s="20" t="str">
        <f>TEXT(B866,"mmmm")</f>
        <v>December</v>
      </c>
    </row>
    <row r="867" spans="1:15" x14ac:dyDescent="0.3">
      <c r="A867" s="18">
        <v>866</v>
      </c>
      <c r="B867" s="19">
        <v>45051</v>
      </c>
      <c r="C867" s="20" t="s">
        <v>874</v>
      </c>
      <c r="D867" s="20" t="s">
        <v>5</v>
      </c>
      <c r="E867" s="18">
        <v>24</v>
      </c>
      <c r="F867" s="18" t="str">
        <f t="shared" si="26"/>
        <v>Young</v>
      </c>
      <c r="G867" s="20" t="s">
        <v>11</v>
      </c>
      <c r="H867" s="18">
        <v>1</v>
      </c>
      <c r="I867" s="18">
        <v>50</v>
      </c>
      <c r="J867" s="18">
        <v>50</v>
      </c>
      <c r="K867" s="21" t="str">
        <f t="shared" si="27"/>
        <v>Low</v>
      </c>
      <c r="L867" s="18">
        <f>YEAR(B867)</f>
        <v>2023</v>
      </c>
      <c r="M867" s="18">
        <f>ROUNDUP(MONTH(B867)/3,0)</f>
        <v>2</v>
      </c>
      <c r="N867" s="20" t="str">
        <f>TEXT(B867,"dddd")</f>
        <v>Friday</v>
      </c>
      <c r="O867" s="20" t="str">
        <f>TEXT(B867,"mmmm")</f>
        <v>May</v>
      </c>
    </row>
    <row r="868" spans="1:15" x14ac:dyDescent="0.3">
      <c r="A868" s="18">
        <v>867</v>
      </c>
      <c r="B868" s="19">
        <v>45083</v>
      </c>
      <c r="C868" s="20" t="s">
        <v>875</v>
      </c>
      <c r="D868" s="20" t="s">
        <v>5</v>
      </c>
      <c r="E868" s="18">
        <v>21</v>
      </c>
      <c r="F868" s="18" t="str">
        <f t="shared" si="26"/>
        <v>Young</v>
      </c>
      <c r="G868" s="20" t="s">
        <v>11</v>
      </c>
      <c r="H868" s="18">
        <v>1</v>
      </c>
      <c r="I868" s="18">
        <v>500</v>
      </c>
      <c r="J868" s="18">
        <v>500</v>
      </c>
      <c r="K868" s="21" t="str">
        <f t="shared" si="27"/>
        <v>Low</v>
      </c>
      <c r="L868" s="18">
        <f>YEAR(B868)</f>
        <v>2023</v>
      </c>
      <c r="M868" s="18">
        <f>ROUNDUP(MONTH(B868)/3,0)</f>
        <v>2</v>
      </c>
      <c r="N868" s="20" t="str">
        <f>TEXT(B868,"dddd")</f>
        <v>Tuesday</v>
      </c>
      <c r="O868" s="20" t="str">
        <f>TEXT(B868,"mmmm")</f>
        <v>June</v>
      </c>
    </row>
    <row r="869" spans="1:15" x14ac:dyDescent="0.3">
      <c r="A869" s="18">
        <v>868</v>
      </c>
      <c r="B869" s="19">
        <v>45266</v>
      </c>
      <c r="C869" s="20" t="s">
        <v>876</v>
      </c>
      <c r="D869" s="20" t="s">
        <v>8</v>
      </c>
      <c r="E869" s="18">
        <v>25</v>
      </c>
      <c r="F869" s="18" t="str">
        <f t="shared" si="26"/>
        <v>Young</v>
      </c>
      <c r="G869" s="20" t="s">
        <v>11</v>
      </c>
      <c r="H869" s="18">
        <v>1</v>
      </c>
      <c r="I869" s="18">
        <v>300</v>
      </c>
      <c r="J869" s="18">
        <v>300</v>
      </c>
      <c r="K869" s="21" t="str">
        <f t="shared" si="27"/>
        <v>Low</v>
      </c>
      <c r="L869" s="18">
        <f>YEAR(B869)</f>
        <v>2023</v>
      </c>
      <c r="M869" s="18">
        <f>ROUNDUP(MONTH(B869)/3,0)</f>
        <v>4</v>
      </c>
      <c r="N869" s="20" t="str">
        <f>TEXT(B869,"dddd")</f>
        <v>Wednesday</v>
      </c>
      <c r="O869" s="20" t="str">
        <f>TEXT(B869,"mmmm")</f>
        <v>December</v>
      </c>
    </row>
    <row r="870" spans="1:15" x14ac:dyDescent="0.3">
      <c r="A870" s="18">
        <v>869</v>
      </c>
      <c r="B870" s="19">
        <v>45224</v>
      </c>
      <c r="C870" s="20" t="s">
        <v>877</v>
      </c>
      <c r="D870" s="20" t="s">
        <v>5</v>
      </c>
      <c r="E870" s="18">
        <v>37</v>
      </c>
      <c r="F870" s="18" t="str">
        <f t="shared" si="26"/>
        <v>Adult</v>
      </c>
      <c r="G870" s="20" t="s">
        <v>6</v>
      </c>
      <c r="H870" s="18">
        <v>3</v>
      </c>
      <c r="I870" s="18">
        <v>500</v>
      </c>
      <c r="J870" s="18">
        <v>1500</v>
      </c>
      <c r="K870" s="21" t="str">
        <f t="shared" si="27"/>
        <v>Medium</v>
      </c>
      <c r="L870" s="18">
        <f>YEAR(B870)</f>
        <v>2023</v>
      </c>
      <c r="M870" s="18">
        <f>ROUNDUP(MONTH(B870)/3,0)</f>
        <v>4</v>
      </c>
      <c r="N870" s="20" t="str">
        <f>TEXT(B870,"dddd")</f>
        <v>Wednesday</v>
      </c>
      <c r="O870" s="20" t="str">
        <f>TEXT(B870,"mmmm")</f>
        <v>October</v>
      </c>
    </row>
    <row r="871" spans="1:15" x14ac:dyDescent="0.3">
      <c r="A871" s="18">
        <v>870</v>
      </c>
      <c r="B871" s="19">
        <v>45115</v>
      </c>
      <c r="C871" s="20" t="s">
        <v>878</v>
      </c>
      <c r="D871" s="20" t="s">
        <v>8</v>
      </c>
      <c r="E871" s="18">
        <v>46</v>
      </c>
      <c r="F871" s="18" t="str">
        <f t="shared" si="26"/>
        <v>Adult</v>
      </c>
      <c r="G871" s="20" t="s">
        <v>11</v>
      </c>
      <c r="H871" s="18">
        <v>4</v>
      </c>
      <c r="I871" s="18">
        <v>30</v>
      </c>
      <c r="J871" s="18">
        <v>120</v>
      </c>
      <c r="K871" s="21" t="str">
        <f t="shared" si="27"/>
        <v>Low</v>
      </c>
      <c r="L871" s="18">
        <f>YEAR(B871)</f>
        <v>2023</v>
      </c>
      <c r="M871" s="18">
        <f>ROUNDUP(MONTH(B871)/3,0)</f>
        <v>3</v>
      </c>
      <c r="N871" s="20" t="str">
        <f>TEXT(B871,"dddd")</f>
        <v>Saturday</v>
      </c>
      <c r="O871" s="20" t="str">
        <f>TEXT(B871,"mmmm")</f>
        <v>July</v>
      </c>
    </row>
    <row r="872" spans="1:15" x14ac:dyDescent="0.3">
      <c r="A872" s="18">
        <v>871</v>
      </c>
      <c r="B872" s="19">
        <v>45169</v>
      </c>
      <c r="C872" s="20" t="s">
        <v>879</v>
      </c>
      <c r="D872" s="20" t="s">
        <v>5</v>
      </c>
      <c r="E872" s="18">
        <v>62</v>
      </c>
      <c r="F872" s="18" t="str">
        <f t="shared" si="26"/>
        <v>Senior</v>
      </c>
      <c r="G872" s="20" t="s">
        <v>6</v>
      </c>
      <c r="H872" s="18">
        <v>2</v>
      </c>
      <c r="I872" s="18">
        <v>30</v>
      </c>
      <c r="J872" s="18">
        <v>60</v>
      </c>
      <c r="K872" s="21" t="str">
        <f t="shared" si="27"/>
        <v>Low</v>
      </c>
      <c r="L872" s="18">
        <f>YEAR(B872)</f>
        <v>2023</v>
      </c>
      <c r="M872" s="18">
        <f>ROUNDUP(MONTH(B872)/3,0)</f>
        <v>3</v>
      </c>
      <c r="N872" s="20" t="str">
        <f>TEXT(B872,"dddd")</f>
        <v>Thursday</v>
      </c>
      <c r="O872" s="20" t="str">
        <f>TEXT(B872,"mmmm")</f>
        <v>August</v>
      </c>
    </row>
    <row r="873" spans="1:15" x14ac:dyDescent="0.3">
      <c r="A873" s="18">
        <v>872</v>
      </c>
      <c r="B873" s="19">
        <v>45210</v>
      </c>
      <c r="C873" s="20" t="s">
        <v>880</v>
      </c>
      <c r="D873" s="20" t="s">
        <v>8</v>
      </c>
      <c r="E873" s="18">
        <v>63</v>
      </c>
      <c r="F873" s="18" t="str">
        <f t="shared" si="26"/>
        <v>Senior</v>
      </c>
      <c r="G873" s="20" t="s">
        <v>6</v>
      </c>
      <c r="H873" s="18">
        <v>3</v>
      </c>
      <c r="I873" s="18">
        <v>25</v>
      </c>
      <c r="J873" s="18">
        <v>75</v>
      </c>
      <c r="K873" s="21" t="str">
        <f t="shared" si="27"/>
        <v>Low</v>
      </c>
      <c r="L873" s="18">
        <f>YEAR(B873)</f>
        <v>2023</v>
      </c>
      <c r="M873" s="18">
        <f>ROUNDUP(MONTH(B873)/3,0)</f>
        <v>4</v>
      </c>
      <c r="N873" s="20" t="str">
        <f>TEXT(B873,"dddd")</f>
        <v>Wednesday</v>
      </c>
      <c r="O873" s="20" t="str">
        <f>TEXT(B873,"mmmm")</f>
        <v>October</v>
      </c>
    </row>
    <row r="874" spans="1:15" x14ac:dyDescent="0.3">
      <c r="A874" s="18">
        <v>873</v>
      </c>
      <c r="B874" s="19">
        <v>45198</v>
      </c>
      <c r="C874" s="20" t="s">
        <v>881</v>
      </c>
      <c r="D874" s="20" t="s">
        <v>8</v>
      </c>
      <c r="E874" s="18">
        <v>27</v>
      </c>
      <c r="F874" s="18" t="str">
        <f t="shared" si="26"/>
        <v>Young</v>
      </c>
      <c r="G874" s="20" t="s">
        <v>11</v>
      </c>
      <c r="H874" s="18">
        <v>4</v>
      </c>
      <c r="I874" s="18">
        <v>25</v>
      </c>
      <c r="J874" s="18">
        <v>100</v>
      </c>
      <c r="K874" s="21" t="str">
        <f t="shared" si="27"/>
        <v>Low</v>
      </c>
      <c r="L874" s="18">
        <f>YEAR(B874)</f>
        <v>2023</v>
      </c>
      <c r="M874" s="18">
        <f>ROUNDUP(MONTH(B874)/3,0)</f>
        <v>3</v>
      </c>
      <c r="N874" s="20" t="str">
        <f>TEXT(B874,"dddd")</f>
        <v>Friday</v>
      </c>
      <c r="O874" s="20" t="str">
        <f>TEXT(B874,"mmmm")</f>
        <v>September</v>
      </c>
    </row>
    <row r="875" spans="1:15" x14ac:dyDescent="0.3">
      <c r="A875" s="18">
        <v>874</v>
      </c>
      <c r="B875" s="19">
        <v>45103</v>
      </c>
      <c r="C875" s="20" t="s">
        <v>882</v>
      </c>
      <c r="D875" s="20" t="s">
        <v>5</v>
      </c>
      <c r="E875" s="18">
        <v>60</v>
      </c>
      <c r="F875" s="18" t="str">
        <f t="shared" si="26"/>
        <v>Adult</v>
      </c>
      <c r="G875" s="20" t="s">
        <v>6</v>
      </c>
      <c r="H875" s="18">
        <v>1</v>
      </c>
      <c r="I875" s="18">
        <v>30</v>
      </c>
      <c r="J875" s="18">
        <v>30</v>
      </c>
      <c r="K875" s="21" t="str">
        <f t="shared" si="27"/>
        <v>Low</v>
      </c>
      <c r="L875" s="18">
        <f>YEAR(B875)</f>
        <v>2023</v>
      </c>
      <c r="M875" s="18">
        <f>ROUNDUP(MONTH(B875)/3,0)</f>
        <v>2</v>
      </c>
      <c r="N875" s="20" t="str">
        <f>TEXT(B875,"dddd")</f>
        <v>Monday</v>
      </c>
      <c r="O875" s="20" t="str">
        <f>TEXT(B875,"mmmm")</f>
        <v>June</v>
      </c>
    </row>
    <row r="876" spans="1:15" x14ac:dyDescent="0.3">
      <c r="A876" s="18">
        <v>875</v>
      </c>
      <c r="B876" s="19">
        <v>45144</v>
      </c>
      <c r="C876" s="20" t="s">
        <v>883</v>
      </c>
      <c r="D876" s="20" t="s">
        <v>8</v>
      </c>
      <c r="E876" s="18">
        <v>51</v>
      </c>
      <c r="F876" s="18" t="str">
        <f t="shared" si="26"/>
        <v>Adult</v>
      </c>
      <c r="G876" s="20" t="s">
        <v>11</v>
      </c>
      <c r="H876" s="18">
        <v>4</v>
      </c>
      <c r="I876" s="18">
        <v>500</v>
      </c>
      <c r="J876" s="18">
        <v>2000</v>
      </c>
      <c r="K876" s="21" t="str">
        <f t="shared" si="27"/>
        <v>High</v>
      </c>
      <c r="L876" s="18">
        <f>YEAR(B876)</f>
        <v>2023</v>
      </c>
      <c r="M876" s="18">
        <f>ROUNDUP(MONTH(B876)/3,0)</f>
        <v>3</v>
      </c>
      <c r="N876" s="20" t="str">
        <f>TEXT(B876,"dddd")</f>
        <v>Sunday</v>
      </c>
      <c r="O876" s="20" t="str">
        <f>TEXT(B876,"mmmm")</f>
        <v>August</v>
      </c>
    </row>
    <row r="877" spans="1:15" x14ac:dyDescent="0.3">
      <c r="A877" s="18">
        <v>876</v>
      </c>
      <c r="B877" s="19">
        <v>45208</v>
      </c>
      <c r="C877" s="20" t="s">
        <v>884</v>
      </c>
      <c r="D877" s="20" t="s">
        <v>5</v>
      </c>
      <c r="E877" s="18">
        <v>43</v>
      </c>
      <c r="F877" s="18" t="str">
        <f t="shared" si="26"/>
        <v>Adult</v>
      </c>
      <c r="G877" s="20" t="s">
        <v>9</v>
      </c>
      <c r="H877" s="18">
        <v>4</v>
      </c>
      <c r="I877" s="18">
        <v>30</v>
      </c>
      <c r="J877" s="18">
        <v>120</v>
      </c>
      <c r="K877" s="21" t="str">
        <f t="shared" si="27"/>
        <v>Low</v>
      </c>
      <c r="L877" s="18">
        <f>YEAR(B877)</f>
        <v>2023</v>
      </c>
      <c r="M877" s="18">
        <f>ROUNDUP(MONTH(B877)/3,0)</f>
        <v>4</v>
      </c>
      <c r="N877" s="20" t="str">
        <f>TEXT(B877,"dddd")</f>
        <v>Monday</v>
      </c>
      <c r="O877" s="20" t="str">
        <f>TEXT(B877,"mmmm")</f>
        <v>October</v>
      </c>
    </row>
    <row r="878" spans="1:15" x14ac:dyDescent="0.3">
      <c r="A878" s="18">
        <v>877</v>
      </c>
      <c r="B878" s="19">
        <v>45096</v>
      </c>
      <c r="C878" s="20" t="s">
        <v>885</v>
      </c>
      <c r="D878" s="20" t="s">
        <v>8</v>
      </c>
      <c r="E878" s="18">
        <v>58</v>
      </c>
      <c r="F878" s="18" t="str">
        <f t="shared" si="26"/>
        <v>Adult</v>
      </c>
      <c r="G878" s="20" t="s">
        <v>9</v>
      </c>
      <c r="H878" s="18">
        <v>1</v>
      </c>
      <c r="I878" s="18">
        <v>25</v>
      </c>
      <c r="J878" s="18">
        <v>25</v>
      </c>
      <c r="K878" s="21" t="str">
        <f t="shared" si="27"/>
        <v>Low</v>
      </c>
      <c r="L878" s="18">
        <f>YEAR(B878)</f>
        <v>2023</v>
      </c>
      <c r="M878" s="18">
        <f>ROUNDUP(MONTH(B878)/3,0)</f>
        <v>2</v>
      </c>
      <c r="N878" s="20" t="str">
        <f>TEXT(B878,"dddd")</f>
        <v>Monday</v>
      </c>
      <c r="O878" s="20" t="str">
        <f>TEXT(B878,"mmmm")</f>
        <v>June</v>
      </c>
    </row>
    <row r="879" spans="1:15" x14ac:dyDescent="0.3">
      <c r="A879" s="18">
        <v>878</v>
      </c>
      <c r="B879" s="19">
        <v>45107</v>
      </c>
      <c r="C879" s="20" t="s">
        <v>886</v>
      </c>
      <c r="D879" s="20" t="s">
        <v>8</v>
      </c>
      <c r="E879" s="18">
        <v>20</v>
      </c>
      <c r="F879" s="18" t="str">
        <f t="shared" si="26"/>
        <v>Young</v>
      </c>
      <c r="G879" s="20" t="s">
        <v>9</v>
      </c>
      <c r="H879" s="18">
        <v>1</v>
      </c>
      <c r="I879" s="18">
        <v>30</v>
      </c>
      <c r="J879" s="18">
        <v>30</v>
      </c>
      <c r="K879" s="21" t="str">
        <f t="shared" si="27"/>
        <v>Low</v>
      </c>
      <c r="L879" s="18">
        <f>YEAR(B879)</f>
        <v>2023</v>
      </c>
      <c r="M879" s="18">
        <f>ROUNDUP(MONTH(B879)/3,0)</f>
        <v>2</v>
      </c>
      <c r="N879" s="20" t="str">
        <f>TEXT(B879,"dddd")</f>
        <v>Friday</v>
      </c>
      <c r="O879" s="20" t="str">
        <f>TEXT(B879,"mmmm")</f>
        <v>June</v>
      </c>
    </row>
    <row r="880" spans="1:15" x14ac:dyDescent="0.3">
      <c r="A880" s="18">
        <v>879</v>
      </c>
      <c r="B880" s="19">
        <v>45286</v>
      </c>
      <c r="C880" s="20" t="s">
        <v>887</v>
      </c>
      <c r="D880" s="20" t="s">
        <v>5</v>
      </c>
      <c r="E880" s="18">
        <v>23</v>
      </c>
      <c r="F880" s="18" t="str">
        <f t="shared" si="26"/>
        <v>Young</v>
      </c>
      <c r="G880" s="20" t="s">
        <v>9</v>
      </c>
      <c r="H880" s="18">
        <v>1</v>
      </c>
      <c r="I880" s="18">
        <v>30</v>
      </c>
      <c r="J880" s="18">
        <v>30</v>
      </c>
      <c r="K880" s="21" t="str">
        <f t="shared" si="27"/>
        <v>Low</v>
      </c>
      <c r="L880" s="18">
        <f>YEAR(B880)</f>
        <v>2023</v>
      </c>
      <c r="M880" s="18">
        <f>ROUNDUP(MONTH(B880)/3,0)</f>
        <v>4</v>
      </c>
      <c r="N880" s="20" t="str">
        <f>TEXT(B880,"dddd")</f>
        <v>Tuesday</v>
      </c>
      <c r="O880" s="20" t="str">
        <f>TEXT(B880,"mmmm")</f>
        <v>December</v>
      </c>
    </row>
    <row r="881" spans="1:15" x14ac:dyDescent="0.3">
      <c r="A881" s="18">
        <v>880</v>
      </c>
      <c r="B881" s="19">
        <v>45159</v>
      </c>
      <c r="C881" s="20" t="s">
        <v>888</v>
      </c>
      <c r="D881" s="20" t="s">
        <v>5</v>
      </c>
      <c r="E881" s="18">
        <v>22</v>
      </c>
      <c r="F881" s="18" t="str">
        <f t="shared" si="26"/>
        <v>Young</v>
      </c>
      <c r="G881" s="20" t="s">
        <v>6</v>
      </c>
      <c r="H881" s="18">
        <v>2</v>
      </c>
      <c r="I881" s="18">
        <v>500</v>
      </c>
      <c r="J881" s="18">
        <v>1000</v>
      </c>
      <c r="K881" s="21" t="str">
        <f t="shared" si="27"/>
        <v>Medium</v>
      </c>
      <c r="L881" s="18">
        <f>YEAR(B881)</f>
        <v>2023</v>
      </c>
      <c r="M881" s="18">
        <f>ROUNDUP(MONTH(B881)/3,0)</f>
        <v>3</v>
      </c>
      <c r="N881" s="20" t="str">
        <f>TEXT(B881,"dddd")</f>
        <v>Monday</v>
      </c>
      <c r="O881" s="20" t="str">
        <f>TEXT(B881,"mmmm")</f>
        <v>August</v>
      </c>
    </row>
    <row r="882" spans="1:15" x14ac:dyDescent="0.3">
      <c r="A882" s="18">
        <v>881</v>
      </c>
      <c r="B882" s="19">
        <v>45065</v>
      </c>
      <c r="C882" s="20" t="s">
        <v>889</v>
      </c>
      <c r="D882" s="20" t="s">
        <v>5</v>
      </c>
      <c r="E882" s="18">
        <v>22</v>
      </c>
      <c r="F882" s="18" t="str">
        <f t="shared" si="26"/>
        <v>Young</v>
      </c>
      <c r="G882" s="20" t="s">
        <v>11</v>
      </c>
      <c r="H882" s="18">
        <v>1</v>
      </c>
      <c r="I882" s="18">
        <v>300</v>
      </c>
      <c r="J882" s="18">
        <v>300</v>
      </c>
      <c r="K882" s="21" t="str">
        <f t="shared" si="27"/>
        <v>Low</v>
      </c>
      <c r="L882" s="18">
        <f>YEAR(B882)</f>
        <v>2023</v>
      </c>
      <c r="M882" s="18">
        <f>ROUNDUP(MONTH(B882)/3,0)</f>
        <v>2</v>
      </c>
      <c r="N882" s="20" t="str">
        <f>TEXT(B882,"dddd")</f>
        <v>Friday</v>
      </c>
      <c r="O882" s="20" t="str">
        <f>TEXT(B882,"mmmm")</f>
        <v>May</v>
      </c>
    </row>
    <row r="883" spans="1:15" x14ac:dyDescent="0.3">
      <c r="A883" s="18">
        <v>882</v>
      </c>
      <c r="B883" s="19">
        <v>45083</v>
      </c>
      <c r="C883" s="20" t="s">
        <v>890</v>
      </c>
      <c r="D883" s="20" t="s">
        <v>8</v>
      </c>
      <c r="E883" s="18">
        <v>64</v>
      </c>
      <c r="F883" s="18" t="str">
        <f t="shared" si="26"/>
        <v>Senior</v>
      </c>
      <c r="G883" s="20" t="s">
        <v>11</v>
      </c>
      <c r="H883" s="18">
        <v>2</v>
      </c>
      <c r="I883" s="18">
        <v>25</v>
      </c>
      <c r="J883" s="18">
        <v>50</v>
      </c>
      <c r="K883" s="21" t="str">
        <f t="shared" si="27"/>
        <v>Low</v>
      </c>
      <c r="L883" s="18">
        <f>YEAR(B883)</f>
        <v>2023</v>
      </c>
      <c r="M883" s="18">
        <f>ROUNDUP(MONTH(B883)/3,0)</f>
        <v>2</v>
      </c>
      <c r="N883" s="20" t="str">
        <f>TEXT(B883,"dddd")</f>
        <v>Tuesday</v>
      </c>
      <c r="O883" s="20" t="str">
        <f>TEXT(B883,"mmmm")</f>
        <v>June</v>
      </c>
    </row>
    <row r="884" spans="1:15" x14ac:dyDescent="0.3">
      <c r="A884" s="18">
        <v>883</v>
      </c>
      <c r="B884" s="19">
        <v>45055</v>
      </c>
      <c r="C884" s="20" t="s">
        <v>891</v>
      </c>
      <c r="D884" s="20" t="s">
        <v>5</v>
      </c>
      <c r="E884" s="18">
        <v>40</v>
      </c>
      <c r="F884" s="18" t="str">
        <f t="shared" si="26"/>
        <v>Adult</v>
      </c>
      <c r="G884" s="20" t="s">
        <v>11</v>
      </c>
      <c r="H884" s="18">
        <v>1</v>
      </c>
      <c r="I884" s="18">
        <v>500</v>
      </c>
      <c r="J884" s="18">
        <v>500</v>
      </c>
      <c r="K884" s="21" t="str">
        <f t="shared" si="27"/>
        <v>Low</v>
      </c>
      <c r="L884" s="18">
        <f>YEAR(B884)</f>
        <v>2023</v>
      </c>
      <c r="M884" s="18">
        <f>ROUNDUP(MONTH(B884)/3,0)</f>
        <v>2</v>
      </c>
      <c r="N884" s="20" t="str">
        <f>TEXT(B884,"dddd")</f>
        <v>Tuesday</v>
      </c>
      <c r="O884" s="20" t="str">
        <f>TEXT(B884,"mmmm")</f>
        <v>May</v>
      </c>
    </row>
    <row r="885" spans="1:15" x14ac:dyDescent="0.3">
      <c r="A885" s="18">
        <v>884</v>
      </c>
      <c r="B885" s="19">
        <v>45045</v>
      </c>
      <c r="C885" s="20" t="s">
        <v>892</v>
      </c>
      <c r="D885" s="20" t="s">
        <v>8</v>
      </c>
      <c r="E885" s="18">
        <v>26</v>
      </c>
      <c r="F885" s="18" t="str">
        <f t="shared" si="26"/>
        <v>Young</v>
      </c>
      <c r="G885" s="20" t="s">
        <v>9</v>
      </c>
      <c r="H885" s="18">
        <v>2</v>
      </c>
      <c r="I885" s="18">
        <v>30</v>
      </c>
      <c r="J885" s="18">
        <v>60</v>
      </c>
      <c r="K885" s="21" t="str">
        <f t="shared" si="27"/>
        <v>Low</v>
      </c>
      <c r="L885" s="18">
        <f>YEAR(B885)</f>
        <v>2023</v>
      </c>
      <c r="M885" s="18">
        <f>ROUNDUP(MONTH(B885)/3,0)</f>
        <v>2</v>
      </c>
      <c r="N885" s="20" t="str">
        <f>TEXT(B885,"dddd")</f>
        <v>Saturday</v>
      </c>
      <c r="O885" s="20" t="str">
        <f>TEXT(B885,"mmmm")</f>
        <v>April</v>
      </c>
    </row>
    <row r="886" spans="1:15" x14ac:dyDescent="0.3">
      <c r="A886" s="18">
        <v>885</v>
      </c>
      <c r="B886" s="19">
        <v>44988</v>
      </c>
      <c r="C886" s="20" t="s">
        <v>893</v>
      </c>
      <c r="D886" s="20" t="s">
        <v>8</v>
      </c>
      <c r="E886" s="18">
        <v>52</v>
      </c>
      <c r="F886" s="18" t="str">
        <f t="shared" si="26"/>
        <v>Adult</v>
      </c>
      <c r="G886" s="20" t="s">
        <v>9</v>
      </c>
      <c r="H886" s="18">
        <v>4</v>
      </c>
      <c r="I886" s="18">
        <v>30</v>
      </c>
      <c r="J886" s="18">
        <v>120</v>
      </c>
      <c r="K886" s="21" t="str">
        <f t="shared" si="27"/>
        <v>Low</v>
      </c>
      <c r="L886" s="18">
        <f>YEAR(B886)</f>
        <v>2023</v>
      </c>
      <c r="M886" s="18">
        <f>ROUNDUP(MONTH(B886)/3,0)</f>
        <v>1</v>
      </c>
      <c r="N886" s="20" t="str">
        <f>TEXT(B886,"dddd")</f>
        <v>Friday</v>
      </c>
      <c r="O886" s="20" t="str">
        <f>TEXT(B886,"mmmm")</f>
        <v>March</v>
      </c>
    </row>
    <row r="887" spans="1:15" x14ac:dyDescent="0.3">
      <c r="A887" s="18">
        <v>886</v>
      </c>
      <c r="B887" s="19">
        <v>45025</v>
      </c>
      <c r="C887" s="20" t="s">
        <v>894</v>
      </c>
      <c r="D887" s="20" t="s">
        <v>5</v>
      </c>
      <c r="E887" s="18">
        <v>37</v>
      </c>
      <c r="F887" s="18" t="str">
        <f t="shared" si="26"/>
        <v>Adult</v>
      </c>
      <c r="G887" s="20" t="s">
        <v>11</v>
      </c>
      <c r="H887" s="18">
        <v>3</v>
      </c>
      <c r="I887" s="18">
        <v>300</v>
      </c>
      <c r="J887" s="18">
        <v>900</v>
      </c>
      <c r="K887" s="21" t="str">
        <f t="shared" si="27"/>
        <v>Medium</v>
      </c>
      <c r="L887" s="18">
        <f>YEAR(B887)</f>
        <v>2023</v>
      </c>
      <c r="M887" s="18">
        <f>ROUNDUP(MONTH(B887)/3,0)</f>
        <v>2</v>
      </c>
      <c r="N887" s="20" t="str">
        <f>TEXT(B887,"dddd")</f>
        <v>Sunday</v>
      </c>
      <c r="O887" s="20" t="str">
        <f>TEXT(B887,"mmmm")</f>
        <v>April</v>
      </c>
    </row>
    <row r="888" spans="1:15" x14ac:dyDescent="0.3">
      <c r="A888" s="18">
        <v>887</v>
      </c>
      <c r="B888" s="19">
        <v>45088</v>
      </c>
      <c r="C888" s="20" t="s">
        <v>895</v>
      </c>
      <c r="D888" s="20" t="s">
        <v>5</v>
      </c>
      <c r="E888" s="18">
        <v>59</v>
      </c>
      <c r="F888" s="18" t="str">
        <f t="shared" si="26"/>
        <v>Adult</v>
      </c>
      <c r="G888" s="20" t="s">
        <v>9</v>
      </c>
      <c r="H888" s="18">
        <v>4</v>
      </c>
      <c r="I888" s="18">
        <v>25</v>
      </c>
      <c r="J888" s="18">
        <v>100</v>
      </c>
      <c r="K888" s="21" t="str">
        <f t="shared" si="27"/>
        <v>Low</v>
      </c>
      <c r="L888" s="18">
        <f>YEAR(B888)</f>
        <v>2023</v>
      </c>
      <c r="M888" s="18">
        <f>ROUNDUP(MONTH(B888)/3,0)</f>
        <v>2</v>
      </c>
      <c r="N888" s="20" t="str">
        <f>TEXT(B888,"dddd")</f>
        <v>Sunday</v>
      </c>
      <c r="O888" s="20" t="str">
        <f>TEXT(B888,"mmmm")</f>
        <v>June</v>
      </c>
    </row>
    <row r="889" spans="1:15" x14ac:dyDescent="0.3">
      <c r="A889" s="18">
        <v>888</v>
      </c>
      <c r="B889" s="19">
        <v>44988</v>
      </c>
      <c r="C889" s="20" t="s">
        <v>896</v>
      </c>
      <c r="D889" s="20" t="s">
        <v>8</v>
      </c>
      <c r="E889" s="18">
        <v>52</v>
      </c>
      <c r="F889" s="18" t="str">
        <f t="shared" si="26"/>
        <v>Adult</v>
      </c>
      <c r="G889" s="20" t="s">
        <v>11</v>
      </c>
      <c r="H889" s="18">
        <v>4</v>
      </c>
      <c r="I889" s="18">
        <v>25</v>
      </c>
      <c r="J889" s="18">
        <v>100</v>
      </c>
      <c r="K889" s="21" t="str">
        <f t="shared" si="27"/>
        <v>Low</v>
      </c>
      <c r="L889" s="18">
        <f>YEAR(B889)</f>
        <v>2023</v>
      </c>
      <c r="M889" s="18">
        <f>ROUNDUP(MONTH(B889)/3,0)</f>
        <v>1</v>
      </c>
      <c r="N889" s="20" t="str">
        <f>TEXT(B889,"dddd")</f>
        <v>Friday</v>
      </c>
      <c r="O889" s="20" t="str">
        <f>TEXT(B889,"mmmm")</f>
        <v>March</v>
      </c>
    </row>
    <row r="890" spans="1:15" x14ac:dyDescent="0.3">
      <c r="A890" s="18">
        <v>889</v>
      </c>
      <c r="B890" s="19">
        <v>45201</v>
      </c>
      <c r="C890" s="20" t="s">
        <v>897</v>
      </c>
      <c r="D890" s="20" t="s">
        <v>8</v>
      </c>
      <c r="E890" s="18">
        <v>35</v>
      </c>
      <c r="F890" s="18" t="str">
        <f t="shared" si="26"/>
        <v>Adult</v>
      </c>
      <c r="G890" s="20" t="s">
        <v>11</v>
      </c>
      <c r="H890" s="18">
        <v>1</v>
      </c>
      <c r="I890" s="18">
        <v>50</v>
      </c>
      <c r="J890" s="18">
        <v>50</v>
      </c>
      <c r="K890" s="21" t="str">
        <f t="shared" si="27"/>
        <v>Low</v>
      </c>
      <c r="L890" s="18">
        <f>YEAR(B890)</f>
        <v>2023</v>
      </c>
      <c r="M890" s="18">
        <f>ROUNDUP(MONTH(B890)/3,0)</f>
        <v>4</v>
      </c>
      <c r="N890" s="20" t="str">
        <f>TEXT(B890,"dddd")</f>
        <v>Monday</v>
      </c>
      <c r="O890" s="20" t="str">
        <f>TEXT(B890,"mmmm")</f>
        <v>October</v>
      </c>
    </row>
    <row r="891" spans="1:15" x14ac:dyDescent="0.3">
      <c r="A891" s="18">
        <v>890</v>
      </c>
      <c r="B891" s="19">
        <v>45280</v>
      </c>
      <c r="C891" s="20" t="s">
        <v>898</v>
      </c>
      <c r="D891" s="20" t="s">
        <v>5</v>
      </c>
      <c r="E891" s="18">
        <v>34</v>
      </c>
      <c r="F891" s="18" t="str">
        <f t="shared" si="26"/>
        <v>Adult</v>
      </c>
      <c r="G891" s="20" t="s">
        <v>11</v>
      </c>
      <c r="H891" s="18">
        <v>2</v>
      </c>
      <c r="I891" s="18">
        <v>25</v>
      </c>
      <c r="J891" s="18">
        <v>50</v>
      </c>
      <c r="K891" s="21" t="str">
        <f t="shared" si="27"/>
        <v>Low</v>
      </c>
      <c r="L891" s="18">
        <f>YEAR(B891)</f>
        <v>2023</v>
      </c>
      <c r="M891" s="18">
        <f>ROUNDUP(MONTH(B891)/3,0)</f>
        <v>4</v>
      </c>
      <c r="N891" s="20" t="str">
        <f>TEXT(B891,"dddd")</f>
        <v>Wednesday</v>
      </c>
      <c r="O891" s="20" t="str">
        <f>TEXT(B891,"mmmm")</f>
        <v>December</v>
      </c>
    </row>
    <row r="892" spans="1:15" x14ac:dyDescent="0.3">
      <c r="A892" s="18">
        <v>891</v>
      </c>
      <c r="B892" s="19">
        <v>45021</v>
      </c>
      <c r="C892" s="20" t="s">
        <v>899</v>
      </c>
      <c r="D892" s="20" t="s">
        <v>5</v>
      </c>
      <c r="E892" s="18">
        <v>41</v>
      </c>
      <c r="F892" s="18" t="str">
        <f t="shared" si="26"/>
        <v>Adult</v>
      </c>
      <c r="G892" s="20" t="s">
        <v>11</v>
      </c>
      <c r="H892" s="18">
        <v>3</v>
      </c>
      <c r="I892" s="18">
        <v>300</v>
      </c>
      <c r="J892" s="18">
        <v>900</v>
      </c>
      <c r="K892" s="21" t="str">
        <f t="shared" si="27"/>
        <v>Medium</v>
      </c>
      <c r="L892" s="18">
        <f>YEAR(B892)</f>
        <v>2023</v>
      </c>
      <c r="M892" s="18">
        <f>ROUNDUP(MONTH(B892)/3,0)</f>
        <v>2</v>
      </c>
      <c r="N892" s="20" t="str">
        <f>TEXT(B892,"dddd")</f>
        <v>Wednesday</v>
      </c>
      <c r="O892" s="20" t="str">
        <f>TEXT(B892,"mmmm")</f>
        <v>April</v>
      </c>
    </row>
    <row r="893" spans="1:15" x14ac:dyDescent="0.3">
      <c r="A893" s="18">
        <v>892</v>
      </c>
      <c r="B893" s="19">
        <v>45025</v>
      </c>
      <c r="C893" s="20" t="s">
        <v>900</v>
      </c>
      <c r="D893" s="20" t="s">
        <v>5</v>
      </c>
      <c r="E893" s="18">
        <v>20</v>
      </c>
      <c r="F893" s="18" t="str">
        <f t="shared" si="26"/>
        <v>Young</v>
      </c>
      <c r="G893" s="20" t="s">
        <v>11</v>
      </c>
      <c r="H893" s="18">
        <v>1</v>
      </c>
      <c r="I893" s="18">
        <v>50</v>
      </c>
      <c r="J893" s="18">
        <v>50</v>
      </c>
      <c r="K893" s="21" t="str">
        <f t="shared" si="27"/>
        <v>Low</v>
      </c>
      <c r="L893" s="18">
        <f>YEAR(B893)</f>
        <v>2023</v>
      </c>
      <c r="M893" s="18">
        <f>ROUNDUP(MONTH(B893)/3,0)</f>
        <v>2</v>
      </c>
      <c r="N893" s="20" t="str">
        <f>TEXT(B893,"dddd")</f>
        <v>Sunday</v>
      </c>
      <c r="O893" s="20" t="str">
        <f>TEXT(B893,"mmmm")</f>
        <v>April</v>
      </c>
    </row>
    <row r="894" spans="1:15" x14ac:dyDescent="0.3">
      <c r="A894" s="18">
        <v>893</v>
      </c>
      <c r="B894" s="19">
        <v>45037</v>
      </c>
      <c r="C894" s="20" t="s">
        <v>901</v>
      </c>
      <c r="D894" s="20" t="s">
        <v>5</v>
      </c>
      <c r="E894" s="18">
        <v>49</v>
      </c>
      <c r="F894" s="18" t="str">
        <f t="shared" si="26"/>
        <v>Adult</v>
      </c>
      <c r="G894" s="20" t="s">
        <v>11</v>
      </c>
      <c r="H894" s="18">
        <v>1</v>
      </c>
      <c r="I894" s="18">
        <v>50</v>
      </c>
      <c r="J894" s="18">
        <v>50</v>
      </c>
      <c r="K894" s="21" t="str">
        <f t="shared" si="27"/>
        <v>Low</v>
      </c>
      <c r="L894" s="18">
        <f>YEAR(B894)</f>
        <v>2023</v>
      </c>
      <c r="M894" s="18">
        <f>ROUNDUP(MONTH(B894)/3,0)</f>
        <v>2</v>
      </c>
      <c r="N894" s="20" t="str">
        <f>TEXT(B894,"dddd")</f>
        <v>Friday</v>
      </c>
      <c r="O894" s="20" t="str">
        <f>TEXT(B894,"mmmm")</f>
        <v>April</v>
      </c>
    </row>
    <row r="895" spans="1:15" x14ac:dyDescent="0.3">
      <c r="A895" s="18">
        <v>894</v>
      </c>
      <c r="B895" s="19">
        <v>45174</v>
      </c>
      <c r="C895" s="20" t="s">
        <v>902</v>
      </c>
      <c r="D895" s="20" t="s">
        <v>5</v>
      </c>
      <c r="E895" s="18">
        <v>52</v>
      </c>
      <c r="F895" s="18" t="str">
        <f t="shared" si="26"/>
        <v>Adult</v>
      </c>
      <c r="G895" s="20" t="s">
        <v>11</v>
      </c>
      <c r="H895" s="18">
        <v>1</v>
      </c>
      <c r="I895" s="18">
        <v>30</v>
      </c>
      <c r="J895" s="18">
        <v>30</v>
      </c>
      <c r="K895" s="21" t="str">
        <f t="shared" si="27"/>
        <v>Low</v>
      </c>
      <c r="L895" s="18">
        <f>YEAR(B895)</f>
        <v>2023</v>
      </c>
      <c r="M895" s="18">
        <f>ROUNDUP(MONTH(B895)/3,0)</f>
        <v>3</v>
      </c>
      <c r="N895" s="20" t="str">
        <f>TEXT(B895,"dddd")</f>
        <v>Tuesday</v>
      </c>
      <c r="O895" s="20" t="str">
        <f>TEXT(B895,"mmmm")</f>
        <v>September</v>
      </c>
    </row>
    <row r="896" spans="1:15" x14ac:dyDescent="0.3">
      <c r="A896" s="18">
        <v>895</v>
      </c>
      <c r="B896" s="19">
        <v>45068</v>
      </c>
      <c r="C896" s="20" t="s">
        <v>903</v>
      </c>
      <c r="D896" s="20" t="s">
        <v>8</v>
      </c>
      <c r="E896" s="18">
        <v>55</v>
      </c>
      <c r="F896" s="18" t="str">
        <f t="shared" si="26"/>
        <v>Adult</v>
      </c>
      <c r="G896" s="20" t="s">
        <v>9</v>
      </c>
      <c r="H896" s="18">
        <v>4</v>
      </c>
      <c r="I896" s="18">
        <v>30</v>
      </c>
      <c r="J896" s="18">
        <v>120</v>
      </c>
      <c r="K896" s="21" t="str">
        <f t="shared" si="27"/>
        <v>Low</v>
      </c>
      <c r="L896" s="18">
        <f>YEAR(B896)</f>
        <v>2023</v>
      </c>
      <c r="M896" s="18">
        <f>ROUNDUP(MONTH(B896)/3,0)</f>
        <v>2</v>
      </c>
      <c r="N896" s="20" t="str">
        <f>TEXT(B896,"dddd")</f>
        <v>Monday</v>
      </c>
      <c r="O896" s="20" t="str">
        <f>TEXT(B896,"mmmm")</f>
        <v>May</v>
      </c>
    </row>
    <row r="897" spans="1:15" x14ac:dyDescent="0.3">
      <c r="A897" s="18">
        <v>896</v>
      </c>
      <c r="B897" s="19">
        <v>45228</v>
      </c>
      <c r="C897" s="20" t="s">
        <v>904</v>
      </c>
      <c r="D897" s="20" t="s">
        <v>8</v>
      </c>
      <c r="E897" s="18">
        <v>30</v>
      </c>
      <c r="F897" s="18" t="str">
        <f t="shared" si="26"/>
        <v>Young</v>
      </c>
      <c r="G897" s="20" t="s">
        <v>11</v>
      </c>
      <c r="H897" s="18">
        <v>2</v>
      </c>
      <c r="I897" s="18">
        <v>25</v>
      </c>
      <c r="J897" s="18">
        <v>50</v>
      </c>
      <c r="K897" s="21" t="str">
        <f t="shared" si="27"/>
        <v>Low</v>
      </c>
      <c r="L897" s="18">
        <f>YEAR(B897)</f>
        <v>2023</v>
      </c>
      <c r="M897" s="18">
        <f>ROUNDUP(MONTH(B897)/3,0)</f>
        <v>4</v>
      </c>
      <c r="N897" s="20" t="str">
        <f>TEXT(B897,"dddd")</f>
        <v>Sunday</v>
      </c>
      <c r="O897" s="20" t="str">
        <f>TEXT(B897,"mmmm")</f>
        <v>October</v>
      </c>
    </row>
    <row r="898" spans="1:15" x14ac:dyDescent="0.3">
      <c r="A898" s="18">
        <v>897</v>
      </c>
      <c r="B898" s="19">
        <v>45195</v>
      </c>
      <c r="C898" s="20" t="s">
        <v>905</v>
      </c>
      <c r="D898" s="20" t="s">
        <v>8</v>
      </c>
      <c r="E898" s="18">
        <v>64</v>
      </c>
      <c r="F898" s="18" t="str">
        <f t="shared" si="26"/>
        <v>Senior</v>
      </c>
      <c r="G898" s="20" t="s">
        <v>11</v>
      </c>
      <c r="H898" s="18">
        <v>2</v>
      </c>
      <c r="I898" s="18">
        <v>50</v>
      </c>
      <c r="J898" s="18">
        <v>100</v>
      </c>
      <c r="K898" s="21" t="str">
        <f t="shared" si="27"/>
        <v>Low</v>
      </c>
      <c r="L898" s="18">
        <f>YEAR(B898)</f>
        <v>2023</v>
      </c>
      <c r="M898" s="18">
        <f>ROUNDUP(MONTH(B898)/3,0)</f>
        <v>3</v>
      </c>
      <c r="N898" s="20" t="str">
        <f>TEXT(B898,"dddd")</f>
        <v>Tuesday</v>
      </c>
      <c r="O898" s="20" t="str">
        <f>TEXT(B898,"mmmm")</f>
        <v>September</v>
      </c>
    </row>
    <row r="899" spans="1:15" x14ac:dyDescent="0.3">
      <c r="A899" s="18">
        <v>898</v>
      </c>
      <c r="B899" s="19">
        <v>45232</v>
      </c>
      <c r="C899" s="20" t="s">
        <v>906</v>
      </c>
      <c r="D899" s="20" t="s">
        <v>8</v>
      </c>
      <c r="E899" s="18">
        <v>42</v>
      </c>
      <c r="F899" s="18" t="str">
        <f t="shared" ref="F899:F962" si="28">IF(E899&gt;60,"Senior",IF(E899&gt;30,"Adult","Young"))</f>
        <v>Adult</v>
      </c>
      <c r="G899" s="20" t="s">
        <v>9</v>
      </c>
      <c r="H899" s="18">
        <v>3</v>
      </c>
      <c r="I899" s="18">
        <v>30</v>
      </c>
      <c r="J899" s="18">
        <v>90</v>
      </c>
      <c r="K899" s="21" t="str">
        <f t="shared" ref="K899:K962" si="29">IF(J899&gt;1500,"High",IF(J899&gt;500,"Medium","Low"))</f>
        <v>Low</v>
      </c>
      <c r="L899" s="18">
        <f>YEAR(B899)</f>
        <v>2023</v>
      </c>
      <c r="M899" s="18">
        <f>ROUNDUP(MONTH(B899)/3,0)</f>
        <v>4</v>
      </c>
      <c r="N899" s="20" t="str">
        <f>TEXT(B899,"dddd")</f>
        <v>Thursday</v>
      </c>
      <c r="O899" s="20" t="str">
        <f>TEXT(B899,"mmmm")</f>
        <v>November</v>
      </c>
    </row>
    <row r="900" spans="1:15" x14ac:dyDescent="0.3">
      <c r="A900" s="18">
        <v>899</v>
      </c>
      <c r="B900" s="19">
        <v>45071</v>
      </c>
      <c r="C900" s="20" t="s">
        <v>907</v>
      </c>
      <c r="D900" s="20" t="s">
        <v>5</v>
      </c>
      <c r="E900" s="18">
        <v>26</v>
      </c>
      <c r="F900" s="18" t="str">
        <f t="shared" si="28"/>
        <v>Young</v>
      </c>
      <c r="G900" s="20" t="s">
        <v>9</v>
      </c>
      <c r="H900" s="18">
        <v>2</v>
      </c>
      <c r="I900" s="18">
        <v>300</v>
      </c>
      <c r="J900" s="18">
        <v>600</v>
      </c>
      <c r="K900" s="21" t="str">
        <f t="shared" si="29"/>
        <v>Medium</v>
      </c>
      <c r="L900" s="18">
        <f>YEAR(B900)</f>
        <v>2023</v>
      </c>
      <c r="M900" s="18">
        <f>ROUNDUP(MONTH(B900)/3,0)</f>
        <v>2</v>
      </c>
      <c r="N900" s="20" t="str">
        <f>TEXT(B900,"dddd")</f>
        <v>Thursday</v>
      </c>
      <c r="O900" s="20" t="str">
        <f>TEXT(B900,"mmmm")</f>
        <v>May</v>
      </c>
    </row>
    <row r="901" spans="1:15" x14ac:dyDescent="0.3">
      <c r="A901" s="18">
        <v>900</v>
      </c>
      <c r="B901" s="19">
        <v>44978</v>
      </c>
      <c r="C901" s="20" t="s">
        <v>908</v>
      </c>
      <c r="D901" s="20" t="s">
        <v>5</v>
      </c>
      <c r="E901" s="18">
        <v>21</v>
      </c>
      <c r="F901" s="18" t="str">
        <f t="shared" si="28"/>
        <v>Young</v>
      </c>
      <c r="G901" s="20" t="s">
        <v>9</v>
      </c>
      <c r="H901" s="18">
        <v>2</v>
      </c>
      <c r="I901" s="18">
        <v>30</v>
      </c>
      <c r="J901" s="18">
        <v>60</v>
      </c>
      <c r="K901" s="21" t="str">
        <f t="shared" si="29"/>
        <v>Low</v>
      </c>
      <c r="L901" s="18">
        <f>YEAR(B901)</f>
        <v>2023</v>
      </c>
      <c r="M901" s="18">
        <f>ROUNDUP(MONTH(B901)/3,0)</f>
        <v>1</v>
      </c>
      <c r="N901" s="20" t="str">
        <f>TEXT(B901,"dddd")</f>
        <v>Tuesday</v>
      </c>
      <c r="O901" s="20" t="str">
        <f>TEXT(B901,"mmmm")</f>
        <v>February</v>
      </c>
    </row>
    <row r="902" spans="1:15" x14ac:dyDescent="0.3">
      <c r="A902" s="18">
        <v>901</v>
      </c>
      <c r="B902" s="19">
        <v>45026</v>
      </c>
      <c r="C902" s="20" t="s">
        <v>909</v>
      </c>
      <c r="D902" s="20" t="s">
        <v>5</v>
      </c>
      <c r="E902" s="18">
        <v>31</v>
      </c>
      <c r="F902" s="18" t="str">
        <f t="shared" si="28"/>
        <v>Adult</v>
      </c>
      <c r="G902" s="20" t="s">
        <v>11</v>
      </c>
      <c r="H902" s="18">
        <v>1</v>
      </c>
      <c r="I902" s="18">
        <v>30</v>
      </c>
      <c r="J902" s="18">
        <v>30</v>
      </c>
      <c r="K902" s="21" t="str">
        <f t="shared" si="29"/>
        <v>Low</v>
      </c>
      <c r="L902" s="18">
        <f>YEAR(B902)</f>
        <v>2023</v>
      </c>
      <c r="M902" s="18">
        <f>ROUNDUP(MONTH(B902)/3,0)</f>
        <v>2</v>
      </c>
      <c r="N902" s="20" t="str">
        <f>TEXT(B902,"dddd")</f>
        <v>Monday</v>
      </c>
      <c r="O902" s="20" t="str">
        <f>TEXT(B902,"mmmm")</f>
        <v>April</v>
      </c>
    </row>
    <row r="903" spans="1:15" x14ac:dyDescent="0.3">
      <c r="A903" s="18">
        <v>902</v>
      </c>
      <c r="B903" s="19">
        <v>45078</v>
      </c>
      <c r="C903" s="20" t="s">
        <v>910</v>
      </c>
      <c r="D903" s="20" t="s">
        <v>8</v>
      </c>
      <c r="E903" s="18">
        <v>54</v>
      </c>
      <c r="F903" s="18" t="str">
        <f t="shared" si="28"/>
        <v>Adult</v>
      </c>
      <c r="G903" s="20" t="s">
        <v>6</v>
      </c>
      <c r="H903" s="18">
        <v>1</v>
      </c>
      <c r="I903" s="18">
        <v>50</v>
      </c>
      <c r="J903" s="18">
        <v>50</v>
      </c>
      <c r="K903" s="21" t="str">
        <f t="shared" si="29"/>
        <v>Low</v>
      </c>
      <c r="L903" s="18">
        <f>YEAR(B903)</f>
        <v>2023</v>
      </c>
      <c r="M903" s="18">
        <f>ROUNDUP(MONTH(B903)/3,0)</f>
        <v>2</v>
      </c>
      <c r="N903" s="20" t="str">
        <f>TEXT(B903,"dddd")</f>
        <v>Thursday</v>
      </c>
      <c r="O903" s="20" t="str">
        <f>TEXT(B903,"mmmm")</f>
        <v>June</v>
      </c>
    </row>
    <row r="904" spans="1:15" x14ac:dyDescent="0.3">
      <c r="A904" s="18">
        <v>903</v>
      </c>
      <c r="B904" s="19">
        <v>45043</v>
      </c>
      <c r="C904" s="20" t="s">
        <v>911</v>
      </c>
      <c r="D904" s="20" t="s">
        <v>8</v>
      </c>
      <c r="E904" s="18">
        <v>51</v>
      </c>
      <c r="F904" s="18" t="str">
        <f t="shared" si="28"/>
        <v>Adult</v>
      </c>
      <c r="G904" s="20" t="s">
        <v>6</v>
      </c>
      <c r="H904" s="18">
        <v>4</v>
      </c>
      <c r="I904" s="18">
        <v>50</v>
      </c>
      <c r="J904" s="18">
        <v>200</v>
      </c>
      <c r="K904" s="21" t="str">
        <f t="shared" si="29"/>
        <v>Low</v>
      </c>
      <c r="L904" s="18">
        <f>YEAR(B904)</f>
        <v>2023</v>
      </c>
      <c r="M904" s="18">
        <f>ROUNDUP(MONTH(B904)/3,0)</f>
        <v>2</v>
      </c>
      <c r="N904" s="20" t="str">
        <f>TEXT(B904,"dddd")</f>
        <v>Thursday</v>
      </c>
      <c r="O904" s="20" t="str">
        <f>TEXT(B904,"mmmm")</f>
        <v>April</v>
      </c>
    </row>
    <row r="905" spans="1:15" x14ac:dyDescent="0.3">
      <c r="A905" s="18">
        <v>904</v>
      </c>
      <c r="B905" s="19">
        <v>45111</v>
      </c>
      <c r="C905" s="20" t="s">
        <v>912</v>
      </c>
      <c r="D905" s="20" t="s">
        <v>5</v>
      </c>
      <c r="E905" s="18">
        <v>28</v>
      </c>
      <c r="F905" s="18" t="str">
        <f t="shared" si="28"/>
        <v>Young</v>
      </c>
      <c r="G905" s="20" t="s">
        <v>9</v>
      </c>
      <c r="H905" s="18">
        <v>1</v>
      </c>
      <c r="I905" s="18">
        <v>500</v>
      </c>
      <c r="J905" s="18">
        <v>500</v>
      </c>
      <c r="K905" s="21" t="str">
        <f t="shared" si="29"/>
        <v>Low</v>
      </c>
      <c r="L905" s="18">
        <f>YEAR(B905)</f>
        <v>2023</v>
      </c>
      <c r="M905" s="18">
        <f>ROUNDUP(MONTH(B905)/3,0)</f>
        <v>3</v>
      </c>
      <c r="N905" s="20" t="str">
        <f>TEXT(B905,"dddd")</f>
        <v>Tuesday</v>
      </c>
      <c r="O905" s="20" t="str">
        <f>TEXT(B905,"mmmm")</f>
        <v>July</v>
      </c>
    </row>
    <row r="906" spans="1:15" x14ac:dyDescent="0.3">
      <c r="A906" s="18">
        <v>905</v>
      </c>
      <c r="B906" s="19">
        <v>45018</v>
      </c>
      <c r="C906" s="20" t="s">
        <v>913</v>
      </c>
      <c r="D906" s="20" t="s">
        <v>5</v>
      </c>
      <c r="E906" s="18">
        <v>58</v>
      </c>
      <c r="F906" s="18" t="str">
        <f t="shared" si="28"/>
        <v>Adult</v>
      </c>
      <c r="G906" s="20" t="s">
        <v>6</v>
      </c>
      <c r="H906" s="18">
        <v>1</v>
      </c>
      <c r="I906" s="18">
        <v>300</v>
      </c>
      <c r="J906" s="18">
        <v>300</v>
      </c>
      <c r="K906" s="21" t="str">
        <f t="shared" si="29"/>
        <v>Low</v>
      </c>
      <c r="L906" s="18">
        <f>YEAR(B906)</f>
        <v>2023</v>
      </c>
      <c r="M906" s="18">
        <f>ROUNDUP(MONTH(B906)/3,0)</f>
        <v>2</v>
      </c>
      <c r="N906" s="20" t="str">
        <f>TEXT(B906,"dddd")</f>
        <v>Sunday</v>
      </c>
      <c r="O906" s="20" t="str">
        <f>TEXT(B906,"mmmm")</f>
        <v>April</v>
      </c>
    </row>
    <row r="907" spans="1:15" x14ac:dyDescent="0.3">
      <c r="A907" s="18">
        <v>906</v>
      </c>
      <c r="B907" s="19">
        <v>45081</v>
      </c>
      <c r="C907" s="20" t="s">
        <v>914</v>
      </c>
      <c r="D907" s="20" t="s">
        <v>8</v>
      </c>
      <c r="E907" s="18">
        <v>20</v>
      </c>
      <c r="F907" s="18" t="str">
        <f t="shared" si="28"/>
        <v>Young</v>
      </c>
      <c r="G907" s="20" t="s">
        <v>9</v>
      </c>
      <c r="H907" s="18">
        <v>1</v>
      </c>
      <c r="I907" s="18">
        <v>50</v>
      </c>
      <c r="J907" s="18">
        <v>50</v>
      </c>
      <c r="K907" s="21" t="str">
        <f t="shared" si="29"/>
        <v>Low</v>
      </c>
      <c r="L907" s="18">
        <f>YEAR(B907)</f>
        <v>2023</v>
      </c>
      <c r="M907" s="18">
        <f>ROUNDUP(MONTH(B907)/3,0)</f>
        <v>2</v>
      </c>
      <c r="N907" s="20" t="str">
        <f>TEXT(B907,"dddd")</f>
        <v>Sunday</v>
      </c>
      <c r="O907" s="20" t="str">
        <f>TEXT(B907,"mmmm")</f>
        <v>June</v>
      </c>
    </row>
    <row r="908" spans="1:15" x14ac:dyDescent="0.3">
      <c r="A908" s="18">
        <v>907</v>
      </c>
      <c r="B908" s="19">
        <v>44934</v>
      </c>
      <c r="C908" s="20" t="s">
        <v>915</v>
      </c>
      <c r="D908" s="20" t="s">
        <v>8</v>
      </c>
      <c r="E908" s="18">
        <v>45</v>
      </c>
      <c r="F908" s="18" t="str">
        <f t="shared" si="28"/>
        <v>Adult</v>
      </c>
      <c r="G908" s="20" t="s">
        <v>11</v>
      </c>
      <c r="H908" s="18">
        <v>1</v>
      </c>
      <c r="I908" s="18">
        <v>25</v>
      </c>
      <c r="J908" s="18">
        <v>25</v>
      </c>
      <c r="K908" s="21" t="str">
        <f t="shared" si="29"/>
        <v>Low</v>
      </c>
      <c r="L908" s="18">
        <f>YEAR(B908)</f>
        <v>2023</v>
      </c>
      <c r="M908" s="18">
        <f>ROUNDUP(MONTH(B908)/3,0)</f>
        <v>1</v>
      </c>
      <c r="N908" s="20" t="str">
        <f>TEXT(B908,"dddd")</f>
        <v>Sunday</v>
      </c>
      <c r="O908" s="20" t="str">
        <f>TEXT(B908,"mmmm")</f>
        <v>January</v>
      </c>
    </row>
    <row r="909" spans="1:15" x14ac:dyDescent="0.3">
      <c r="A909" s="18">
        <v>908</v>
      </c>
      <c r="B909" s="19">
        <v>45289</v>
      </c>
      <c r="C909" s="20" t="s">
        <v>916</v>
      </c>
      <c r="D909" s="20" t="s">
        <v>5</v>
      </c>
      <c r="E909" s="18">
        <v>46</v>
      </c>
      <c r="F909" s="18" t="str">
        <f t="shared" si="28"/>
        <v>Adult</v>
      </c>
      <c r="G909" s="20" t="s">
        <v>6</v>
      </c>
      <c r="H909" s="18">
        <v>4</v>
      </c>
      <c r="I909" s="18">
        <v>300</v>
      </c>
      <c r="J909" s="18">
        <v>1200</v>
      </c>
      <c r="K909" s="21" t="str">
        <f t="shared" si="29"/>
        <v>Medium</v>
      </c>
      <c r="L909" s="18">
        <f>YEAR(B909)</f>
        <v>2023</v>
      </c>
      <c r="M909" s="18">
        <f>ROUNDUP(MONTH(B909)/3,0)</f>
        <v>4</v>
      </c>
      <c r="N909" s="20" t="str">
        <f>TEXT(B909,"dddd")</f>
        <v>Friday</v>
      </c>
      <c r="O909" s="20" t="str">
        <f>TEXT(B909,"mmmm")</f>
        <v>December</v>
      </c>
    </row>
    <row r="910" spans="1:15" x14ac:dyDescent="0.3">
      <c r="A910" s="18">
        <v>909</v>
      </c>
      <c r="B910" s="19">
        <v>45200</v>
      </c>
      <c r="C910" s="20" t="s">
        <v>917</v>
      </c>
      <c r="D910" s="20" t="s">
        <v>5</v>
      </c>
      <c r="E910" s="18">
        <v>26</v>
      </c>
      <c r="F910" s="18" t="str">
        <f t="shared" si="28"/>
        <v>Young</v>
      </c>
      <c r="G910" s="20" t="s">
        <v>11</v>
      </c>
      <c r="H910" s="18">
        <v>1</v>
      </c>
      <c r="I910" s="18">
        <v>300</v>
      </c>
      <c r="J910" s="18">
        <v>300</v>
      </c>
      <c r="K910" s="21" t="str">
        <f t="shared" si="29"/>
        <v>Low</v>
      </c>
      <c r="L910" s="18">
        <f>YEAR(B910)</f>
        <v>2023</v>
      </c>
      <c r="M910" s="18">
        <f>ROUNDUP(MONTH(B910)/3,0)</f>
        <v>4</v>
      </c>
      <c r="N910" s="20" t="str">
        <f>TEXT(B910,"dddd")</f>
        <v>Sunday</v>
      </c>
      <c r="O910" s="20" t="str">
        <f>TEXT(B910,"mmmm")</f>
        <v>October</v>
      </c>
    </row>
    <row r="911" spans="1:15" x14ac:dyDescent="0.3">
      <c r="A911" s="18">
        <v>910</v>
      </c>
      <c r="B911" s="19">
        <v>44991</v>
      </c>
      <c r="C911" s="20" t="s">
        <v>918</v>
      </c>
      <c r="D911" s="20" t="s">
        <v>8</v>
      </c>
      <c r="E911" s="18">
        <v>20</v>
      </c>
      <c r="F911" s="18" t="str">
        <f t="shared" si="28"/>
        <v>Young</v>
      </c>
      <c r="G911" s="20" t="s">
        <v>6</v>
      </c>
      <c r="H911" s="18">
        <v>3</v>
      </c>
      <c r="I911" s="18">
        <v>50</v>
      </c>
      <c r="J911" s="18">
        <v>150</v>
      </c>
      <c r="K911" s="21" t="str">
        <f t="shared" si="29"/>
        <v>Low</v>
      </c>
      <c r="L911" s="18">
        <f>YEAR(B911)</f>
        <v>2023</v>
      </c>
      <c r="M911" s="18">
        <f>ROUNDUP(MONTH(B911)/3,0)</f>
        <v>1</v>
      </c>
      <c r="N911" s="20" t="str">
        <f>TEXT(B911,"dddd")</f>
        <v>Monday</v>
      </c>
      <c r="O911" s="20" t="str">
        <f>TEXT(B911,"mmmm")</f>
        <v>March</v>
      </c>
    </row>
    <row r="912" spans="1:15" x14ac:dyDescent="0.3">
      <c r="A912" s="18">
        <v>911</v>
      </c>
      <c r="B912" s="19">
        <v>45067</v>
      </c>
      <c r="C912" s="20" t="s">
        <v>919</v>
      </c>
      <c r="D912" s="20" t="s">
        <v>5</v>
      </c>
      <c r="E912" s="18">
        <v>42</v>
      </c>
      <c r="F912" s="18" t="str">
        <f t="shared" si="28"/>
        <v>Adult</v>
      </c>
      <c r="G912" s="20" t="s">
        <v>11</v>
      </c>
      <c r="H912" s="18">
        <v>3</v>
      </c>
      <c r="I912" s="18">
        <v>300</v>
      </c>
      <c r="J912" s="18">
        <v>900</v>
      </c>
      <c r="K912" s="21" t="str">
        <f t="shared" si="29"/>
        <v>Medium</v>
      </c>
      <c r="L912" s="18">
        <f>YEAR(B912)</f>
        <v>2023</v>
      </c>
      <c r="M912" s="18">
        <f>ROUNDUP(MONTH(B912)/3,0)</f>
        <v>2</v>
      </c>
      <c r="N912" s="20" t="str">
        <f>TEXT(B912,"dddd")</f>
        <v>Sunday</v>
      </c>
      <c r="O912" s="20" t="str">
        <f>TEXT(B912,"mmmm")</f>
        <v>May</v>
      </c>
    </row>
    <row r="913" spans="1:15" x14ac:dyDescent="0.3">
      <c r="A913" s="18">
        <v>912</v>
      </c>
      <c r="B913" s="19">
        <v>44950</v>
      </c>
      <c r="C913" s="20" t="s">
        <v>920</v>
      </c>
      <c r="D913" s="20" t="s">
        <v>5</v>
      </c>
      <c r="E913" s="18">
        <v>51</v>
      </c>
      <c r="F913" s="18" t="str">
        <f t="shared" si="28"/>
        <v>Adult</v>
      </c>
      <c r="G913" s="20" t="s">
        <v>6</v>
      </c>
      <c r="H913" s="18">
        <v>3</v>
      </c>
      <c r="I913" s="18">
        <v>50</v>
      </c>
      <c r="J913" s="18">
        <v>150</v>
      </c>
      <c r="K913" s="21" t="str">
        <f t="shared" si="29"/>
        <v>Low</v>
      </c>
      <c r="L913" s="18">
        <f>YEAR(B913)</f>
        <v>2023</v>
      </c>
      <c r="M913" s="18">
        <f>ROUNDUP(MONTH(B913)/3,0)</f>
        <v>1</v>
      </c>
      <c r="N913" s="20" t="str">
        <f>TEXT(B913,"dddd")</f>
        <v>Tuesday</v>
      </c>
      <c r="O913" s="20" t="str">
        <f>TEXT(B913,"mmmm")</f>
        <v>January</v>
      </c>
    </row>
    <row r="914" spans="1:15" x14ac:dyDescent="0.3">
      <c r="A914" s="18">
        <v>913</v>
      </c>
      <c r="B914" s="19">
        <v>44954</v>
      </c>
      <c r="C914" s="20" t="s">
        <v>921</v>
      </c>
      <c r="D914" s="20" t="s">
        <v>5</v>
      </c>
      <c r="E914" s="18">
        <v>29</v>
      </c>
      <c r="F914" s="18" t="str">
        <f t="shared" si="28"/>
        <v>Young</v>
      </c>
      <c r="G914" s="20" t="s">
        <v>11</v>
      </c>
      <c r="H914" s="18">
        <v>3</v>
      </c>
      <c r="I914" s="18">
        <v>30</v>
      </c>
      <c r="J914" s="18">
        <v>90</v>
      </c>
      <c r="K914" s="21" t="str">
        <f t="shared" si="29"/>
        <v>Low</v>
      </c>
      <c r="L914" s="18">
        <f>YEAR(B914)</f>
        <v>2023</v>
      </c>
      <c r="M914" s="18">
        <f>ROUNDUP(MONTH(B914)/3,0)</f>
        <v>1</v>
      </c>
      <c r="N914" s="20" t="str">
        <f>TEXT(B914,"dddd")</f>
        <v>Saturday</v>
      </c>
      <c r="O914" s="20" t="str">
        <f>TEXT(B914,"mmmm")</f>
        <v>January</v>
      </c>
    </row>
    <row r="915" spans="1:15" x14ac:dyDescent="0.3">
      <c r="A915" s="18">
        <v>914</v>
      </c>
      <c r="B915" s="19">
        <v>45210</v>
      </c>
      <c r="C915" s="20" t="s">
        <v>922</v>
      </c>
      <c r="D915" s="20" t="s">
        <v>8</v>
      </c>
      <c r="E915" s="18">
        <v>59</v>
      </c>
      <c r="F915" s="18" t="str">
        <f t="shared" si="28"/>
        <v>Adult</v>
      </c>
      <c r="G915" s="20" t="s">
        <v>11</v>
      </c>
      <c r="H915" s="18">
        <v>1</v>
      </c>
      <c r="I915" s="18">
        <v>500</v>
      </c>
      <c r="J915" s="18">
        <v>500</v>
      </c>
      <c r="K915" s="21" t="str">
        <f t="shared" si="29"/>
        <v>Low</v>
      </c>
      <c r="L915" s="18">
        <f>YEAR(B915)</f>
        <v>2023</v>
      </c>
      <c r="M915" s="18">
        <f>ROUNDUP(MONTH(B915)/3,0)</f>
        <v>4</v>
      </c>
      <c r="N915" s="20" t="str">
        <f>TEXT(B915,"dddd")</f>
        <v>Wednesday</v>
      </c>
      <c r="O915" s="20" t="str">
        <f>TEXT(B915,"mmmm")</f>
        <v>October</v>
      </c>
    </row>
    <row r="916" spans="1:15" x14ac:dyDescent="0.3">
      <c r="A916" s="18">
        <v>915</v>
      </c>
      <c r="B916" s="19">
        <v>45076</v>
      </c>
      <c r="C916" s="20" t="s">
        <v>923</v>
      </c>
      <c r="D916" s="20" t="s">
        <v>8</v>
      </c>
      <c r="E916" s="18">
        <v>26</v>
      </c>
      <c r="F916" s="18" t="str">
        <f t="shared" si="28"/>
        <v>Young</v>
      </c>
      <c r="G916" s="20" t="s">
        <v>6</v>
      </c>
      <c r="H916" s="18">
        <v>3</v>
      </c>
      <c r="I916" s="18">
        <v>30</v>
      </c>
      <c r="J916" s="18">
        <v>90</v>
      </c>
      <c r="K916" s="21" t="str">
        <f t="shared" si="29"/>
        <v>Low</v>
      </c>
      <c r="L916" s="18">
        <f>YEAR(B916)</f>
        <v>2023</v>
      </c>
      <c r="M916" s="18">
        <f>ROUNDUP(MONTH(B916)/3,0)</f>
        <v>2</v>
      </c>
      <c r="N916" s="20" t="str">
        <f>TEXT(B916,"dddd")</f>
        <v>Tuesday</v>
      </c>
      <c r="O916" s="20" t="str">
        <f>TEXT(B916,"mmmm")</f>
        <v>May</v>
      </c>
    </row>
    <row r="917" spans="1:15" x14ac:dyDescent="0.3">
      <c r="A917" s="18">
        <v>916</v>
      </c>
      <c r="B917" s="19">
        <v>45284</v>
      </c>
      <c r="C917" s="20" t="s">
        <v>924</v>
      </c>
      <c r="D917" s="20" t="s">
        <v>8</v>
      </c>
      <c r="E917" s="18">
        <v>32</v>
      </c>
      <c r="F917" s="18" t="str">
        <f t="shared" si="28"/>
        <v>Adult</v>
      </c>
      <c r="G917" s="20" t="s">
        <v>11</v>
      </c>
      <c r="H917" s="18">
        <v>1</v>
      </c>
      <c r="I917" s="18">
        <v>50</v>
      </c>
      <c r="J917" s="18">
        <v>50</v>
      </c>
      <c r="K917" s="21" t="str">
        <f t="shared" si="29"/>
        <v>Low</v>
      </c>
      <c r="L917" s="18">
        <f>YEAR(B917)</f>
        <v>2023</v>
      </c>
      <c r="M917" s="18">
        <f>ROUNDUP(MONTH(B917)/3,0)</f>
        <v>4</v>
      </c>
      <c r="N917" s="20" t="str">
        <f>TEXT(B917,"dddd")</f>
        <v>Sunday</v>
      </c>
      <c r="O917" s="20" t="str">
        <f>TEXT(B917,"mmmm")</f>
        <v>December</v>
      </c>
    </row>
    <row r="918" spans="1:15" x14ac:dyDescent="0.3">
      <c r="A918" s="18">
        <v>917</v>
      </c>
      <c r="B918" s="19">
        <v>44991</v>
      </c>
      <c r="C918" s="20" t="s">
        <v>925</v>
      </c>
      <c r="D918" s="20" t="s">
        <v>8</v>
      </c>
      <c r="E918" s="18">
        <v>57</v>
      </c>
      <c r="F918" s="18" t="str">
        <f t="shared" si="28"/>
        <v>Adult</v>
      </c>
      <c r="G918" s="20" t="s">
        <v>11</v>
      </c>
      <c r="H918" s="18">
        <v>4</v>
      </c>
      <c r="I918" s="18">
        <v>50</v>
      </c>
      <c r="J918" s="18">
        <v>200</v>
      </c>
      <c r="K918" s="21" t="str">
        <f t="shared" si="29"/>
        <v>Low</v>
      </c>
      <c r="L918" s="18">
        <f>YEAR(B918)</f>
        <v>2023</v>
      </c>
      <c r="M918" s="18">
        <f>ROUNDUP(MONTH(B918)/3,0)</f>
        <v>1</v>
      </c>
      <c r="N918" s="20" t="str">
        <f>TEXT(B918,"dddd")</f>
        <v>Monday</v>
      </c>
      <c r="O918" s="20" t="str">
        <f>TEXT(B918,"mmmm")</f>
        <v>March</v>
      </c>
    </row>
    <row r="919" spans="1:15" x14ac:dyDescent="0.3">
      <c r="A919" s="18">
        <v>918</v>
      </c>
      <c r="B919" s="19">
        <v>45253</v>
      </c>
      <c r="C919" s="20" t="s">
        <v>926</v>
      </c>
      <c r="D919" s="20" t="s">
        <v>8</v>
      </c>
      <c r="E919" s="18">
        <v>42</v>
      </c>
      <c r="F919" s="18" t="str">
        <f t="shared" si="28"/>
        <v>Adult</v>
      </c>
      <c r="G919" s="20" t="s">
        <v>11</v>
      </c>
      <c r="H919" s="18">
        <v>3</v>
      </c>
      <c r="I919" s="18">
        <v>30</v>
      </c>
      <c r="J919" s="18">
        <v>90</v>
      </c>
      <c r="K919" s="21" t="str">
        <f t="shared" si="29"/>
        <v>Low</v>
      </c>
      <c r="L919" s="18">
        <f>YEAR(B919)</f>
        <v>2023</v>
      </c>
      <c r="M919" s="18">
        <f>ROUNDUP(MONTH(B919)/3,0)</f>
        <v>4</v>
      </c>
      <c r="N919" s="20" t="str">
        <f>TEXT(B919,"dddd")</f>
        <v>Thursday</v>
      </c>
      <c r="O919" s="20" t="str">
        <f>TEXT(B919,"mmmm")</f>
        <v>November</v>
      </c>
    </row>
    <row r="920" spans="1:15" x14ac:dyDescent="0.3">
      <c r="A920" s="18">
        <v>919</v>
      </c>
      <c r="B920" s="19">
        <v>45178</v>
      </c>
      <c r="C920" s="20" t="s">
        <v>927</v>
      </c>
      <c r="D920" s="20" t="s">
        <v>8</v>
      </c>
      <c r="E920" s="18">
        <v>22</v>
      </c>
      <c r="F920" s="18" t="str">
        <f t="shared" si="28"/>
        <v>Young</v>
      </c>
      <c r="G920" s="20" t="s">
        <v>6</v>
      </c>
      <c r="H920" s="18">
        <v>2</v>
      </c>
      <c r="I920" s="18">
        <v>25</v>
      </c>
      <c r="J920" s="18">
        <v>50</v>
      </c>
      <c r="K920" s="21" t="str">
        <f t="shared" si="29"/>
        <v>Low</v>
      </c>
      <c r="L920" s="18">
        <f>YEAR(B920)</f>
        <v>2023</v>
      </c>
      <c r="M920" s="18">
        <f>ROUNDUP(MONTH(B920)/3,0)</f>
        <v>3</v>
      </c>
      <c r="N920" s="20" t="str">
        <f>TEXT(B920,"dddd")</f>
        <v>Saturday</v>
      </c>
      <c r="O920" s="20" t="str">
        <f>TEXT(B920,"mmmm")</f>
        <v>September</v>
      </c>
    </row>
    <row r="921" spans="1:15" x14ac:dyDescent="0.3">
      <c r="A921" s="18">
        <v>920</v>
      </c>
      <c r="B921" s="19">
        <v>44979</v>
      </c>
      <c r="C921" s="20" t="s">
        <v>928</v>
      </c>
      <c r="D921" s="20" t="s">
        <v>8</v>
      </c>
      <c r="E921" s="18">
        <v>28</v>
      </c>
      <c r="F921" s="18" t="str">
        <f t="shared" si="28"/>
        <v>Young</v>
      </c>
      <c r="G921" s="20" t="s">
        <v>6</v>
      </c>
      <c r="H921" s="18">
        <v>3</v>
      </c>
      <c r="I921" s="18">
        <v>25</v>
      </c>
      <c r="J921" s="18">
        <v>75</v>
      </c>
      <c r="K921" s="21" t="str">
        <f t="shared" si="29"/>
        <v>Low</v>
      </c>
      <c r="L921" s="18">
        <f>YEAR(B921)</f>
        <v>2023</v>
      </c>
      <c r="M921" s="18">
        <f>ROUNDUP(MONTH(B921)/3,0)</f>
        <v>1</v>
      </c>
      <c r="N921" s="20" t="str">
        <f>TEXT(B921,"dddd")</f>
        <v>Wednesday</v>
      </c>
      <c r="O921" s="20" t="str">
        <f>TEXT(B921,"mmmm")</f>
        <v>February</v>
      </c>
    </row>
    <row r="922" spans="1:15" x14ac:dyDescent="0.3">
      <c r="A922" s="18">
        <v>921</v>
      </c>
      <c r="B922" s="19">
        <v>44933</v>
      </c>
      <c r="C922" s="20" t="s">
        <v>929</v>
      </c>
      <c r="D922" s="20" t="s">
        <v>5</v>
      </c>
      <c r="E922" s="18">
        <v>51</v>
      </c>
      <c r="F922" s="18" t="str">
        <f t="shared" si="28"/>
        <v>Adult</v>
      </c>
      <c r="G922" s="20" t="s">
        <v>11</v>
      </c>
      <c r="H922" s="18">
        <v>3</v>
      </c>
      <c r="I922" s="18">
        <v>25</v>
      </c>
      <c r="J922" s="18">
        <v>75</v>
      </c>
      <c r="K922" s="21" t="str">
        <f t="shared" si="29"/>
        <v>Low</v>
      </c>
      <c r="L922" s="18">
        <f>YEAR(B922)</f>
        <v>2023</v>
      </c>
      <c r="M922" s="18">
        <f>ROUNDUP(MONTH(B922)/3,0)</f>
        <v>1</v>
      </c>
      <c r="N922" s="20" t="str">
        <f>TEXT(B922,"dddd")</f>
        <v>Saturday</v>
      </c>
      <c r="O922" s="20" t="str">
        <f>TEXT(B922,"mmmm")</f>
        <v>January</v>
      </c>
    </row>
    <row r="923" spans="1:15" x14ac:dyDescent="0.3">
      <c r="A923" s="18">
        <v>922</v>
      </c>
      <c r="B923" s="19">
        <v>45220</v>
      </c>
      <c r="C923" s="20" t="s">
        <v>930</v>
      </c>
      <c r="D923" s="20" t="s">
        <v>5</v>
      </c>
      <c r="E923" s="18">
        <v>41</v>
      </c>
      <c r="F923" s="18" t="str">
        <f t="shared" si="28"/>
        <v>Adult</v>
      </c>
      <c r="G923" s="20" t="s">
        <v>11</v>
      </c>
      <c r="H923" s="18">
        <v>1</v>
      </c>
      <c r="I923" s="18">
        <v>50</v>
      </c>
      <c r="J923" s="18">
        <v>50</v>
      </c>
      <c r="K923" s="21" t="str">
        <f t="shared" si="29"/>
        <v>Low</v>
      </c>
      <c r="L923" s="18">
        <f>YEAR(B923)</f>
        <v>2023</v>
      </c>
      <c r="M923" s="18">
        <f>ROUNDUP(MONTH(B923)/3,0)</f>
        <v>4</v>
      </c>
      <c r="N923" s="20" t="str">
        <f>TEXT(B923,"dddd")</f>
        <v>Saturday</v>
      </c>
      <c r="O923" s="20" t="str">
        <f>TEXT(B923,"mmmm")</f>
        <v>October</v>
      </c>
    </row>
    <row r="924" spans="1:15" x14ac:dyDescent="0.3">
      <c r="A924" s="18">
        <v>923</v>
      </c>
      <c r="B924" s="19">
        <v>45072</v>
      </c>
      <c r="C924" s="20" t="s">
        <v>931</v>
      </c>
      <c r="D924" s="20" t="s">
        <v>5</v>
      </c>
      <c r="E924" s="18">
        <v>32</v>
      </c>
      <c r="F924" s="18" t="str">
        <f t="shared" si="28"/>
        <v>Adult</v>
      </c>
      <c r="G924" s="20" t="s">
        <v>6</v>
      </c>
      <c r="H924" s="18">
        <v>3</v>
      </c>
      <c r="I924" s="18">
        <v>300</v>
      </c>
      <c r="J924" s="18">
        <v>900</v>
      </c>
      <c r="K924" s="21" t="str">
        <f t="shared" si="29"/>
        <v>Medium</v>
      </c>
      <c r="L924" s="18">
        <f>YEAR(B924)</f>
        <v>2023</v>
      </c>
      <c r="M924" s="18">
        <f>ROUNDUP(MONTH(B924)/3,0)</f>
        <v>2</v>
      </c>
      <c r="N924" s="20" t="str">
        <f>TEXT(B924,"dddd")</f>
        <v>Friday</v>
      </c>
      <c r="O924" s="20" t="str">
        <f>TEXT(B924,"mmmm")</f>
        <v>May</v>
      </c>
    </row>
    <row r="925" spans="1:15" x14ac:dyDescent="0.3">
      <c r="A925" s="18">
        <v>924</v>
      </c>
      <c r="B925" s="19">
        <v>45167</v>
      </c>
      <c r="C925" s="20" t="s">
        <v>932</v>
      </c>
      <c r="D925" s="20" t="s">
        <v>5</v>
      </c>
      <c r="E925" s="18">
        <v>55</v>
      </c>
      <c r="F925" s="18" t="str">
        <f t="shared" si="28"/>
        <v>Adult</v>
      </c>
      <c r="G925" s="20" t="s">
        <v>6</v>
      </c>
      <c r="H925" s="18">
        <v>2</v>
      </c>
      <c r="I925" s="18">
        <v>50</v>
      </c>
      <c r="J925" s="18">
        <v>100</v>
      </c>
      <c r="K925" s="21" t="str">
        <f t="shared" si="29"/>
        <v>Low</v>
      </c>
      <c r="L925" s="18">
        <f>YEAR(B925)</f>
        <v>2023</v>
      </c>
      <c r="M925" s="18">
        <f>ROUNDUP(MONTH(B925)/3,0)</f>
        <v>3</v>
      </c>
      <c r="N925" s="20" t="str">
        <f>TEXT(B925,"dddd")</f>
        <v>Tuesday</v>
      </c>
      <c r="O925" s="20" t="str">
        <f>TEXT(B925,"mmmm")</f>
        <v>August</v>
      </c>
    </row>
    <row r="926" spans="1:15" x14ac:dyDescent="0.3">
      <c r="A926" s="18">
        <v>925</v>
      </c>
      <c r="B926" s="19">
        <v>45172</v>
      </c>
      <c r="C926" s="20" t="s">
        <v>933</v>
      </c>
      <c r="D926" s="20" t="s">
        <v>5</v>
      </c>
      <c r="E926" s="18">
        <v>25</v>
      </c>
      <c r="F926" s="18" t="str">
        <f t="shared" si="28"/>
        <v>Young</v>
      </c>
      <c r="G926" s="20" t="s">
        <v>11</v>
      </c>
      <c r="H926" s="18">
        <v>1</v>
      </c>
      <c r="I926" s="18">
        <v>300</v>
      </c>
      <c r="J926" s="18">
        <v>300</v>
      </c>
      <c r="K926" s="21" t="str">
        <f t="shared" si="29"/>
        <v>Low</v>
      </c>
      <c r="L926" s="18">
        <f>YEAR(B926)</f>
        <v>2023</v>
      </c>
      <c r="M926" s="18">
        <f>ROUNDUP(MONTH(B926)/3,0)</f>
        <v>3</v>
      </c>
      <c r="N926" s="20" t="str">
        <f>TEXT(B926,"dddd")</f>
        <v>Sunday</v>
      </c>
      <c r="O926" s="20" t="str">
        <f>TEXT(B926,"mmmm")</f>
        <v>September</v>
      </c>
    </row>
    <row r="927" spans="1:15" x14ac:dyDescent="0.3">
      <c r="A927" s="18">
        <v>926</v>
      </c>
      <c r="B927" s="19">
        <v>45152</v>
      </c>
      <c r="C927" s="20" t="s">
        <v>934</v>
      </c>
      <c r="D927" s="20" t="s">
        <v>5</v>
      </c>
      <c r="E927" s="18">
        <v>22</v>
      </c>
      <c r="F927" s="18" t="str">
        <f t="shared" si="28"/>
        <v>Young</v>
      </c>
      <c r="G927" s="20" t="s">
        <v>11</v>
      </c>
      <c r="H927" s="18">
        <v>1</v>
      </c>
      <c r="I927" s="18">
        <v>30</v>
      </c>
      <c r="J927" s="18">
        <v>30</v>
      </c>
      <c r="K927" s="21" t="str">
        <f t="shared" si="29"/>
        <v>Low</v>
      </c>
      <c r="L927" s="18">
        <f>YEAR(B927)</f>
        <v>2023</v>
      </c>
      <c r="M927" s="18">
        <f>ROUNDUP(MONTH(B927)/3,0)</f>
        <v>3</v>
      </c>
      <c r="N927" s="20" t="str">
        <f>TEXT(B927,"dddd")</f>
        <v>Monday</v>
      </c>
      <c r="O927" s="20" t="str">
        <f>TEXT(B927,"mmmm")</f>
        <v>August</v>
      </c>
    </row>
    <row r="928" spans="1:15" x14ac:dyDescent="0.3">
      <c r="A928" s="18">
        <v>927</v>
      </c>
      <c r="B928" s="19">
        <v>45101</v>
      </c>
      <c r="C928" s="20" t="s">
        <v>935</v>
      </c>
      <c r="D928" s="20" t="s">
        <v>5</v>
      </c>
      <c r="E928" s="18">
        <v>43</v>
      </c>
      <c r="F928" s="18" t="str">
        <f t="shared" si="28"/>
        <v>Adult</v>
      </c>
      <c r="G928" s="20" t="s">
        <v>11</v>
      </c>
      <c r="H928" s="18">
        <v>4</v>
      </c>
      <c r="I928" s="18">
        <v>500</v>
      </c>
      <c r="J928" s="18">
        <v>2000</v>
      </c>
      <c r="K928" s="21" t="str">
        <f t="shared" si="29"/>
        <v>High</v>
      </c>
      <c r="L928" s="18">
        <f>YEAR(B928)</f>
        <v>2023</v>
      </c>
      <c r="M928" s="18">
        <f>ROUNDUP(MONTH(B928)/3,0)</f>
        <v>2</v>
      </c>
      <c r="N928" s="20" t="str">
        <f>TEXT(B928,"dddd")</f>
        <v>Saturday</v>
      </c>
      <c r="O928" s="20" t="str">
        <f>TEXT(B928,"mmmm")</f>
        <v>June</v>
      </c>
    </row>
    <row r="929" spans="1:15" x14ac:dyDescent="0.3">
      <c r="A929" s="18">
        <v>928</v>
      </c>
      <c r="B929" s="19">
        <v>45021</v>
      </c>
      <c r="C929" s="20" t="s">
        <v>936</v>
      </c>
      <c r="D929" s="20" t="s">
        <v>8</v>
      </c>
      <c r="E929" s="18">
        <v>35</v>
      </c>
      <c r="F929" s="18" t="str">
        <f t="shared" si="28"/>
        <v>Adult</v>
      </c>
      <c r="G929" s="20" t="s">
        <v>9</v>
      </c>
      <c r="H929" s="18">
        <v>4</v>
      </c>
      <c r="I929" s="18">
        <v>300</v>
      </c>
      <c r="J929" s="18">
        <v>1200</v>
      </c>
      <c r="K929" s="21" t="str">
        <f t="shared" si="29"/>
        <v>Medium</v>
      </c>
      <c r="L929" s="18">
        <f>YEAR(B929)</f>
        <v>2023</v>
      </c>
      <c r="M929" s="18">
        <f>ROUNDUP(MONTH(B929)/3,0)</f>
        <v>2</v>
      </c>
      <c r="N929" s="20" t="str">
        <f>TEXT(B929,"dddd")</f>
        <v>Wednesday</v>
      </c>
      <c r="O929" s="20" t="str">
        <f>TEXT(B929,"mmmm")</f>
        <v>April</v>
      </c>
    </row>
    <row r="930" spans="1:15" x14ac:dyDescent="0.3">
      <c r="A930" s="18">
        <v>929</v>
      </c>
      <c r="B930" s="19">
        <v>44953</v>
      </c>
      <c r="C930" s="20" t="s">
        <v>937</v>
      </c>
      <c r="D930" s="20" t="s">
        <v>8</v>
      </c>
      <c r="E930" s="18">
        <v>23</v>
      </c>
      <c r="F930" s="18" t="str">
        <f t="shared" si="28"/>
        <v>Young</v>
      </c>
      <c r="G930" s="20" t="s">
        <v>6</v>
      </c>
      <c r="H930" s="18">
        <v>3</v>
      </c>
      <c r="I930" s="18">
        <v>25</v>
      </c>
      <c r="J930" s="18">
        <v>75</v>
      </c>
      <c r="K930" s="21" t="str">
        <f t="shared" si="29"/>
        <v>Low</v>
      </c>
      <c r="L930" s="18">
        <f>YEAR(B930)</f>
        <v>2023</v>
      </c>
      <c r="M930" s="18">
        <f>ROUNDUP(MONTH(B930)/3,0)</f>
        <v>1</v>
      </c>
      <c r="N930" s="20" t="str">
        <f>TEXT(B930,"dddd")</f>
        <v>Friday</v>
      </c>
      <c r="O930" s="20" t="str">
        <f>TEXT(B930,"mmmm")</f>
        <v>January</v>
      </c>
    </row>
    <row r="931" spans="1:15" x14ac:dyDescent="0.3">
      <c r="A931" s="18">
        <v>930</v>
      </c>
      <c r="B931" s="19">
        <v>45056</v>
      </c>
      <c r="C931" s="20" t="s">
        <v>938</v>
      </c>
      <c r="D931" s="20" t="s">
        <v>5</v>
      </c>
      <c r="E931" s="18">
        <v>54</v>
      </c>
      <c r="F931" s="18" t="str">
        <f t="shared" si="28"/>
        <v>Adult</v>
      </c>
      <c r="G931" s="20" t="s">
        <v>9</v>
      </c>
      <c r="H931" s="18">
        <v>4</v>
      </c>
      <c r="I931" s="18">
        <v>50</v>
      </c>
      <c r="J931" s="18">
        <v>200</v>
      </c>
      <c r="K931" s="21" t="str">
        <f t="shared" si="29"/>
        <v>Low</v>
      </c>
      <c r="L931" s="18">
        <f>YEAR(B931)</f>
        <v>2023</v>
      </c>
      <c r="M931" s="18">
        <f>ROUNDUP(MONTH(B931)/3,0)</f>
        <v>2</v>
      </c>
      <c r="N931" s="20" t="str">
        <f>TEXT(B931,"dddd")</f>
        <v>Wednesday</v>
      </c>
      <c r="O931" s="20" t="str">
        <f>TEXT(B931,"mmmm")</f>
        <v>May</v>
      </c>
    </row>
    <row r="932" spans="1:15" x14ac:dyDescent="0.3">
      <c r="A932" s="18">
        <v>931</v>
      </c>
      <c r="B932" s="19">
        <v>45171</v>
      </c>
      <c r="C932" s="20" t="s">
        <v>939</v>
      </c>
      <c r="D932" s="20" t="s">
        <v>5</v>
      </c>
      <c r="E932" s="18">
        <v>30</v>
      </c>
      <c r="F932" s="18" t="str">
        <f t="shared" si="28"/>
        <v>Young</v>
      </c>
      <c r="G932" s="20" t="s">
        <v>6</v>
      </c>
      <c r="H932" s="18">
        <v>4</v>
      </c>
      <c r="I932" s="18">
        <v>30</v>
      </c>
      <c r="J932" s="18">
        <v>120</v>
      </c>
      <c r="K932" s="21" t="str">
        <f t="shared" si="29"/>
        <v>Low</v>
      </c>
      <c r="L932" s="18">
        <f>YEAR(B932)</f>
        <v>2023</v>
      </c>
      <c r="M932" s="18">
        <f>ROUNDUP(MONTH(B932)/3,0)</f>
        <v>3</v>
      </c>
      <c r="N932" s="20" t="str">
        <f>TEXT(B932,"dddd")</f>
        <v>Saturday</v>
      </c>
      <c r="O932" s="20" t="str">
        <f>TEXT(B932,"mmmm")</f>
        <v>September</v>
      </c>
    </row>
    <row r="933" spans="1:15" x14ac:dyDescent="0.3">
      <c r="A933" s="18">
        <v>932</v>
      </c>
      <c r="B933" s="19">
        <v>44985</v>
      </c>
      <c r="C933" s="20" t="s">
        <v>940</v>
      </c>
      <c r="D933" s="20" t="s">
        <v>8</v>
      </c>
      <c r="E933" s="18">
        <v>45</v>
      </c>
      <c r="F933" s="18" t="str">
        <f t="shared" si="28"/>
        <v>Adult</v>
      </c>
      <c r="G933" s="20" t="s">
        <v>6</v>
      </c>
      <c r="H933" s="18">
        <v>4</v>
      </c>
      <c r="I933" s="18">
        <v>25</v>
      </c>
      <c r="J933" s="18">
        <v>100</v>
      </c>
      <c r="K933" s="21" t="str">
        <f t="shared" si="29"/>
        <v>Low</v>
      </c>
      <c r="L933" s="18">
        <f>YEAR(B933)</f>
        <v>2023</v>
      </c>
      <c r="M933" s="18">
        <f>ROUNDUP(MONTH(B933)/3,0)</f>
        <v>1</v>
      </c>
      <c r="N933" s="20" t="str">
        <f>TEXT(B933,"dddd")</f>
        <v>Tuesday</v>
      </c>
      <c r="O933" s="20" t="str">
        <f>TEXT(B933,"mmmm")</f>
        <v>February</v>
      </c>
    </row>
    <row r="934" spans="1:15" x14ac:dyDescent="0.3">
      <c r="A934" s="18">
        <v>933</v>
      </c>
      <c r="B934" s="19">
        <v>44960</v>
      </c>
      <c r="C934" s="20" t="s">
        <v>941</v>
      </c>
      <c r="D934" s="20" t="s">
        <v>5</v>
      </c>
      <c r="E934" s="18">
        <v>22</v>
      </c>
      <c r="F934" s="18" t="str">
        <f t="shared" si="28"/>
        <v>Young</v>
      </c>
      <c r="G934" s="20" t="s">
        <v>6</v>
      </c>
      <c r="H934" s="18">
        <v>1</v>
      </c>
      <c r="I934" s="18">
        <v>30</v>
      </c>
      <c r="J934" s="18">
        <v>30</v>
      </c>
      <c r="K934" s="21" t="str">
        <f t="shared" si="29"/>
        <v>Low</v>
      </c>
      <c r="L934" s="18">
        <f>YEAR(B934)</f>
        <v>2023</v>
      </c>
      <c r="M934" s="18">
        <f>ROUNDUP(MONTH(B934)/3,0)</f>
        <v>1</v>
      </c>
      <c r="N934" s="20" t="str">
        <f>TEXT(B934,"dddd")</f>
        <v>Friday</v>
      </c>
      <c r="O934" s="20" t="str">
        <f>TEXT(B934,"mmmm")</f>
        <v>February</v>
      </c>
    </row>
    <row r="935" spans="1:15" x14ac:dyDescent="0.3">
      <c r="A935" s="18">
        <v>934</v>
      </c>
      <c r="B935" s="19">
        <v>45132</v>
      </c>
      <c r="C935" s="20" t="s">
        <v>942</v>
      </c>
      <c r="D935" s="20" t="s">
        <v>5</v>
      </c>
      <c r="E935" s="18">
        <v>30</v>
      </c>
      <c r="F935" s="18" t="str">
        <f t="shared" si="28"/>
        <v>Young</v>
      </c>
      <c r="G935" s="20" t="s">
        <v>6</v>
      </c>
      <c r="H935" s="18">
        <v>1</v>
      </c>
      <c r="I935" s="18">
        <v>500</v>
      </c>
      <c r="J935" s="18">
        <v>500</v>
      </c>
      <c r="K935" s="21" t="str">
        <f t="shared" si="29"/>
        <v>Low</v>
      </c>
      <c r="L935" s="18">
        <f>YEAR(B935)</f>
        <v>2023</v>
      </c>
      <c r="M935" s="18">
        <f>ROUNDUP(MONTH(B935)/3,0)</f>
        <v>3</v>
      </c>
      <c r="N935" s="20" t="str">
        <f>TEXT(B935,"dddd")</f>
        <v>Tuesday</v>
      </c>
      <c r="O935" s="20" t="str">
        <f>TEXT(B935,"mmmm")</f>
        <v>July</v>
      </c>
    </row>
    <row r="936" spans="1:15" x14ac:dyDescent="0.3">
      <c r="A936" s="18">
        <v>935</v>
      </c>
      <c r="B936" s="19">
        <v>45178</v>
      </c>
      <c r="C936" s="20" t="s">
        <v>943</v>
      </c>
      <c r="D936" s="20" t="s">
        <v>8</v>
      </c>
      <c r="E936" s="18">
        <v>34</v>
      </c>
      <c r="F936" s="18" t="str">
        <f t="shared" si="28"/>
        <v>Adult</v>
      </c>
      <c r="G936" s="20" t="s">
        <v>6</v>
      </c>
      <c r="H936" s="18">
        <v>1</v>
      </c>
      <c r="I936" s="18">
        <v>50</v>
      </c>
      <c r="J936" s="18">
        <v>50</v>
      </c>
      <c r="K936" s="21" t="str">
        <f t="shared" si="29"/>
        <v>Low</v>
      </c>
      <c r="L936" s="18">
        <f>YEAR(B936)</f>
        <v>2023</v>
      </c>
      <c r="M936" s="18">
        <f>ROUNDUP(MONTH(B936)/3,0)</f>
        <v>3</v>
      </c>
      <c r="N936" s="20" t="str">
        <f>TEXT(B936,"dddd")</f>
        <v>Saturday</v>
      </c>
      <c r="O936" s="20" t="str">
        <f>TEXT(B936,"mmmm")</f>
        <v>September</v>
      </c>
    </row>
    <row r="937" spans="1:15" x14ac:dyDescent="0.3">
      <c r="A937" s="18">
        <v>936</v>
      </c>
      <c r="B937" s="19">
        <v>44964</v>
      </c>
      <c r="C937" s="20" t="s">
        <v>944</v>
      </c>
      <c r="D937" s="20" t="s">
        <v>5</v>
      </c>
      <c r="E937" s="18">
        <v>57</v>
      </c>
      <c r="F937" s="18" t="str">
        <f t="shared" si="28"/>
        <v>Adult</v>
      </c>
      <c r="G937" s="20" t="s">
        <v>6</v>
      </c>
      <c r="H937" s="18">
        <v>4</v>
      </c>
      <c r="I937" s="18">
        <v>50</v>
      </c>
      <c r="J937" s="18">
        <v>200</v>
      </c>
      <c r="K937" s="21" t="str">
        <f t="shared" si="29"/>
        <v>Low</v>
      </c>
      <c r="L937" s="18">
        <f>YEAR(B937)</f>
        <v>2023</v>
      </c>
      <c r="M937" s="18">
        <f>ROUNDUP(MONTH(B937)/3,0)</f>
        <v>1</v>
      </c>
      <c r="N937" s="20" t="str">
        <f>TEXT(B937,"dddd")</f>
        <v>Tuesday</v>
      </c>
      <c r="O937" s="20" t="str">
        <f>TEXT(B937,"mmmm")</f>
        <v>February</v>
      </c>
    </row>
    <row r="938" spans="1:15" x14ac:dyDescent="0.3">
      <c r="A938" s="18">
        <v>937</v>
      </c>
      <c r="B938" s="19">
        <v>45222</v>
      </c>
      <c r="C938" s="20" t="s">
        <v>945</v>
      </c>
      <c r="D938" s="20" t="s">
        <v>8</v>
      </c>
      <c r="E938" s="18">
        <v>62</v>
      </c>
      <c r="F938" s="18" t="str">
        <f t="shared" si="28"/>
        <v>Senior</v>
      </c>
      <c r="G938" s="20" t="s">
        <v>6</v>
      </c>
      <c r="H938" s="18">
        <v>1</v>
      </c>
      <c r="I938" s="18">
        <v>500</v>
      </c>
      <c r="J938" s="18">
        <v>500</v>
      </c>
      <c r="K938" s="21" t="str">
        <f t="shared" si="29"/>
        <v>Low</v>
      </c>
      <c r="L938" s="18">
        <f>YEAR(B938)</f>
        <v>2023</v>
      </c>
      <c r="M938" s="18">
        <f>ROUNDUP(MONTH(B938)/3,0)</f>
        <v>4</v>
      </c>
      <c r="N938" s="20" t="str">
        <f>TEXT(B938,"dddd")</f>
        <v>Monday</v>
      </c>
      <c r="O938" s="20" t="str">
        <f>TEXT(B938,"mmmm")</f>
        <v>October</v>
      </c>
    </row>
    <row r="939" spans="1:15" x14ac:dyDescent="0.3">
      <c r="A939" s="18">
        <v>938</v>
      </c>
      <c r="B939" s="19">
        <v>45249</v>
      </c>
      <c r="C939" s="20" t="s">
        <v>946</v>
      </c>
      <c r="D939" s="20" t="s">
        <v>5</v>
      </c>
      <c r="E939" s="18">
        <v>49</v>
      </c>
      <c r="F939" s="18" t="str">
        <f t="shared" si="28"/>
        <v>Adult</v>
      </c>
      <c r="G939" s="20" t="s">
        <v>9</v>
      </c>
      <c r="H939" s="18">
        <v>4</v>
      </c>
      <c r="I939" s="18">
        <v>50</v>
      </c>
      <c r="J939" s="18">
        <v>200</v>
      </c>
      <c r="K939" s="21" t="str">
        <f t="shared" si="29"/>
        <v>Low</v>
      </c>
      <c r="L939" s="18">
        <f>YEAR(B939)</f>
        <v>2023</v>
      </c>
      <c r="M939" s="18">
        <f>ROUNDUP(MONTH(B939)/3,0)</f>
        <v>4</v>
      </c>
      <c r="N939" s="20" t="str">
        <f>TEXT(B939,"dddd")</f>
        <v>Sunday</v>
      </c>
      <c r="O939" s="20" t="str">
        <f>TEXT(B939,"mmmm")</f>
        <v>November</v>
      </c>
    </row>
    <row r="940" spans="1:15" x14ac:dyDescent="0.3">
      <c r="A940" s="18">
        <v>939</v>
      </c>
      <c r="B940" s="19">
        <v>45278</v>
      </c>
      <c r="C940" s="20" t="s">
        <v>947</v>
      </c>
      <c r="D940" s="20" t="s">
        <v>8</v>
      </c>
      <c r="E940" s="18">
        <v>46</v>
      </c>
      <c r="F940" s="18" t="str">
        <f t="shared" si="28"/>
        <v>Adult</v>
      </c>
      <c r="G940" s="20" t="s">
        <v>11</v>
      </c>
      <c r="H940" s="18">
        <v>1</v>
      </c>
      <c r="I940" s="18">
        <v>300</v>
      </c>
      <c r="J940" s="18">
        <v>300</v>
      </c>
      <c r="K940" s="21" t="str">
        <f t="shared" si="29"/>
        <v>Low</v>
      </c>
      <c r="L940" s="18">
        <f>YEAR(B940)</f>
        <v>2023</v>
      </c>
      <c r="M940" s="18">
        <f>ROUNDUP(MONTH(B940)/3,0)</f>
        <v>4</v>
      </c>
      <c r="N940" s="20" t="str">
        <f>TEXT(B940,"dddd")</f>
        <v>Monday</v>
      </c>
      <c r="O940" s="20" t="str">
        <f>TEXT(B940,"mmmm")</f>
        <v>December</v>
      </c>
    </row>
    <row r="941" spans="1:15" x14ac:dyDescent="0.3">
      <c r="A941" s="18">
        <v>940</v>
      </c>
      <c r="B941" s="19">
        <v>44954</v>
      </c>
      <c r="C941" s="20" t="s">
        <v>948</v>
      </c>
      <c r="D941" s="20" t="s">
        <v>8</v>
      </c>
      <c r="E941" s="18">
        <v>20</v>
      </c>
      <c r="F941" s="18" t="str">
        <f t="shared" si="28"/>
        <v>Young</v>
      </c>
      <c r="G941" s="20" t="s">
        <v>11</v>
      </c>
      <c r="H941" s="18">
        <v>1</v>
      </c>
      <c r="I941" s="18">
        <v>30</v>
      </c>
      <c r="J941" s="18">
        <v>30</v>
      </c>
      <c r="K941" s="21" t="str">
        <f t="shared" si="29"/>
        <v>Low</v>
      </c>
      <c r="L941" s="18">
        <f>YEAR(B941)</f>
        <v>2023</v>
      </c>
      <c r="M941" s="18">
        <f>ROUNDUP(MONTH(B941)/3,0)</f>
        <v>1</v>
      </c>
      <c r="N941" s="20" t="str">
        <f>TEXT(B941,"dddd")</f>
        <v>Saturday</v>
      </c>
      <c r="O941" s="20" t="str">
        <f>TEXT(B941,"mmmm")</f>
        <v>January</v>
      </c>
    </row>
    <row r="942" spans="1:15" x14ac:dyDescent="0.3">
      <c r="A942" s="18">
        <v>941</v>
      </c>
      <c r="B942" s="19">
        <v>45004</v>
      </c>
      <c r="C942" s="20" t="s">
        <v>949</v>
      </c>
      <c r="D942" s="20" t="s">
        <v>8</v>
      </c>
      <c r="E942" s="18">
        <v>57</v>
      </c>
      <c r="F942" s="18" t="str">
        <f t="shared" si="28"/>
        <v>Adult</v>
      </c>
      <c r="G942" s="20" t="s">
        <v>9</v>
      </c>
      <c r="H942" s="18">
        <v>2</v>
      </c>
      <c r="I942" s="18">
        <v>25</v>
      </c>
      <c r="J942" s="18">
        <v>50</v>
      </c>
      <c r="K942" s="21" t="str">
        <f t="shared" si="29"/>
        <v>Low</v>
      </c>
      <c r="L942" s="18">
        <f>YEAR(B942)</f>
        <v>2023</v>
      </c>
      <c r="M942" s="18">
        <f>ROUNDUP(MONTH(B942)/3,0)</f>
        <v>1</v>
      </c>
      <c r="N942" s="20" t="str">
        <f>TEXT(B942,"dddd")</f>
        <v>Sunday</v>
      </c>
      <c r="O942" s="20" t="str">
        <f>TEXT(B942,"mmmm")</f>
        <v>March</v>
      </c>
    </row>
    <row r="943" spans="1:15" x14ac:dyDescent="0.3">
      <c r="A943" s="18">
        <v>942</v>
      </c>
      <c r="B943" s="19">
        <v>45003</v>
      </c>
      <c r="C943" s="20" t="s">
        <v>950</v>
      </c>
      <c r="D943" s="20" t="s">
        <v>5</v>
      </c>
      <c r="E943" s="18">
        <v>51</v>
      </c>
      <c r="F943" s="18" t="str">
        <f t="shared" si="28"/>
        <v>Adult</v>
      </c>
      <c r="G943" s="20" t="s">
        <v>9</v>
      </c>
      <c r="H943" s="18">
        <v>3</v>
      </c>
      <c r="I943" s="18">
        <v>500</v>
      </c>
      <c r="J943" s="18">
        <v>1500</v>
      </c>
      <c r="K943" s="21" t="str">
        <f t="shared" si="29"/>
        <v>Medium</v>
      </c>
      <c r="L943" s="18">
        <f>YEAR(B943)</f>
        <v>2023</v>
      </c>
      <c r="M943" s="18">
        <f>ROUNDUP(MONTH(B943)/3,0)</f>
        <v>1</v>
      </c>
      <c r="N943" s="20" t="str">
        <f>TEXT(B943,"dddd")</f>
        <v>Saturday</v>
      </c>
      <c r="O943" s="20" t="str">
        <f>TEXT(B943,"mmmm")</f>
        <v>March</v>
      </c>
    </row>
    <row r="944" spans="1:15" x14ac:dyDescent="0.3">
      <c r="A944" s="18">
        <v>943</v>
      </c>
      <c r="B944" s="19">
        <v>45215</v>
      </c>
      <c r="C944" s="20" t="s">
        <v>951</v>
      </c>
      <c r="D944" s="20" t="s">
        <v>8</v>
      </c>
      <c r="E944" s="18">
        <v>57</v>
      </c>
      <c r="F944" s="18" t="str">
        <f t="shared" si="28"/>
        <v>Adult</v>
      </c>
      <c r="G944" s="20" t="s">
        <v>9</v>
      </c>
      <c r="H944" s="18">
        <v>4</v>
      </c>
      <c r="I944" s="18">
        <v>300</v>
      </c>
      <c r="J944" s="18">
        <v>1200</v>
      </c>
      <c r="K944" s="21" t="str">
        <f t="shared" si="29"/>
        <v>Medium</v>
      </c>
      <c r="L944" s="18">
        <f>YEAR(B944)</f>
        <v>2023</v>
      </c>
      <c r="M944" s="18">
        <f>ROUNDUP(MONTH(B944)/3,0)</f>
        <v>4</v>
      </c>
      <c r="N944" s="20" t="str">
        <f>TEXT(B944,"dddd")</f>
        <v>Monday</v>
      </c>
      <c r="O944" s="20" t="str">
        <f>TEXT(B944,"mmmm")</f>
        <v>October</v>
      </c>
    </row>
    <row r="945" spans="1:15" x14ac:dyDescent="0.3">
      <c r="A945" s="18">
        <v>944</v>
      </c>
      <c r="B945" s="19">
        <v>45082</v>
      </c>
      <c r="C945" s="20" t="s">
        <v>952</v>
      </c>
      <c r="D945" s="20" t="s">
        <v>5</v>
      </c>
      <c r="E945" s="18">
        <v>44</v>
      </c>
      <c r="F945" s="18" t="str">
        <f t="shared" si="28"/>
        <v>Adult</v>
      </c>
      <c r="G945" s="20" t="s">
        <v>9</v>
      </c>
      <c r="H945" s="18">
        <v>2</v>
      </c>
      <c r="I945" s="18">
        <v>25</v>
      </c>
      <c r="J945" s="18">
        <v>50</v>
      </c>
      <c r="K945" s="21" t="str">
        <f t="shared" si="29"/>
        <v>Low</v>
      </c>
      <c r="L945" s="18">
        <f>YEAR(B945)</f>
        <v>2023</v>
      </c>
      <c r="M945" s="18">
        <f>ROUNDUP(MONTH(B945)/3,0)</f>
        <v>2</v>
      </c>
      <c r="N945" s="20" t="str">
        <f>TEXT(B945,"dddd")</f>
        <v>Monday</v>
      </c>
      <c r="O945" s="20" t="str">
        <f>TEXT(B945,"mmmm")</f>
        <v>June</v>
      </c>
    </row>
    <row r="946" spans="1:15" x14ac:dyDescent="0.3">
      <c r="A946" s="18">
        <v>945</v>
      </c>
      <c r="B946" s="19">
        <v>44970</v>
      </c>
      <c r="C946" s="20" t="s">
        <v>953</v>
      </c>
      <c r="D946" s="20" t="s">
        <v>5</v>
      </c>
      <c r="E946" s="18">
        <v>30</v>
      </c>
      <c r="F946" s="18" t="str">
        <f t="shared" si="28"/>
        <v>Young</v>
      </c>
      <c r="G946" s="20" t="s">
        <v>6</v>
      </c>
      <c r="H946" s="18">
        <v>1</v>
      </c>
      <c r="I946" s="18">
        <v>25</v>
      </c>
      <c r="J946" s="18">
        <v>25</v>
      </c>
      <c r="K946" s="21" t="str">
        <f t="shared" si="29"/>
        <v>Low</v>
      </c>
      <c r="L946" s="18">
        <f>YEAR(B946)</f>
        <v>2023</v>
      </c>
      <c r="M946" s="18">
        <f>ROUNDUP(MONTH(B946)/3,0)</f>
        <v>1</v>
      </c>
      <c r="N946" s="20" t="str">
        <f>TEXT(B946,"dddd")</f>
        <v>Monday</v>
      </c>
      <c r="O946" s="20" t="str">
        <f>TEXT(B946,"mmmm")</f>
        <v>February</v>
      </c>
    </row>
    <row r="947" spans="1:15" x14ac:dyDescent="0.3">
      <c r="A947" s="18">
        <v>946</v>
      </c>
      <c r="B947" s="19">
        <v>45054</v>
      </c>
      <c r="C947" s="20" t="s">
        <v>954</v>
      </c>
      <c r="D947" s="20" t="s">
        <v>5</v>
      </c>
      <c r="E947" s="18">
        <v>62</v>
      </c>
      <c r="F947" s="18" t="str">
        <f t="shared" si="28"/>
        <v>Senior</v>
      </c>
      <c r="G947" s="20" t="s">
        <v>11</v>
      </c>
      <c r="H947" s="18">
        <v>4</v>
      </c>
      <c r="I947" s="18">
        <v>500</v>
      </c>
      <c r="J947" s="18">
        <v>2000</v>
      </c>
      <c r="K947" s="21" t="str">
        <f t="shared" si="29"/>
        <v>High</v>
      </c>
      <c r="L947" s="18">
        <f>YEAR(B947)</f>
        <v>2023</v>
      </c>
      <c r="M947" s="18">
        <f>ROUNDUP(MONTH(B947)/3,0)</f>
        <v>2</v>
      </c>
      <c r="N947" s="20" t="str">
        <f>TEXT(B947,"dddd")</f>
        <v>Monday</v>
      </c>
      <c r="O947" s="20" t="str">
        <f>TEXT(B947,"mmmm")</f>
        <v>May</v>
      </c>
    </row>
    <row r="948" spans="1:15" x14ac:dyDescent="0.3">
      <c r="A948" s="18">
        <v>947</v>
      </c>
      <c r="B948" s="19">
        <v>44987</v>
      </c>
      <c r="C948" s="20" t="s">
        <v>955</v>
      </c>
      <c r="D948" s="20" t="s">
        <v>5</v>
      </c>
      <c r="E948" s="18">
        <v>50</v>
      </c>
      <c r="F948" s="18" t="str">
        <f t="shared" si="28"/>
        <v>Adult</v>
      </c>
      <c r="G948" s="20" t="s">
        <v>6</v>
      </c>
      <c r="H948" s="18">
        <v>1</v>
      </c>
      <c r="I948" s="18">
        <v>300</v>
      </c>
      <c r="J948" s="18">
        <v>300</v>
      </c>
      <c r="K948" s="21" t="str">
        <f t="shared" si="29"/>
        <v>Low</v>
      </c>
      <c r="L948" s="18">
        <f>YEAR(B948)</f>
        <v>2023</v>
      </c>
      <c r="M948" s="18">
        <f>ROUNDUP(MONTH(B948)/3,0)</f>
        <v>1</v>
      </c>
      <c r="N948" s="20" t="str">
        <f>TEXT(B948,"dddd")</f>
        <v>Thursday</v>
      </c>
      <c r="O948" s="20" t="str">
        <f>TEXT(B948,"mmmm")</f>
        <v>March</v>
      </c>
    </row>
    <row r="949" spans="1:15" x14ac:dyDescent="0.3">
      <c r="A949" s="18">
        <v>948</v>
      </c>
      <c r="B949" s="19">
        <v>45212</v>
      </c>
      <c r="C949" s="20" t="s">
        <v>956</v>
      </c>
      <c r="D949" s="20" t="s">
        <v>8</v>
      </c>
      <c r="E949" s="18">
        <v>23</v>
      </c>
      <c r="F949" s="18" t="str">
        <f t="shared" si="28"/>
        <v>Young</v>
      </c>
      <c r="G949" s="20" t="s">
        <v>11</v>
      </c>
      <c r="H949" s="18">
        <v>3</v>
      </c>
      <c r="I949" s="18">
        <v>25</v>
      </c>
      <c r="J949" s="18">
        <v>75</v>
      </c>
      <c r="K949" s="21" t="str">
        <f t="shared" si="29"/>
        <v>Low</v>
      </c>
      <c r="L949" s="18">
        <f>YEAR(B949)</f>
        <v>2023</v>
      </c>
      <c r="M949" s="18">
        <f>ROUNDUP(MONTH(B949)/3,0)</f>
        <v>4</v>
      </c>
      <c r="N949" s="20" t="str">
        <f>TEXT(B949,"dddd")</f>
        <v>Friday</v>
      </c>
      <c r="O949" s="20" t="str">
        <f>TEXT(B949,"mmmm")</f>
        <v>October</v>
      </c>
    </row>
    <row r="950" spans="1:15" x14ac:dyDescent="0.3">
      <c r="A950" s="18">
        <v>949</v>
      </c>
      <c r="B950" s="19">
        <v>45140</v>
      </c>
      <c r="C950" s="20" t="s">
        <v>957</v>
      </c>
      <c r="D950" s="20" t="s">
        <v>8</v>
      </c>
      <c r="E950" s="18">
        <v>41</v>
      </c>
      <c r="F950" s="18" t="str">
        <f t="shared" si="28"/>
        <v>Adult</v>
      </c>
      <c r="G950" s="20" t="s">
        <v>11</v>
      </c>
      <c r="H950" s="18">
        <v>2</v>
      </c>
      <c r="I950" s="18">
        <v>25</v>
      </c>
      <c r="J950" s="18">
        <v>50</v>
      </c>
      <c r="K950" s="21" t="str">
        <f t="shared" si="29"/>
        <v>Low</v>
      </c>
      <c r="L950" s="18">
        <f>YEAR(B950)</f>
        <v>2023</v>
      </c>
      <c r="M950" s="18">
        <f>ROUNDUP(MONTH(B950)/3,0)</f>
        <v>3</v>
      </c>
      <c r="N950" s="20" t="str">
        <f>TEXT(B950,"dddd")</f>
        <v>Wednesday</v>
      </c>
      <c r="O950" s="20" t="str">
        <f>TEXT(B950,"mmmm")</f>
        <v>August</v>
      </c>
    </row>
    <row r="951" spans="1:15" x14ac:dyDescent="0.3">
      <c r="A951" s="18">
        <v>950</v>
      </c>
      <c r="B951" s="19">
        <v>45237</v>
      </c>
      <c r="C951" s="20" t="s">
        <v>958</v>
      </c>
      <c r="D951" s="20" t="s">
        <v>5</v>
      </c>
      <c r="E951" s="18">
        <v>36</v>
      </c>
      <c r="F951" s="18" t="str">
        <f t="shared" si="28"/>
        <v>Adult</v>
      </c>
      <c r="G951" s="20" t="s">
        <v>9</v>
      </c>
      <c r="H951" s="18">
        <v>3</v>
      </c>
      <c r="I951" s="18">
        <v>300</v>
      </c>
      <c r="J951" s="18">
        <v>900</v>
      </c>
      <c r="K951" s="21" t="str">
        <f t="shared" si="29"/>
        <v>Medium</v>
      </c>
      <c r="L951" s="18">
        <f>YEAR(B951)</f>
        <v>2023</v>
      </c>
      <c r="M951" s="18">
        <f>ROUNDUP(MONTH(B951)/3,0)</f>
        <v>4</v>
      </c>
      <c r="N951" s="20" t="str">
        <f>TEXT(B951,"dddd")</f>
        <v>Tuesday</v>
      </c>
      <c r="O951" s="20" t="str">
        <f>TEXT(B951,"mmmm")</f>
        <v>November</v>
      </c>
    </row>
    <row r="952" spans="1:15" x14ac:dyDescent="0.3">
      <c r="A952" s="18">
        <v>951</v>
      </c>
      <c r="B952" s="19">
        <v>45232</v>
      </c>
      <c r="C952" s="20" t="s">
        <v>959</v>
      </c>
      <c r="D952" s="20" t="s">
        <v>5</v>
      </c>
      <c r="E952" s="18">
        <v>33</v>
      </c>
      <c r="F952" s="18" t="str">
        <f t="shared" si="28"/>
        <v>Adult</v>
      </c>
      <c r="G952" s="20" t="s">
        <v>6</v>
      </c>
      <c r="H952" s="18">
        <v>2</v>
      </c>
      <c r="I952" s="18">
        <v>50</v>
      </c>
      <c r="J952" s="18">
        <v>100</v>
      </c>
      <c r="K952" s="21" t="str">
        <f t="shared" si="29"/>
        <v>Low</v>
      </c>
      <c r="L952" s="18">
        <f>YEAR(B952)</f>
        <v>2023</v>
      </c>
      <c r="M952" s="18">
        <f>ROUNDUP(MONTH(B952)/3,0)</f>
        <v>4</v>
      </c>
      <c r="N952" s="20" t="str">
        <f>TEXT(B952,"dddd")</f>
        <v>Thursday</v>
      </c>
      <c r="O952" s="20" t="str">
        <f>TEXT(B952,"mmmm")</f>
        <v>November</v>
      </c>
    </row>
    <row r="953" spans="1:15" x14ac:dyDescent="0.3">
      <c r="A953" s="18">
        <v>952</v>
      </c>
      <c r="B953" s="19">
        <v>45243</v>
      </c>
      <c r="C953" s="20" t="s">
        <v>960</v>
      </c>
      <c r="D953" s="20" t="s">
        <v>8</v>
      </c>
      <c r="E953" s="18">
        <v>57</v>
      </c>
      <c r="F953" s="18" t="str">
        <f t="shared" si="28"/>
        <v>Adult</v>
      </c>
      <c r="G953" s="20" t="s">
        <v>9</v>
      </c>
      <c r="H953" s="18">
        <v>1</v>
      </c>
      <c r="I953" s="18">
        <v>25</v>
      </c>
      <c r="J953" s="18">
        <v>25</v>
      </c>
      <c r="K953" s="21" t="str">
        <f t="shared" si="29"/>
        <v>Low</v>
      </c>
      <c r="L953" s="18">
        <f>YEAR(B953)</f>
        <v>2023</v>
      </c>
      <c r="M953" s="18">
        <f>ROUNDUP(MONTH(B953)/3,0)</f>
        <v>4</v>
      </c>
      <c r="N953" s="20" t="str">
        <f>TEXT(B953,"dddd")</f>
        <v>Monday</v>
      </c>
      <c r="O953" s="20" t="str">
        <f>TEXT(B953,"mmmm")</f>
        <v>November</v>
      </c>
    </row>
    <row r="954" spans="1:15" x14ac:dyDescent="0.3">
      <c r="A954" s="18">
        <v>953</v>
      </c>
      <c r="B954" s="19">
        <v>45042</v>
      </c>
      <c r="C954" s="20" t="s">
        <v>961</v>
      </c>
      <c r="D954" s="20" t="s">
        <v>5</v>
      </c>
      <c r="E954" s="18">
        <v>45</v>
      </c>
      <c r="F954" s="18" t="str">
        <f t="shared" si="28"/>
        <v>Adult</v>
      </c>
      <c r="G954" s="20" t="s">
        <v>6</v>
      </c>
      <c r="H954" s="18">
        <v>3</v>
      </c>
      <c r="I954" s="18">
        <v>30</v>
      </c>
      <c r="J954" s="18">
        <v>90</v>
      </c>
      <c r="K954" s="21" t="str">
        <f t="shared" si="29"/>
        <v>Low</v>
      </c>
      <c r="L954" s="18">
        <f>YEAR(B954)</f>
        <v>2023</v>
      </c>
      <c r="M954" s="18">
        <f>ROUNDUP(MONTH(B954)/3,0)</f>
        <v>2</v>
      </c>
      <c r="N954" s="20" t="str">
        <f>TEXT(B954,"dddd")</f>
        <v>Wednesday</v>
      </c>
      <c r="O954" s="20" t="str">
        <f>TEXT(B954,"mmmm")</f>
        <v>April</v>
      </c>
    </row>
    <row r="955" spans="1:15" x14ac:dyDescent="0.3">
      <c r="A955" s="18">
        <v>954</v>
      </c>
      <c r="B955" s="19">
        <v>45194</v>
      </c>
      <c r="C955" s="20" t="s">
        <v>962</v>
      </c>
      <c r="D955" s="20" t="s">
        <v>8</v>
      </c>
      <c r="E955" s="18">
        <v>50</v>
      </c>
      <c r="F955" s="18" t="str">
        <f t="shared" si="28"/>
        <v>Adult</v>
      </c>
      <c r="G955" s="20" t="s">
        <v>11</v>
      </c>
      <c r="H955" s="18">
        <v>3</v>
      </c>
      <c r="I955" s="18">
        <v>300</v>
      </c>
      <c r="J955" s="18">
        <v>900</v>
      </c>
      <c r="K955" s="21" t="str">
        <f t="shared" si="29"/>
        <v>Medium</v>
      </c>
      <c r="L955" s="18">
        <f>YEAR(B955)</f>
        <v>2023</v>
      </c>
      <c r="M955" s="18">
        <f>ROUNDUP(MONTH(B955)/3,0)</f>
        <v>3</v>
      </c>
      <c r="N955" s="20" t="str">
        <f>TEXT(B955,"dddd")</f>
        <v>Monday</v>
      </c>
      <c r="O955" s="20" t="str">
        <f>TEXT(B955,"mmmm")</f>
        <v>September</v>
      </c>
    </row>
    <row r="956" spans="1:15" x14ac:dyDescent="0.3">
      <c r="A956" s="18">
        <v>955</v>
      </c>
      <c r="B956" s="19">
        <v>45121</v>
      </c>
      <c r="C956" s="20" t="s">
        <v>963</v>
      </c>
      <c r="D956" s="20" t="s">
        <v>5</v>
      </c>
      <c r="E956" s="18">
        <v>58</v>
      </c>
      <c r="F956" s="18" t="str">
        <f t="shared" si="28"/>
        <v>Adult</v>
      </c>
      <c r="G956" s="20" t="s">
        <v>9</v>
      </c>
      <c r="H956" s="18">
        <v>1</v>
      </c>
      <c r="I956" s="18">
        <v>25</v>
      </c>
      <c r="J956" s="18">
        <v>25</v>
      </c>
      <c r="K956" s="21" t="str">
        <f t="shared" si="29"/>
        <v>Low</v>
      </c>
      <c r="L956" s="18">
        <f>YEAR(B956)</f>
        <v>2023</v>
      </c>
      <c r="M956" s="18">
        <f>ROUNDUP(MONTH(B956)/3,0)</f>
        <v>3</v>
      </c>
      <c r="N956" s="20" t="str">
        <f>TEXT(B956,"dddd")</f>
        <v>Friday</v>
      </c>
      <c r="O956" s="20" t="str">
        <f>TEXT(B956,"mmmm")</f>
        <v>July</v>
      </c>
    </row>
    <row r="957" spans="1:15" x14ac:dyDescent="0.3">
      <c r="A957" s="18">
        <v>956</v>
      </c>
      <c r="B957" s="19">
        <v>45157</v>
      </c>
      <c r="C957" s="20" t="s">
        <v>964</v>
      </c>
      <c r="D957" s="20" t="s">
        <v>5</v>
      </c>
      <c r="E957" s="18">
        <v>30</v>
      </c>
      <c r="F957" s="18" t="str">
        <f t="shared" si="28"/>
        <v>Young</v>
      </c>
      <c r="G957" s="20" t="s">
        <v>9</v>
      </c>
      <c r="H957" s="18">
        <v>3</v>
      </c>
      <c r="I957" s="18">
        <v>500</v>
      </c>
      <c r="J957" s="18">
        <v>1500</v>
      </c>
      <c r="K957" s="21" t="str">
        <f t="shared" si="29"/>
        <v>Medium</v>
      </c>
      <c r="L957" s="18">
        <f>YEAR(B957)</f>
        <v>2023</v>
      </c>
      <c r="M957" s="18">
        <f>ROUNDUP(MONTH(B957)/3,0)</f>
        <v>3</v>
      </c>
      <c r="N957" s="20" t="str">
        <f>TEXT(B957,"dddd")</f>
        <v>Saturday</v>
      </c>
      <c r="O957" s="20" t="str">
        <f>TEXT(B957,"mmmm")</f>
        <v>August</v>
      </c>
    </row>
    <row r="958" spans="1:15" x14ac:dyDescent="0.3">
      <c r="A958" s="18">
        <v>957</v>
      </c>
      <c r="B958" s="19">
        <v>45153</v>
      </c>
      <c r="C958" s="20" t="s">
        <v>965</v>
      </c>
      <c r="D958" s="20" t="s">
        <v>8</v>
      </c>
      <c r="E958" s="18">
        <v>60</v>
      </c>
      <c r="F958" s="18" t="str">
        <f t="shared" si="28"/>
        <v>Adult</v>
      </c>
      <c r="G958" s="20" t="s">
        <v>11</v>
      </c>
      <c r="H958" s="18">
        <v>4</v>
      </c>
      <c r="I958" s="18">
        <v>30</v>
      </c>
      <c r="J958" s="18">
        <v>120</v>
      </c>
      <c r="K958" s="21" t="str">
        <f t="shared" si="29"/>
        <v>Low</v>
      </c>
      <c r="L958" s="18">
        <f>YEAR(B958)</f>
        <v>2023</v>
      </c>
      <c r="M958" s="18">
        <f>ROUNDUP(MONTH(B958)/3,0)</f>
        <v>3</v>
      </c>
      <c r="N958" s="20" t="str">
        <f>TEXT(B958,"dddd")</f>
        <v>Tuesday</v>
      </c>
      <c r="O958" s="20" t="str">
        <f>TEXT(B958,"mmmm")</f>
        <v>August</v>
      </c>
    </row>
    <row r="959" spans="1:15" x14ac:dyDescent="0.3">
      <c r="A959" s="18">
        <v>958</v>
      </c>
      <c r="B959" s="19">
        <v>45079</v>
      </c>
      <c r="C959" s="20" t="s">
        <v>966</v>
      </c>
      <c r="D959" s="20" t="s">
        <v>5</v>
      </c>
      <c r="E959" s="18">
        <v>62</v>
      </c>
      <c r="F959" s="18" t="str">
        <f t="shared" si="28"/>
        <v>Senior</v>
      </c>
      <c r="G959" s="20" t="s">
        <v>11</v>
      </c>
      <c r="H959" s="18">
        <v>2</v>
      </c>
      <c r="I959" s="18">
        <v>25</v>
      </c>
      <c r="J959" s="18">
        <v>50</v>
      </c>
      <c r="K959" s="21" t="str">
        <f t="shared" si="29"/>
        <v>Low</v>
      </c>
      <c r="L959" s="18">
        <f>YEAR(B959)</f>
        <v>2023</v>
      </c>
      <c r="M959" s="18">
        <f>ROUNDUP(MONTH(B959)/3,0)</f>
        <v>2</v>
      </c>
      <c r="N959" s="20" t="str">
        <f>TEXT(B959,"dddd")</f>
        <v>Friday</v>
      </c>
      <c r="O959" s="20" t="str">
        <f>TEXT(B959,"mmmm")</f>
        <v>June</v>
      </c>
    </row>
    <row r="960" spans="1:15" x14ac:dyDescent="0.3">
      <c r="A960" s="18">
        <v>959</v>
      </c>
      <c r="B960" s="19">
        <v>45228</v>
      </c>
      <c r="C960" s="20" t="s">
        <v>967</v>
      </c>
      <c r="D960" s="20" t="s">
        <v>8</v>
      </c>
      <c r="E960" s="18">
        <v>42</v>
      </c>
      <c r="F960" s="18" t="str">
        <f t="shared" si="28"/>
        <v>Adult</v>
      </c>
      <c r="G960" s="20" t="s">
        <v>11</v>
      </c>
      <c r="H960" s="18">
        <v>2</v>
      </c>
      <c r="I960" s="18">
        <v>30</v>
      </c>
      <c r="J960" s="18">
        <v>60</v>
      </c>
      <c r="K960" s="21" t="str">
        <f t="shared" si="29"/>
        <v>Low</v>
      </c>
      <c r="L960" s="18">
        <f>YEAR(B960)</f>
        <v>2023</v>
      </c>
      <c r="M960" s="18">
        <f>ROUNDUP(MONTH(B960)/3,0)</f>
        <v>4</v>
      </c>
      <c r="N960" s="20" t="str">
        <f>TEXT(B960,"dddd")</f>
        <v>Sunday</v>
      </c>
      <c r="O960" s="20" t="str">
        <f>TEXT(B960,"mmmm")</f>
        <v>October</v>
      </c>
    </row>
    <row r="961" spans="1:15" x14ac:dyDescent="0.3">
      <c r="A961" s="18">
        <v>960</v>
      </c>
      <c r="B961" s="19">
        <v>45146</v>
      </c>
      <c r="C961" s="20" t="s">
        <v>968</v>
      </c>
      <c r="D961" s="20" t="s">
        <v>5</v>
      </c>
      <c r="E961" s="18">
        <v>59</v>
      </c>
      <c r="F961" s="18" t="str">
        <f t="shared" si="28"/>
        <v>Adult</v>
      </c>
      <c r="G961" s="20" t="s">
        <v>9</v>
      </c>
      <c r="H961" s="18">
        <v>2</v>
      </c>
      <c r="I961" s="18">
        <v>30</v>
      </c>
      <c r="J961" s="18">
        <v>60</v>
      </c>
      <c r="K961" s="21" t="str">
        <f t="shared" si="29"/>
        <v>Low</v>
      </c>
      <c r="L961" s="18">
        <f>YEAR(B961)</f>
        <v>2023</v>
      </c>
      <c r="M961" s="18">
        <f>ROUNDUP(MONTH(B961)/3,0)</f>
        <v>3</v>
      </c>
      <c r="N961" s="20" t="str">
        <f>TEXT(B961,"dddd")</f>
        <v>Tuesday</v>
      </c>
      <c r="O961" s="20" t="str">
        <f>TEXT(B961,"mmmm")</f>
        <v>August</v>
      </c>
    </row>
    <row r="962" spans="1:15" x14ac:dyDescent="0.3">
      <c r="A962" s="18">
        <v>961</v>
      </c>
      <c r="B962" s="19">
        <v>45083</v>
      </c>
      <c r="C962" s="20" t="s">
        <v>969</v>
      </c>
      <c r="D962" s="20" t="s">
        <v>5</v>
      </c>
      <c r="E962" s="18">
        <v>53</v>
      </c>
      <c r="F962" s="18" t="str">
        <f t="shared" si="28"/>
        <v>Adult</v>
      </c>
      <c r="G962" s="20" t="s">
        <v>6</v>
      </c>
      <c r="H962" s="18">
        <v>4</v>
      </c>
      <c r="I962" s="18">
        <v>50</v>
      </c>
      <c r="J962" s="18">
        <v>200</v>
      </c>
      <c r="K962" s="21" t="str">
        <f t="shared" si="29"/>
        <v>Low</v>
      </c>
      <c r="L962" s="18">
        <f>YEAR(B962)</f>
        <v>2023</v>
      </c>
      <c r="M962" s="18">
        <f>ROUNDUP(MONTH(B962)/3,0)</f>
        <v>2</v>
      </c>
      <c r="N962" s="20" t="str">
        <f>TEXT(B962,"dddd")</f>
        <v>Tuesday</v>
      </c>
      <c r="O962" s="20" t="str">
        <f>TEXT(B962,"mmmm")</f>
        <v>June</v>
      </c>
    </row>
    <row r="963" spans="1:15" x14ac:dyDescent="0.3">
      <c r="A963" s="18">
        <v>962</v>
      </c>
      <c r="B963" s="19">
        <v>45218</v>
      </c>
      <c r="C963" s="20" t="s">
        <v>970</v>
      </c>
      <c r="D963" s="20" t="s">
        <v>5</v>
      </c>
      <c r="E963" s="18">
        <v>44</v>
      </c>
      <c r="F963" s="18" t="str">
        <f t="shared" ref="F963:F1001" si="30">IF(E963&gt;60,"Senior",IF(E963&gt;30,"Adult","Young"))</f>
        <v>Adult</v>
      </c>
      <c r="G963" s="20" t="s">
        <v>9</v>
      </c>
      <c r="H963" s="18">
        <v>2</v>
      </c>
      <c r="I963" s="18">
        <v>30</v>
      </c>
      <c r="J963" s="18">
        <v>60</v>
      </c>
      <c r="K963" s="21" t="str">
        <f t="shared" ref="K963:K1001" si="31">IF(J963&gt;1500,"High",IF(J963&gt;500,"Medium","Low"))</f>
        <v>Low</v>
      </c>
      <c r="L963" s="18">
        <f t="shared" ref="L963:L1001" si="32">YEAR(B963)</f>
        <v>2023</v>
      </c>
      <c r="M963" s="18">
        <f t="shared" ref="M963:M1001" si="33">ROUNDUP(MONTH(B963)/3,0)</f>
        <v>4</v>
      </c>
      <c r="N963" s="20" t="str">
        <f t="shared" ref="N963:N1001" si="34">TEXT(B963,"dddd")</f>
        <v>Thursday</v>
      </c>
      <c r="O963" s="20" t="str">
        <f t="shared" ref="O963:O1001" si="35">TEXT(B963,"mmmm")</f>
        <v>October</v>
      </c>
    </row>
    <row r="964" spans="1:15" x14ac:dyDescent="0.3">
      <c r="A964" s="18">
        <v>963</v>
      </c>
      <c r="B964" s="19">
        <v>45244</v>
      </c>
      <c r="C964" s="20" t="s">
        <v>971</v>
      </c>
      <c r="D964" s="20" t="s">
        <v>8</v>
      </c>
      <c r="E964" s="18">
        <v>55</v>
      </c>
      <c r="F964" s="18" t="str">
        <f t="shared" si="30"/>
        <v>Adult</v>
      </c>
      <c r="G964" s="20" t="s">
        <v>6</v>
      </c>
      <c r="H964" s="18">
        <v>1</v>
      </c>
      <c r="I964" s="18">
        <v>50</v>
      </c>
      <c r="J964" s="18">
        <v>50</v>
      </c>
      <c r="K964" s="21" t="str">
        <f t="shared" si="31"/>
        <v>Low</v>
      </c>
      <c r="L964" s="18">
        <f t="shared" si="32"/>
        <v>2023</v>
      </c>
      <c r="M964" s="18">
        <f t="shared" si="33"/>
        <v>4</v>
      </c>
      <c r="N964" s="20" t="str">
        <f t="shared" si="34"/>
        <v>Tuesday</v>
      </c>
      <c r="O964" s="20" t="str">
        <f t="shared" si="35"/>
        <v>November</v>
      </c>
    </row>
    <row r="965" spans="1:15" x14ac:dyDescent="0.3">
      <c r="A965" s="18">
        <v>964</v>
      </c>
      <c r="B965" s="19">
        <v>44957</v>
      </c>
      <c r="C965" s="20" t="s">
        <v>972</v>
      </c>
      <c r="D965" s="20" t="s">
        <v>5</v>
      </c>
      <c r="E965" s="18">
        <v>24</v>
      </c>
      <c r="F965" s="18" t="str">
        <f t="shared" si="30"/>
        <v>Young</v>
      </c>
      <c r="G965" s="20" t="s">
        <v>9</v>
      </c>
      <c r="H965" s="18">
        <v>3</v>
      </c>
      <c r="I965" s="18">
        <v>300</v>
      </c>
      <c r="J965" s="18">
        <v>900</v>
      </c>
      <c r="K965" s="21" t="str">
        <f t="shared" si="31"/>
        <v>Medium</v>
      </c>
      <c r="L965" s="18">
        <f t="shared" si="32"/>
        <v>2023</v>
      </c>
      <c r="M965" s="18">
        <f t="shared" si="33"/>
        <v>1</v>
      </c>
      <c r="N965" s="20" t="str">
        <f t="shared" si="34"/>
        <v>Tuesday</v>
      </c>
      <c r="O965" s="20" t="str">
        <f t="shared" si="35"/>
        <v>January</v>
      </c>
    </row>
    <row r="966" spans="1:15" x14ac:dyDescent="0.3">
      <c r="A966" s="18">
        <v>965</v>
      </c>
      <c r="B966" s="19">
        <v>45239</v>
      </c>
      <c r="C966" s="20" t="s">
        <v>973</v>
      </c>
      <c r="D966" s="20" t="s">
        <v>5</v>
      </c>
      <c r="E966" s="18">
        <v>22</v>
      </c>
      <c r="F966" s="18" t="str">
        <f t="shared" si="30"/>
        <v>Young</v>
      </c>
      <c r="G966" s="20" t="s">
        <v>9</v>
      </c>
      <c r="H966" s="18">
        <v>4</v>
      </c>
      <c r="I966" s="18">
        <v>50</v>
      </c>
      <c r="J966" s="18">
        <v>200</v>
      </c>
      <c r="K966" s="21" t="str">
        <f t="shared" si="31"/>
        <v>Low</v>
      </c>
      <c r="L966" s="18">
        <f t="shared" si="32"/>
        <v>2023</v>
      </c>
      <c r="M966" s="18">
        <f t="shared" si="33"/>
        <v>4</v>
      </c>
      <c r="N966" s="20" t="str">
        <f t="shared" si="34"/>
        <v>Thursday</v>
      </c>
      <c r="O966" s="20" t="str">
        <f t="shared" si="35"/>
        <v>November</v>
      </c>
    </row>
    <row r="967" spans="1:15" x14ac:dyDescent="0.3">
      <c r="A967" s="18">
        <v>966</v>
      </c>
      <c r="B967" s="19">
        <v>44977</v>
      </c>
      <c r="C967" s="20" t="s">
        <v>974</v>
      </c>
      <c r="D967" s="20" t="s">
        <v>5</v>
      </c>
      <c r="E967" s="18">
        <v>60</v>
      </c>
      <c r="F967" s="18" t="str">
        <f t="shared" si="30"/>
        <v>Adult</v>
      </c>
      <c r="G967" s="20" t="s">
        <v>11</v>
      </c>
      <c r="H967" s="18">
        <v>2</v>
      </c>
      <c r="I967" s="18">
        <v>500</v>
      </c>
      <c r="J967" s="18">
        <v>1000</v>
      </c>
      <c r="K967" s="21" t="str">
        <f t="shared" si="31"/>
        <v>Medium</v>
      </c>
      <c r="L967" s="18">
        <f t="shared" si="32"/>
        <v>2023</v>
      </c>
      <c r="M967" s="18">
        <f t="shared" si="33"/>
        <v>1</v>
      </c>
      <c r="N967" s="20" t="str">
        <f t="shared" si="34"/>
        <v>Monday</v>
      </c>
      <c r="O967" s="20" t="str">
        <f t="shared" si="35"/>
        <v>February</v>
      </c>
    </row>
    <row r="968" spans="1:15" x14ac:dyDescent="0.3">
      <c r="A968" s="18">
        <v>967</v>
      </c>
      <c r="B968" s="19">
        <v>45033</v>
      </c>
      <c r="C968" s="20" t="s">
        <v>975</v>
      </c>
      <c r="D968" s="20" t="s">
        <v>5</v>
      </c>
      <c r="E968" s="18">
        <v>62</v>
      </c>
      <c r="F968" s="18" t="str">
        <f t="shared" si="30"/>
        <v>Senior</v>
      </c>
      <c r="G968" s="20" t="s">
        <v>6</v>
      </c>
      <c r="H968" s="18">
        <v>1</v>
      </c>
      <c r="I968" s="18">
        <v>25</v>
      </c>
      <c r="J968" s="18">
        <v>25</v>
      </c>
      <c r="K968" s="21" t="str">
        <f t="shared" si="31"/>
        <v>Low</v>
      </c>
      <c r="L968" s="18">
        <f t="shared" si="32"/>
        <v>2023</v>
      </c>
      <c r="M968" s="18">
        <f t="shared" si="33"/>
        <v>2</v>
      </c>
      <c r="N968" s="20" t="str">
        <f t="shared" si="34"/>
        <v>Monday</v>
      </c>
      <c r="O968" s="20" t="str">
        <f t="shared" si="35"/>
        <v>April</v>
      </c>
    </row>
    <row r="969" spans="1:15" x14ac:dyDescent="0.3">
      <c r="A969" s="18">
        <v>968</v>
      </c>
      <c r="B969" s="19">
        <v>45247</v>
      </c>
      <c r="C969" s="20" t="s">
        <v>976</v>
      </c>
      <c r="D969" s="20" t="s">
        <v>8</v>
      </c>
      <c r="E969" s="18">
        <v>48</v>
      </c>
      <c r="F969" s="18" t="str">
        <f t="shared" si="30"/>
        <v>Adult</v>
      </c>
      <c r="G969" s="20" t="s">
        <v>9</v>
      </c>
      <c r="H969" s="18">
        <v>3</v>
      </c>
      <c r="I969" s="18">
        <v>300</v>
      </c>
      <c r="J969" s="18">
        <v>900</v>
      </c>
      <c r="K969" s="21" t="str">
        <f t="shared" si="31"/>
        <v>Medium</v>
      </c>
      <c r="L969" s="18">
        <f t="shared" si="32"/>
        <v>2023</v>
      </c>
      <c r="M969" s="18">
        <f t="shared" si="33"/>
        <v>4</v>
      </c>
      <c r="N969" s="20" t="str">
        <f t="shared" si="34"/>
        <v>Friday</v>
      </c>
      <c r="O969" s="20" t="str">
        <f t="shared" si="35"/>
        <v>November</v>
      </c>
    </row>
    <row r="970" spans="1:15" x14ac:dyDescent="0.3">
      <c r="A970" s="18">
        <v>969</v>
      </c>
      <c r="B970" s="19">
        <v>45035</v>
      </c>
      <c r="C970" s="20" t="s">
        <v>977</v>
      </c>
      <c r="D970" s="20" t="s">
        <v>8</v>
      </c>
      <c r="E970" s="18">
        <v>40</v>
      </c>
      <c r="F970" s="18" t="str">
        <f t="shared" si="30"/>
        <v>Adult</v>
      </c>
      <c r="G970" s="20" t="s">
        <v>9</v>
      </c>
      <c r="H970" s="18">
        <v>3</v>
      </c>
      <c r="I970" s="18">
        <v>300</v>
      </c>
      <c r="J970" s="18">
        <v>900</v>
      </c>
      <c r="K970" s="21" t="str">
        <f t="shared" si="31"/>
        <v>Medium</v>
      </c>
      <c r="L970" s="18">
        <f t="shared" si="32"/>
        <v>2023</v>
      </c>
      <c r="M970" s="18">
        <f t="shared" si="33"/>
        <v>2</v>
      </c>
      <c r="N970" s="20" t="str">
        <f t="shared" si="34"/>
        <v>Wednesday</v>
      </c>
      <c r="O970" s="20" t="str">
        <f t="shared" si="35"/>
        <v>April</v>
      </c>
    </row>
    <row r="971" spans="1:15" x14ac:dyDescent="0.3">
      <c r="A971" s="18">
        <v>970</v>
      </c>
      <c r="B971" s="19">
        <v>45062</v>
      </c>
      <c r="C971" s="20" t="s">
        <v>978</v>
      </c>
      <c r="D971" s="20" t="s">
        <v>5</v>
      </c>
      <c r="E971" s="18">
        <v>59</v>
      </c>
      <c r="F971" s="18" t="str">
        <f t="shared" si="30"/>
        <v>Adult</v>
      </c>
      <c r="G971" s="20" t="s">
        <v>11</v>
      </c>
      <c r="H971" s="18">
        <v>4</v>
      </c>
      <c r="I971" s="18">
        <v>500</v>
      </c>
      <c r="J971" s="18">
        <v>2000</v>
      </c>
      <c r="K971" s="21" t="str">
        <f t="shared" si="31"/>
        <v>High</v>
      </c>
      <c r="L971" s="18">
        <f t="shared" si="32"/>
        <v>2023</v>
      </c>
      <c r="M971" s="18">
        <f t="shared" si="33"/>
        <v>2</v>
      </c>
      <c r="N971" s="20" t="str">
        <f t="shared" si="34"/>
        <v>Tuesday</v>
      </c>
      <c r="O971" s="20" t="str">
        <f t="shared" si="35"/>
        <v>May</v>
      </c>
    </row>
    <row r="972" spans="1:15" x14ac:dyDescent="0.3">
      <c r="A972" s="18">
        <v>971</v>
      </c>
      <c r="B972" s="19">
        <v>45265</v>
      </c>
      <c r="C972" s="20" t="s">
        <v>979</v>
      </c>
      <c r="D972" s="20" t="s">
        <v>8</v>
      </c>
      <c r="E972" s="18">
        <v>27</v>
      </c>
      <c r="F972" s="18" t="str">
        <f t="shared" si="30"/>
        <v>Young</v>
      </c>
      <c r="G972" s="20" t="s">
        <v>11</v>
      </c>
      <c r="H972" s="18">
        <v>4</v>
      </c>
      <c r="I972" s="18">
        <v>50</v>
      </c>
      <c r="J972" s="18">
        <v>200</v>
      </c>
      <c r="K972" s="21" t="str">
        <f t="shared" si="31"/>
        <v>Low</v>
      </c>
      <c r="L972" s="18">
        <f t="shared" si="32"/>
        <v>2023</v>
      </c>
      <c r="M972" s="18">
        <f t="shared" si="33"/>
        <v>4</v>
      </c>
      <c r="N972" s="20" t="str">
        <f t="shared" si="34"/>
        <v>Tuesday</v>
      </c>
      <c r="O972" s="20" t="str">
        <f t="shared" si="35"/>
        <v>December</v>
      </c>
    </row>
    <row r="973" spans="1:15" x14ac:dyDescent="0.3">
      <c r="A973" s="18">
        <v>972</v>
      </c>
      <c r="B973" s="19">
        <v>44968</v>
      </c>
      <c r="C973" s="20" t="s">
        <v>980</v>
      </c>
      <c r="D973" s="20" t="s">
        <v>5</v>
      </c>
      <c r="E973" s="18">
        <v>49</v>
      </c>
      <c r="F973" s="18" t="str">
        <f t="shared" si="30"/>
        <v>Adult</v>
      </c>
      <c r="G973" s="20" t="s">
        <v>6</v>
      </c>
      <c r="H973" s="18">
        <v>4</v>
      </c>
      <c r="I973" s="18">
        <v>25</v>
      </c>
      <c r="J973" s="18">
        <v>100</v>
      </c>
      <c r="K973" s="21" t="str">
        <f t="shared" si="31"/>
        <v>Low</v>
      </c>
      <c r="L973" s="18">
        <f t="shared" si="32"/>
        <v>2023</v>
      </c>
      <c r="M973" s="18">
        <f t="shared" si="33"/>
        <v>1</v>
      </c>
      <c r="N973" s="20" t="str">
        <f t="shared" si="34"/>
        <v>Saturday</v>
      </c>
      <c r="O973" s="20" t="str">
        <f t="shared" si="35"/>
        <v>February</v>
      </c>
    </row>
    <row r="974" spans="1:15" x14ac:dyDescent="0.3">
      <c r="A974" s="18">
        <v>973</v>
      </c>
      <c r="B974" s="19">
        <v>45007</v>
      </c>
      <c r="C974" s="20" t="s">
        <v>981</v>
      </c>
      <c r="D974" s="20" t="s">
        <v>5</v>
      </c>
      <c r="E974" s="18">
        <v>60</v>
      </c>
      <c r="F974" s="18" t="str">
        <f t="shared" si="30"/>
        <v>Adult</v>
      </c>
      <c r="G974" s="20" t="s">
        <v>9</v>
      </c>
      <c r="H974" s="18">
        <v>1</v>
      </c>
      <c r="I974" s="18">
        <v>50</v>
      </c>
      <c r="J974" s="18">
        <v>50</v>
      </c>
      <c r="K974" s="21" t="str">
        <f t="shared" si="31"/>
        <v>Low</v>
      </c>
      <c r="L974" s="18">
        <f t="shared" si="32"/>
        <v>2023</v>
      </c>
      <c r="M974" s="18">
        <f t="shared" si="33"/>
        <v>1</v>
      </c>
      <c r="N974" s="20" t="str">
        <f t="shared" si="34"/>
        <v>Wednesday</v>
      </c>
      <c r="O974" s="20" t="str">
        <f t="shared" si="35"/>
        <v>March</v>
      </c>
    </row>
    <row r="975" spans="1:15" x14ac:dyDescent="0.3">
      <c r="A975" s="18">
        <v>974</v>
      </c>
      <c r="B975" s="19">
        <v>45049</v>
      </c>
      <c r="C975" s="20" t="s">
        <v>982</v>
      </c>
      <c r="D975" s="20" t="s">
        <v>5</v>
      </c>
      <c r="E975" s="18">
        <v>47</v>
      </c>
      <c r="F975" s="18" t="str">
        <f t="shared" si="30"/>
        <v>Adult</v>
      </c>
      <c r="G975" s="20" t="s">
        <v>6</v>
      </c>
      <c r="H975" s="18">
        <v>1</v>
      </c>
      <c r="I975" s="18">
        <v>30</v>
      </c>
      <c r="J975" s="18">
        <v>30</v>
      </c>
      <c r="K975" s="21" t="str">
        <f t="shared" si="31"/>
        <v>Low</v>
      </c>
      <c r="L975" s="18">
        <f t="shared" si="32"/>
        <v>2023</v>
      </c>
      <c r="M975" s="18">
        <f t="shared" si="33"/>
        <v>2</v>
      </c>
      <c r="N975" s="20" t="str">
        <f t="shared" si="34"/>
        <v>Wednesday</v>
      </c>
      <c r="O975" s="20" t="str">
        <f t="shared" si="35"/>
        <v>May</v>
      </c>
    </row>
    <row r="976" spans="1:15" x14ac:dyDescent="0.3">
      <c r="A976" s="18">
        <v>975</v>
      </c>
      <c r="B976" s="19">
        <v>45015</v>
      </c>
      <c r="C976" s="20" t="s">
        <v>983</v>
      </c>
      <c r="D976" s="20" t="s">
        <v>8</v>
      </c>
      <c r="E976" s="18">
        <v>56</v>
      </c>
      <c r="F976" s="18" t="str">
        <f t="shared" si="30"/>
        <v>Adult</v>
      </c>
      <c r="G976" s="20" t="s">
        <v>9</v>
      </c>
      <c r="H976" s="18">
        <v>4</v>
      </c>
      <c r="I976" s="18">
        <v>50</v>
      </c>
      <c r="J976" s="18">
        <v>200</v>
      </c>
      <c r="K976" s="21" t="str">
        <f t="shared" si="31"/>
        <v>Low</v>
      </c>
      <c r="L976" s="18">
        <f t="shared" si="32"/>
        <v>2023</v>
      </c>
      <c r="M976" s="18">
        <f t="shared" si="33"/>
        <v>1</v>
      </c>
      <c r="N976" s="20" t="str">
        <f t="shared" si="34"/>
        <v>Thursday</v>
      </c>
      <c r="O976" s="20" t="str">
        <f t="shared" si="35"/>
        <v>March</v>
      </c>
    </row>
    <row r="977" spans="1:15" x14ac:dyDescent="0.3">
      <c r="A977" s="18">
        <v>976</v>
      </c>
      <c r="B977" s="19">
        <v>45209</v>
      </c>
      <c r="C977" s="20" t="s">
        <v>984</v>
      </c>
      <c r="D977" s="20" t="s">
        <v>8</v>
      </c>
      <c r="E977" s="18">
        <v>48</v>
      </c>
      <c r="F977" s="18" t="str">
        <f t="shared" si="30"/>
        <v>Adult</v>
      </c>
      <c r="G977" s="20" t="s">
        <v>6</v>
      </c>
      <c r="H977" s="18">
        <v>2</v>
      </c>
      <c r="I977" s="18">
        <v>300</v>
      </c>
      <c r="J977" s="18">
        <v>600</v>
      </c>
      <c r="K977" s="21" t="str">
        <f t="shared" si="31"/>
        <v>Medium</v>
      </c>
      <c r="L977" s="18">
        <f t="shared" si="32"/>
        <v>2023</v>
      </c>
      <c r="M977" s="18">
        <f t="shared" si="33"/>
        <v>4</v>
      </c>
      <c r="N977" s="20" t="str">
        <f t="shared" si="34"/>
        <v>Tuesday</v>
      </c>
      <c r="O977" s="20" t="str">
        <f t="shared" si="35"/>
        <v>October</v>
      </c>
    </row>
    <row r="978" spans="1:15" x14ac:dyDescent="0.3">
      <c r="A978" s="18">
        <v>977</v>
      </c>
      <c r="B978" s="19">
        <v>44965</v>
      </c>
      <c r="C978" s="20" t="s">
        <v>985</v>
      </c>
      <c r="D978" s="20" t="s">
        <v>8</v>
      </c>
      <c r="E978" s="18">
        <v>35</v>
      </c>
      <c r="F978" s="18" t="str">
        <f t="shared" si="30"/>
        <v>Adult</v>
      </c>
      <c r="G978" s="20" t="s">
        <v>11</v>
      </c>
      <c r="H978" s="18">
        <v>3</v>
      </c>
      <c r="I978" s="18">
        <v>25</v>
      </c>
      <c r="J978" s="18">
        <v>75</v>
      </c>
      <c r="K978" s="21" t="str">
        <f t="shared" si="31"/>
        <v>Low</v>
      </c>
      <c r="L978" s="18">
        <f t="shared" si="32"/>
        <v>2023</v>
      </c>
      <c r="M978" s="18">
        <f t="shared" si="33"/>
        <v>1</v>
      </c>
      <c r="N978" s="20" t="str">
        <f t="shared" si="34"/>
        <v>Wednesday</v>
      </c>
      <c r="O978" s="20" t="str">
        <f t="shared" si="35"/>
        <v>February</v>
      </c>
    </row>
    <row r="979" spans="1:15" x14ac:dyDescent="0.3">
      <c r="A979" s="18">
        <v>978</v>
      </c>
      <c r="B979" s="19">
        <v>45007</v>
      </c>
      <c r="C979" s="20" t="s">
        <v>986</v>
      </c>
      <c r="D979" s="20" t="s">
        <v>8</v>
      </c>
      <c r="E979" s="18">
        <v>53</v>
      </c>
      <c r="F979" s="18" t="str">
        <f t="shared" si="30"/>
        <v>Adult</v>
      </c>
      <c r="G979" s="20" t="s">
        <v>9</v>
      </c>
      <c r="H979" s="18">
        <v>3</v>
      </c>
      <c r="I979" s="18">
        <v>50</v>
      </c>
      <c r="J979" s="18">
        <v>150</v>
      </c>
      <c r="K979" s="21" t="str">
        <f t="shared" si="31"/>
        <v>Low</v>
      </c>
      <c r="L979" s="18">
        <f t="shared" si="32"/>
        <v>2023</v>
      </c>
      <c r="M979" s="18">
        <f t="shared" si="33"/>
        <v>1</v>
      </c>
      <c r="N979" s="20" t="str">
        <f t="shared" si="34"/>
        <v>Wednesday</v>
      </c>
      <c r="O979" s="20" t="str">
        <f t="shared" si="35"/>
        <v>March</v>
      </c>
    </row>
    <row r="980" spans="1:15" x14ac:dyDescent="0.3">
      <c r="A980" s="18">
        <v>979</v>
      </c>
      <c r="B980" s="19">
        <v>44928</v>
      </c>
      <c r="C980" s="20" t="s">
        <v>987</v>
      </c>
      <c r="D980" s="20" t="s">
        <v>8</v>
      </c>
      <c r="E980" s="18">
        <v>19</v>
      </c>
      <c r="F980" s="18" t="str">
        <f t="shared" si="30"/>
        <v>Young</v>
      </c>
      <c r="G980" s="20" t="s">
        <v>6</v>
      </c>
      <c r="H980" s="18">
        <v>1</v>
      </c>
      <c r="I980" s="18">
        <v>25</v>
      </c>
      <c r="J980" s="18">
        <v>25</v>
      </c>
      <c r="K980" s="21" t="str">
        <f t="shared" si="31"/>
        <v>Low</v>
      </c>
      <c r="L980" s="18">
        <f t="shared" si="32"/>
        <v>2023</v>
      </c>
      <c r="M980" s="18">
        <f t="shared" si="33"/>
        <v>1</v>
      </c>
      <c r="N980" s="20" t="str">
        <f t="shared" si="34"/>
        <v>Monday</v>
      </c>
      <c r="O980" s="20" t="str">
        <f t="shared" si="35"/>
        <v>January</v>
      </c>
    </row>
    <row r="981" spans="1:15" x14ac:dyDescent="0.3">
      <c r="A981" s="18">
        <v>980</v>
      </c>
      <c r="B981" s="19">
        <v>45136</v>
      </c>
      <c r="C981" s="20" t="s">
        <v>988</v>
      </c>
      <c r="D981" s="20" t="s">
        <v>8</v>
      </c>
      <c r="E981" s="18">
        <v>31</v>
      </c>
      <c r="F981" s="18" t="str">
        <f t="shared" si="30"/>
        <v>Adult</v>
      </c>
      <c r="G981" s="20" t="s">
        <v>11</v>
      </c>
      <c r="H981" s="18">
        <v>3</v>
      </c>
      <c r="I981" s="18">
        <v>25</v>
      </c>
      <c r="J981" s="18">
        <v>75</v>
      </c>
      <c r="K981" s="21" t="str">
        <f t="shared" si="31"/>
        <v>Low</v>
      </c>
      <c r="L981" s="18">
        <f t="shared" si="32"/>
        <v>2023</v>
      </c>
      <c r="M981" s="18">
        <f t="shared" si="33"/>
        <v>3</v>
      </c>
      <c r="N981" s="20" t="str">
        <f t="shared" si="34"/>
        <v>Saturday</v>
      </c>
      <c r="O981" s="20" t="str">
        <f t="shared" si="35"/>
        <v>July</v>
      </c>
    </row>
    <row r="982" spans="1:15" x14ac:dyDescent="0.3">
      <c r="A982" s="18">
        <v>981</v>
      </c>
      <c r="B982" s="19">
        <v>45157</v>
      </c>
      <c r="C982" s="20" t="s">
        <v>989</v>
      </c>
      <c r="D982" s="20" t="s">
        <v>8</v>
      </c>
      <c r="E982" s="18">
        <v>30</v>
      </c>
      <c r="F982" s="18" t="str">
        <f t="shared" si="30"/>
        <v>Young</v>
      </c>
      <c r="G982" s="20" t="s">
        <v>11</v>
      </c>
      <c r="H982" s="18">
        <v>2</v>
      </c>
      <c r="I982" s="18">
        <v>30</v>
      </c>
      <c r="J982" s="18">
        <v>60</v>
      </c>
      <c r="K982" s="21" t="str">
        <f t="shared" si="31"/>
        <v>Low</v>
      </c>
      <c r="L982" s="18">
        <f t="shared" si="32"/>
        <v>2023</v>
      </c>
      <c r="M982" s="18">
        <f t="shared" si="33"/>
        <v>3</v>
      </c>
      <c r="N982" s="20" t="str">
        <f t="shared" si="34"/>
        <v>Saturday</v>
      </c>
      <c r="O982" s="20" t="str">
        <f t="shared" si="35"/>
        <v>August</v>
      </c>
    </row>
    <row r="983" spans="1:15" x14ac:dyDescent="0.3">
      <c r="A983" s="18">
        <v>982</v>
      </c>
      <c r="B983" s="19">
        <v>45279</v>
      </c>
      <c r="C983" s="20" t="s">
        <v>990</v>
      </c>
      <c r="D983" s="20" t="s">
        <v>8</v>
      </c>
      <c r="E983" s="18">
        <v>46</v>
      </c>
      <c r="F983" s="18" t="str">
        <f t="shared" si="30"/>
        <v>Adult</v>
      </c>
      <c r="G983" s="20" t="s">
        <v>6</v>
      </c>
      <c r="H983" s="18">
        <v>3</v>
      </c>
      <c r="I983" s="18">
        <v>30</v>
      </c>
      <c r="J983" s="18">
        <v>90</v>
      </c>
      <c r="K983" s="21" t="str">
        <f t="shared" si="31"/>
        <v>Low</v>
      </c>
      <c r="L983" s="18">
        <f t="shared" si="32"/>
        <v>2023</v>
      </c>
      <c r="M983" s="18">
        <f t="shared" si="33"/>
        <v>4</v>
      </c>
      <c r="N983" s="20" t="str">
        <f t="shared" si="34"/>
        <v>Tuesday</v>
      </c>
      <c r="O983" s="20" t="str">
        <f t="shared" si="35"/>
        <v>December</v>
      </c>
    </row>
    <row r="984" spans="1:15" x14ac:dyDescent="0.3">
      <c r="A984" s="18">
        <v>983</v>
      </c>
      <c r="B984" s="19">
        <v>45231</v>
      </c>
      <c r="C984" s="20" t="s">
        <v>991</v>
      </c>
      <c r="D984" s="20" t="s">
        <v>8</v>
      </c>
      <c r="E984" s="18">
        <v>29</v>
      </c>
      <c r="F984" s="18" t="str">
        <f t="shared" si="30"/>
        <v>Young</v>
      </c>
      <c r="G984" s="20" t="s">
        <v>9</v>
      </c>
      <c r="H984" s="18">
        <v>1</v>
      </c>
      <c r="I984" s="18">
        <v>300</v>
      </c>
      <c r="J984" s="18">
        <v>300</v>
      </c>
      <c r="K984" s="21" t="str">
        <f t="shared" si="31"/>
        <v>Low</v>
      </c>
      <c r="L984" s="18">
        <f t="shared" si="32"/>
        <v>2023</v>
      </c>
      <c r="M984" s="18">
        <f t="shared" si="33"/>
        <v>4</v>
      </c>
      <c r="N984" s="20" t="str">
        <f t="shared" si="34"/>
        <v>Wednesday</v>
      </c>
      <c r="O984" s="20" t="str">
        <f t="shared" si="35"/>
        <v>November</v>
      </c>
    </row>
    <row r="985" spans="1:15" x14ac:dyDescent="0.3">
      <c r="A985" s="18">
        <v>984</v>
      </c>
      <c r="B985" s="19">
        <v>45167</v>
      </c>
      <c r="C985" s="20" t="s">
        <v>992</v>
      </c>
      <c r="D985" s="20" t="s">
        <v>5</v>
      </c>
      <c r="E985" s="18">
        <v>56</v>
      </c>
      <c r="F985" s="18" t="str">
        <f t="shared" si="30"/>
        <v>Adult</v>
      </c>
      <c r="G985" s="20" t="s">
        <v>9</v>
      </c>
      <c r="H985" s="18">
        <v>1</v>
      </c>
      <c r="I985" s="18">
        <v>500</v>
      </c>
      <c r="J985" s="18">
        <v>500</v>
      </c>
      <c r="K985" s="21" t="str">
        <f t="shared" si="31"/>
        <v>Low</v>
      </c>
      <c r="L985" s="18">
        <f t="shared" si="32"/>
        <v>2023</v>
      </c>
      <c r="M985" s="18">
        <f t="shared" si="33"/>
        <v>3</v>
      </c>
      <c r="N985" s="20" t="str">
        <f t="shared" si="34"/>
        <v>Tuesday</v>
      </c>
      <c r="O985" s="20" t="str">
        <f t="shared" si="35"/>
        <v>August</v>
      </c>
    </row>
    <row r="986" spans="1:15" x14ac:dyDescent="0.3">
      <c r="A986" s="18">
        <v>985</v>
      </c>
      <c r="B986" s="19">
        <v>45076</v>
      </c>
      <c r="C986" s="20" t="s">
        <v>993</v>
      </c>
      <c r="D986" s="20" t="s">
        <v>8</v>
      </c>
      <c r="E986" s="18">
        <v>19</v>
      </c>
      <c r="F986" s="18" t="str">
        <f t="shared" si="30"/>
        <v>Young</v>
      </c>
      <c r="G986" s="20" t="s">
        <v>11</v>
      </c>
      <c r="H986" s="18">
        <v>2</v>
      </c>
      <c r="I986" s="18">
        <v>25</v>
      </c>
      <c r="J986" s="18">
        <v>50</v>
      </c>
      <c r="K986" s="21" t="str">
        <f t="shared" si="31"/>
        <v>Low</v>
      </c>
      <c r="L986" s="18">
        <f t="shared" si="32"/>
        <v>2023</v>
      </c>
      <c r="M986" s="18">
        <f t="shared" si="33"/>
        <v>2</v>
      </c>
      <c r="N986" s="20" t="str">
        <f t="shared" si="34"/>
        <v>Tuesday</v>
      </c>
      <c r="O986" s="20" t="str">
        <f t="shared" si="35"/>
        <v>May</v>
      </c>
    </row>
    <row r="987" spans="1:15" x14ac:dyDescent="0.3">
      <c r="A987" s="18">
        <v>986</v>
      </c>
      <c r="B987" s="19">
        <v>44943</v>
      </c>
      <c r="C987" s="20" t="s">
        <v>994</v>
      </c>
      <c r="D987" s="20" t="s">
        <v>8</v>
      </c>
      <c r="E987" s="18">
        <v>49</v>
      </c>
      <c r="F987" s="18" t="str">
        <f t="shared" si="30"/>
        <v>Adult</v>
      </c>
      <c r="G987" s="20" t="s">
        <v>9</v>
      </c>
      <c r="H987" s="18">
        <v>2</v>
      </c>
      <c r="I987" s="18">
        <v>500</v>
      </c>
      <c r="J987" s="18">
        <v>1000</v>
      </c>
      <c r="K987" s="21" t="str">
        <f t="shared" si="31"/>
        <v>Medium</v>
      </c>
      <c r="L987" s="18">
        <f t="shared" si="32"/>
        <v>2023</v>
      </c>
      <c r="M987" s="18">
        <f t="shared" si="33"/>
        <v>1</v>
      </c>
      <c r="N987" s="20" t="str">
        <f t="shared" si="34"/>
        <v>Tuesday</v>
      </c>
      <c r="O987" s="20" t="str">
        <f t="shared" si="35"/>
        <v>January</v>
      </c>
    </row>
    <row r="988" spans="1:15" x14ac:dyDescent="0.3">
      <c r="A988" s="18">
        <v>987</v>
      </c>
      <c r="B988" s="19">
        <v>45045</v>
      </c>
      <c r="C988" s="20" t="s">
        <v>995</v>
      </c>
      <c r="D988" s="20" t="s">
        <v>8</v>
      </c>
      <c r="E988" s="18">
        <v>30</v>
      </c>
      <c r="F988" s="18" t="str">
        <f t="shared" si="30"/>
        <v>Young</v>
      </c>
      <c r="G988" s="20" t="s">
        <v>9</v>
      </c>
      <c r="H988" s="18">
        <v>3</v>
      </c>
      <c r="I988" s="18">
        <v>300</v>
      </c>
      <c r="J988" s="18">
        <v>900</v>
      </c>
      <c r="K988" s="21" t="str">
        <f t="shared" si="31"/>
        <v>Medium</v>
      </c>
      <c r="L988" s="18">
        <f t="shared" si="32"/>
        <v>2023</v>
      </c>
      <c r="M988" s="18">
        <f t="shared" si="33"/>
        <v>2</v>
      </c>
      <c r="N988" s="20" t="str">
        <f t="shared" si="34"/>
        <v>Saturday</v>
      </c>
      <c r="O988" s="20" t="str">
        <f t="shared" si="35"/>
        <v>April</v>
      </c>
    </row>
    <row r="989" spans="1:15" x14ac:dyDescent="0.3">
      <c r="A989" s="18">
        <v>988</v>
      </c>
      <c r="B989" s="19">
        <v>45074</v>
      </c>
      <c r="C989" s="20" t="s">
        <v>996</v>
      </c>
      <c r="D989" s="20" t="s">
        <v>8</v>
      </c>
      <c r="E989" s="18">
        <v>63</v>
      </c>
      <c r="F989" s="18" t="str">
        <f t="shared" si="30"/>
        <v>Senior</v>
      </c>
      <c r="G989" s="20" t="s">
        <v>9</v>
      </c>
      <c r="H989" s="18">
        <v>3</v>
      </c>
      <c r="I989" s="18">
        <v>25</v>
      </c>
      <c r="J989" s="18">
        <v>75</v>
      </c>
      <c r="K989" s="21" t="str">
        <f t="shared" si="31"/>
        <v>Low</v>
      </c>
      <c r="L989" s="18">
        <f t="shared" si="32"/>
        <v>2023</v>
      </c>
      <c r="M989" s="18">
        <f t="shared" si="33"/>
        <v>2</v>
      </c>
      <c r="N989" s="20" t="str">
        <f t="shared" si="34"/>
        <v>Sunday</v>
      </c>
      <c r="O989" s="20" t="str">
        <f t="shared" si="35"/>
        <v>May</v>
      </c>
    </row>
    <row r="990" spans="1:15" x14ac:dyDescent="0.3">
      <c r="A990" s="18">
        <v>989</v>
      </c>
      <c r="B990" s="19">
        <v>45288</v>
      </c>
      <c r="C990" s="20" t="s">
        <v>997</v>
      </c>
      <c r="D990" s="20" t="s">
        <v>8</v>
      </c>
      <c r="E990" s="18">
        <v>44</v>
      </c>
      <c r="F990" s="18" t="str">
        <f t="shared" si="30"/>
        <v>Adult</v>
      </c>
      <c r="G990" s="20" t="s">
        <v>11</v>
      </c>
      <c r="H990" s="18">
        <v>1</v>
      </c>
      <c r="I990" s="18">
        <v>25</v>
      </c>
      <c r="J990" s="18">
        <v>25</v>
      </c>
      <c r="K990" s="21" t="str">
        <f t="shared" si="31"/>
        <v>Low</v>
      </c>
      <c r="L990" s="18">
        <f t="shared" si="32"/>
        <v>2023</v>
      </c>
      <c r="M990" s="18">
        <f t="shared" si="33"/>
        <v>4</v>
      </c>
      <c r="N990" s="20" t="str">
        <f t="shared" si="34"/>
        <v>Thursday</v>
      </c>
      <c r="O990" s="20" t="str">
        <f t="shared" si="35"/>
        <v>December</v>
      </c>
    </row>
    <row r="991" spans="1:15" x14ac:dyDescent="0.3">
      <c r="A991" s="18">
        <v>990</v>
      </c>
      <c r="B991" s="19">
        <v>45071</v>
      </c>
      <c r="C991" s="20" t="s">
        <v>998</v>
      </c>
      <c r="D991" s="20" t="s">
        <v>8</v>
      </c>
      <c r="E991" s="18">
        <v>58</v>
      </c>
      <c r="F991" s="18" t="str">
        <f t="shared" si="30"/>
        <v>Adult</v>
      </c>
      <c r="G991" s="20" t="s">
        <v>6</v>
      </c>
      <c r="H991" s="18">
        <v>2</v>
      </c>
      <c r="I991" s="18">
        <v>500</v>
      </c>
      <c r="J991" s="18">
        <v>1000</v>
      </c>
      <c r="K991" s="21" t="str">
        <f t="shared" si="31"/>
        <v>Medium</v>
      </c>
      <c r="L991" s="18">
        <f t="shared" si="32"/>
        <v>2023</v>
      </c>
      <c r="M991" s="18">
        <f t="shared" si="33"/>
        <v>2</v>
      </c>
      <c r="N991" s="20" t="str">
        <f t="shared" si="34"/>
        <v>Thursday</v>
      </c>
      <c r="O991" s="20" t="str">
        <f t="shared" si="35"/>
        <v>May</v>
      </c>
    </row>
    <row r="992" spans="1:15" x14ac:dyDescent="0.3">
      <c r="A992" s="18">
        <v>991</v>
      </c>
      <c r="B992" s="19">
        <v>45286</v>
      </c>
      <c r="C992" s="20" t="s">
        <v>999</v>
      </c>
      <c r="D992" s="20" t="s">
        <v>8</v>
      </c>
      <c r="E992" s="18">
        <v>34</v>
      </c>
      <c r="F992" s="18" t="str">
        <f t="shared" si="30"/>
        <v>Adult</v>
      </c>
      <c r="G992" s="20" t="s">
        <v>9</v>
      </c>
      <c r="H992" s="18">
        <v>2</v>
      </c>
      <c r="I992" s="18">
        <v>50</v>
      </c>
      <c r="J992" s="18">
        <v>100</v>
      </c>
      <c r="K992" s="21" t="str">
        <f t="shared" si="31"/>
        <v>Low</v>
      </c>
      <c r="L992" s="18">
        <f t="shared" si="32"/>
        <v>2023</v>
      </c>
      <c r="M992" s="18">
        <f t="shared" si="33"/>
        <v>4</v>
      </c>
      <c r="N992" s="20" t="str">
        <f t="shared" si="34"/>
        <v>Tuesday</v>
      </c>
      <c r="O992" s="20" t="str">
        <f t="shared" si="35"/>
        <v>December</v>
      </c>
    </row>
    <row r="993" spans="1:15" x14ac:dyDescent="0.3">
      <c r="A993" s="18">
        <v>992</v>
      </c>
      <c r="B993" s="19">
        <v>45159</v>
      </c>
      <c r="C993" s="20" t="s">
        <v>1000</v>
      </c>
      <c r="D993" s="20" t="s">
        <v>8</v>
      </c>
      <c r="E993" s="18">
        <v>57</v>
      </c>
      <c r="F993" s="18" t="str">
        <f t="shared" si="30"/>
        <v>Adult</v>
      </c>
      <c r="G993" s="20" t="s">
        <v>11</v>
      </c>
      <c r="H993" s="18">
        <v>2</v>
      </c>
      <c r="I993" s="18">
        <v>30</v>
      </c>
      <c r="J993" s="18">
        <v>60</v>
      </c>
      <c r="K993" s="21" t="str">
        <f t="shared" si="31"/>
        <v>Low</v>
      </c>
      <c r="L993" s="18">
        <f t="shared" si="32"/>
        <v>2023</v>
      </c>
      <c r="M993" s="18">
        <f t="shared" si="33"/>
        <v>3</v>
      </c>
      <c r="N993" s="20" t="str">
        <f t="shared" si="34"/>
        <v>Monday</v>
      </c>
      <c r="O993" s="20" t="str">
        <f t="shared" si="35"/>
        <v>August</v>
      </c>
    </row>
    <row r="994" spans="1:15" x14ac:dyDescent="0.3">
      <c r="A994" s="18">
        <v>993</v>
      </c>
      <c r="B994" s="19">
        <v>44963</v>
      </c>
      <c r="C994" s="20" t="s">
        <v>1001</v>
      </c>
      <c r="D994" s="20" t="s">
        <v>8</v>
      </c>
      <c r="E994" s="18">
        <v>48</v>
      </c>
      <c r="F994" s="18" t="str">
        <f t="shared" si="30"/>
        <v>Adult</v>
      </c>
      <c r="G994" s="20" t="s">
        <v>11</v>
      </c>
      <c r="H994" s="18">
        <v>3</v>
      </c>
      <c r="I994" s="18">
        <v>50</v>
      </c>
      <c r="J994" s="18">
        <v>150</v>
      </c>
      <c r="K994" s="21" t="str">
        <f t="shared" si="31"/>
        <v>Low</v>
      </c>
      <c r="L994" s="18">
        <f t="shared" si="32"/>
        <v>2023</v>
      </c>
      <c r="M994" s="18">
        <f t="shared" si="33"/>
        <v>1</v>
      </c>
      <c r="N994" s="20" t="str">
        <f t="shared" si="34"/>
        <v>Monday</v>
      </c>
      <c r="O994" s="20" t="str">
        <f t="shared" si="35"/>
        <v>February</v>
      </c>
    </row>
    <row r="995" spans="1:15" x14ac:dyDescent="0.3">
      <c r="A995" s="18">
        <v>994</v>
      </c>
      <c r="B995" s="19">
        <v>45278</v>
      </c>
      <c r="C995" s="20" t="s">
        <v>1002</v>
      </c>
      <c r="D995" s="20" t="s">
        <v>8</v>
      </c>
      <c r="E995" s="18">
        <v>51</v>
      </c>
      <c r="F995" s="18" t="str">
        <f t="shared" si="30"/>
        <v>Adult</v>
      </c>
      <c r="G995" s="20" t="s">
        <v>6</v>
      </c>
      <c r="H995" s="18">
        <v>2</v>
      </c>
      <c r="I995" s="18">
        <v>500</v>
      </c>
      <c r="J995" s="18">
        <v>1000</v>
      </c>
      <c r="K995" s="21" t="str">
        <f t="shared" si="31"/>
        <v>Medium</v>
      </c>
      <c r="L995" s="18">
        <f t="shared" si="32"/>
        <v>2023</v>
      </c>
      <c r="M995" s="18">
        <f t="shared" si="33"/>
        <v>4</v>
      </c>
      <c r="N995" s="20" t="str">
        <f t="shared" si="34"/>
        <v>Monday</v>
      </c>
      <c r="O995" s="20" t="str">
        <f t="shared" si="35"/>
        <v>December</v>
      </c>
    </row>
    <row r="996" spans="1:15" x14ac:dyDescent="0.3">
      <c r="A996" s="18">
        <v>995</v>
      </c>
      <c r="B996" s="19">
        <v>45046</v>
      </c>
      <c r="C996" s="20" t="s">
        <v>1003</v>
      </c>
      <c r="D996" s="20" t="s">
        <v>8</v>
      </c>
      <c r="E996" s="18">
        <v>41</v>
      </c>
      <c r="F996" s="18" t="str">
        <f t="shared" si="30"/>
        <v>Adult</v>
      </c>
      <c r="G996" s="20" t="s">
        <v>9</v>
      </c>
      <c r="H996" s="18">
        <v>1</v>
      </c>
      <c r="I996" s="18">
        <v>30</v>
      </c>
      <c r="J996" s="18">
        <v>30</v>
      </c>
      <c r="K996" s="21" t="str">
        <f t="shared" si="31"/>
        <v>Low</v>
      </c>
      <c r="L996" s="18">
        <f t="shared" si="32"/>
        <v>2023</v>
      </c>
      <c r="M996" s="18">
        <f t="shared" si="33"/>
        <v>2</v>
      </c>
      <c r="N996" s="20" t="str">
        <f t="shared" si="34"/>
        <v>Sunday</v>
      </c>
      <c r="O996" s="20" t="str">
        <f t="shared" si="35"/>
        <v>April</v>
      </c>
    </row>
    <row r="997" spans="1:15" x14ac:dyDescent="0.3">
      <c r="A997" s="18">
        <v>996</v>
      </c>
      <c r="B997" s="19">
        <v>45062</v>
      </c>
      <c r="C997" s="20" t="s">
        <v>1004</v>
      </c>
      <c r="D997" s="20" t="s">
        <v>5</v>
      </c>
      <c r="E997" s="18">
        <v>62</v>
      </c>
      <c r="F997" s="18" t="str">
        <f t="shared" si="30"/>
        <v>Senior</v>
      </c>
      <c r="G997" s="20" t="s">
        <v>9</v>
      </c>
      <c r="H997" s="18">
        <v>1</v>
      </c>
      <c r="I997" s="18">
        <v>50</v>
      </c>
      <c r="J997" s="18">
        <v>50</v>
      </c>
      <c r="K997" s="21" t="str">
        <f t="shared" si="31"/>
        <v>Low</v>
      </c>
      <c r="L997" s="18">
        <f t="shared" si="32"/>
        <v>2023</v>
      </c>
      <c r="M997" s="18">
        <f t="shared" si="33"/>
        <v>2</v>
      </c>
      <c r="N997" s="20" t="str">
        <f t="shared" si="34"/>
        <v>Tuesday</v>
      </c>
      <c r="O997" s="20" t="str">
        <f t="shared" si="35"/>
        <v>May</v>
      </c>
    </row>
    <row r="998" spans="1:15" x14ac:dyDescent="0.3">
      <c r="A998" s="18">
        <v>997</v>
      </c>
      <c r="B998" s="19">
        <v>45247</v>
      </c>
      <c r="C998" s="20" t="s">
        <v>1005</v>
      </c>
      <c r="D998" s="20" t="s">
        <v>5</v>
      </c>
      <c r="E998" s="18">
        <v>52</v>
      </c>
      <c r="F998" s="18" t="str">
        <f t="shared" si="30"/>
        <v>Adult</v>
      </c>
      <c r="G998" s="20" t="s">
        <v>6</v>
      </c>
      <c r="H998" s="18">
        <v>3</v>
      </c>
      <c r="I998" s="18">
        <v>30</v>
      </c>
      <c r="J998" s="18">
        <v>90</v>
      </c>
      <c r="K998" s="21" t="str">
        <f t="shared" si="31"/>
        <v>Low</v>
      </c>
      <c r="L998" s="18">
        <f t="shared" si="32"/>
        <v>2023</v>
      </c>
      <c r="M998" s="18">
        <f t="shared" si="33"/>
        <v>4</v>
      </c>
      <c r="N998" s="20" t="str">
        <f t="shared" si="34"/>
        <v>Friday</v>
      </c>
      <c r="O998" s="20" t="str">
        <f t="shared" si="35"/>
        <v>November</v>
      </c>
    </row>
    <row r="999" spans="1:15" x14ac:dyDescent="0.3">
      <c r="A999" s="18">
        <v>998</v>
      </c>
      <c r="B999" s="19">
        <v>45228</v>
      </c>
      <c r="C999" s="20" t="s">
        <v>1006</v>
      </c>
      <c r="D999" s="20" t="s">
        <v>8</v>
      </c>
      <c r="E999" s="18">
        <v>23</v>
      </c>
      <c r="F999" s="18" t="str">
        <f t="shared" si="30"/>
        <v>Young</v>
      </c>
      <c r="G999" s="20" t="s">
        <v>6</v>
      </c>
      <c r="H999" s="18">
        <v>4</v>
      </c>
      <c r="I999" s="18">
        <v>25</v>
      </c>
      <c r="J999" s="18">
        <v>100</v>
      </c>
      <c r="K999" s="21" t="str">
        <f t="shared" si="31"/>
        <v>Low</v>
      </c>
      <c r="L999" s="18">
        <f t="shared" si="32"/>
        <v>2023</v>
      </c>
      <c r="M999" s="18">
        <f t="shared" si="33"/>
        <v>4</v>
      </c>
      <c r="N999" s="20" t="str">
        <f t="shared" si="34"/>
        <v>Sunday</v>
      </c>
      <c r="O999" s="20" t="str">
        <f t="shared" si="35"/>
        <v>October</v>
      </c>
    </row>
    <row r="1000" spans="1:15" x14ac:dyDescent="0.3">
      <c r="A1000" s="18">
        <v>999</v>
      </c>
      <c r="B1000" s="19">
        <v>45265</v>
      </c>
      <c r="C1000" s="20" t="s">
        <v>1007</v>
      </c>
      <c r="D1000" s="20" t="s">
        <v>8</v>
      </c>
      <c r="E1000" s="18">
        <v>36</v>
      </c>
      <c r="F1000" s="18" t="str">
        <f t="shared" si="30"/>
        <v>Adult</v>
      </c>
      <c r="G1000" s="20" t="s">
        <v>11</v>
      </c>
      <c r="H1000" s="18">
        <v>3</v>
      </c>
      <c r="I1000" s="18">
        <v>50</v>
      </c>
      <c r="J1000" s="18">
        <v>150</v>
      </c>
      <c r="K1000" s="21" t="str">
        <f t="shared" si="31"/>
        <v>Low</v>
      </c>
      <c r="L1000" s="18">
        <f t="shared" si="32"/>
        <v>2023</v>
      </c>
      <c r="M1000" s="18">
        <f t="shared" si="33"/>
        <v>4</v>
      </c>
      <c r="N1000" s="20" t="str">
        <f t="shared" si="34"/>
        <v>Tuesday</v>
      </c>
      <c r="O1000" s="20" t="str">
        <f t="shared" si="35"/>
        <v>December</v>
      </c>
    </row>
    <row r="1001" spans="1:15" x14ac:dyDescent="0.3">
      <c r="A1001" s="18">
        <v>1000</v>
      </c>
      <c r="B1001" s="19">
        <v>45028</v>
      </c>
      <c r="C1001" s="20" t="s">
        <v>1008</v>
      </c>
      <c r="D1001" s="20" t="s">
        <v>5</v>
      </c>
      <c r="E1001" s="18">
        <v>47</v>
      </c>
      <c r="F1001" s="18" t="str">
        <f t="shared" si="30"/>
        <v>Adult</v>
      </c>
      <c r="G1001" s="20" t="s">
        <v>11</v>
      </c>
      <c r="H1001" s="18">
        <v>4</v>
      </c>
      <c r="I1001" s="18">
        <v>30</v>
      </c>
      <c r="J1001" s="18">
        <v>120</v>
      </c>
      <c r="K1001" s="21" t="str">
        <f t="shared" si="31"/>
        <v>Low</v>
      </c>
      <c r="L1001" s="18">
        <f t="shared" si="32"/>
        <v>2023</v>
      </c>
      <c r="M1001" s="18">
        <f t="shared" si="33"/>
        <v>2</v>
      </c>
      <c r="N1001" s="20" t="str">
        <f t="shared" si="34"/>
        <v>Wednesday</v>
      </c>
      <c r="O1001" s="20" t="str">
        <f t="shared" si="35"/>
        <v>April</v>
      </c>
    </row>
    <row r="1002" spans="1:15" x14ac:dyDescent="0.3">
      <c r="J1002" s="28">
        <f>SUBTOTAL(9,J1:J1001)</f>
        <v>456000</v>
      </c>
    </row>
  </sheetData>
  <autoFilter ref="A1:O1"/>
  <conditionalFormatting sqref="J2:J1001">
    <cfRule type="cellIs" dxfId="3" priority="1" operator="lessThan">
      <formula>100</formula>
    </cfRule>
    <cfRule type="cellIs" dxfId="2" priority="2" operator="greaterThan">
      <formula>1500</formula>
    </cfRule>
  </conditionalFormatting>
  <dataValidations count="2">
    <dataValidation type="list" allowBlank="1" showInputMessage="1" showErrorMessage="1" sqref="Q8">
      <formula1>$D$2:$D$3</formula1>
    </dataValidation>
    <dataValidation type="list" allowBlank="1" showInputMessage="1" showErrorMessage="1" sqref="R12">
      <formula1>$C$1:$C$1001</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1002"/>
  <sheetViews>
    <sheetView workbookViewId="0">
      <selection activeCell="J15" sqref="J15"/>
    </sheetView>
  </sheetViews>
  <sheetFormatPr defaultRowHeight="14.4" x14ac:dyDescent="0.3"/>
  <cols>
    <col min="2" max="2" width="13.6640625" bestFit="1" customWidth="1"/>
    <col min="3" max="3" width="16.33203125" bestFit="1" customWidth="1"/>
    <col min="4" max="4" width="11.88671875" bestFit="1" customWidth="1"/>
    <col min="5" max="5" width="13.21875" bestFit="1" customWidth="1"/>
    <col min="9" max="9" width="16.33203125" bestFit="1" customWidth="1"/>
    <col min="10" max="10" width="13.6640625" bestFit="1" customWidth="1"/>
  </cols>
  <sheetData>
    <row r="2" spans="2:10" x14ac:dyDescent="0.3">
      <c r="B2" s="3" t="s">
        <v>1009</v>
      </c>
      <c r="C2" s="4" t="s">
        <v>1011</v>
      </c>
      <c r="D2" s="4" t="s">
        <v>1010</v>
      </c>
      <c r="E2" s="4" t="s">
        <v>1013</v>
      </c>
      <c r="F2" s="3" t="s">
        <v>2</v>
      </c>
    </row>
    <row r="3" spans="2:10" x14ac:dyDescent="0.3">
      <c r="B3" s="2">
        <v>1</v>
      </c>
      <c r="C3" s="5" t="s">
        <v>6</v>
      </c>
      <c r="D3" s="5" t="s">
        <v>4</v>
      </c>
      <c r="E3">
        <v>150</v>
      </c>
      <c r="F3" s="2">
        <v>34</v>
      </c>
      <c r="J3" s="14" t="s">
        <v>1009</v>
      </c>
    </row>
    <row r="4" spans="2:10" x14ac:dyDescent="0.3">
      <c r="B4" s="2">
        <v>2</v>
      </c>
      <c r="C4" s="5" t="s">
        <v>9</v>
      </c>
      <c r="D4" s="5" t="s">
        <v>7</v>
      </c>
      <c r="E4">
        <v>1000</v>
      </c>
      <c r="F4" s="2">
        <v>26</v>
      </c>
      <c r="J4" s="30">
        <v>2</v>
      </c>
    </row>
    <row r="5" spans="2:10" x14ac:dyDescent="0.3">
      <c r="B5" s="2">
        <v>3</v>
      </c>
      <c r="C5" s="5" t="s">
        <v>11</v>
      </c>
      <c r="D5" s="5" t="s">
        <v>10</v>
      </c>
      <c r="E5">
        <v>30</v>
      </c>
      <c r="F5" s="2">
        <v>50</v>
      </c>
      <c r="I5" s="4" t="s">
        <v>1011</v>
      </c>
      <c r="J5" s="30" t="str">
        <f>VLOOKUP(J4,B2:C1002,2,FALSE)</f>
        <v>Clothing</v>
      </c>
    </row>
    <row r="6" spans="2:10" x14ac:dyDescent="0.3">
      <c r="B6" s="2">
        <v>4</v>
      </c>
      <c r="C6" s="5" t="s">
        <v>9</v>
      </c>
      <c r="D6" s="5" t="s">
        <v>12</v>
      </c>
      <c r="E6">
        <v>500</v>
      </c>
      <c r="F6" s="2">
        <v>37</v>
      </c>
    </row>
    <row r="7" spans="2:10" x14ac:dyDescent="0.3">
      <c r="B7" s="2">
        <v>5</v>
      </c>
      <c r="C7" s="5" t="s">
        <v>6</v>
      </c>
      <c r="D7" s="5" t="s">
        <v>13</v>
      </c>
      <c r="E7">
        <v>100</v>
      </c>
      <c r="F7" s="2">
        <v>30</v>
      </c>
    </row>
    <row r="8" spans="2:10" x14ac:dyDescent="0.3">
      <c r="B8" s="2">
        <v>6</v>
      </c>
      <c r="C8" s="5" t="s">
        <v>6</v>
      </c>
      <c r="D8" s="5" t="s">
        <v>14</v>
      </c>
      <c r="E8">
        <v>30</v>
      </c>
      <c r="F8" s="2">
        <v>45</v>
      </c>
      <c r="J8" s="16" t="s">
        <v>1010</v>
      </c>
    </row>
    <row r="9" spans="2:10" x14ac:dyDescent="0.3">
      <c r="B9" s="2">
        <v>7</v>
      </c>
      <c r="C9" s="5" t="s">
        <v>9</v>
      </c>
      <c r="D9" s="5" t="s">
        <v>15</v>
      </c>
      <c r="E9">
        <v>50</v>
      </c>
      <c r="F9" s="2">
        <v>46</v>
      </c>
      <c r="J9" s="30" t="s">
        <v>20</v>
      </c>
    </row>
    <row r="10" spans="2:10" x14ac:dyDescent="0.3">
      <c r="B10" s="2">
        <v>8</v>
      </c>
      <c r="C10" s="5" t="s">
        <v>11</v>
      </c>
      <c r="D10" s="5" t="s">
        <v>16</v>
      </c>
      <c r="E10">
        <v>100</v>
      </c>
      <c r="F10" s="2">
        <v>30</v>
      </c>
      <c r="I10" s="16" t="s">
        <v>1013</v>
      </c>
      <c r="J10" s="30">
        <f>VLOOKUP(J9,D2:E1002,2,FALSE)</f>
        <v>75</v>
      </c>
    </row>
    <row r="11" spans="2:10" x14ac:dyDescent="0.3">
      <c r="B11" s="2">
        <v>9</v>
      </c>
      <c r="C11" s="5" t="s">
        <v>11</v>
      </c>
      <c r="D11" s="5" t="s">
        <v>17</v>
      </c>
      <c r="E11">
        <v>600</v>
      </c>
      <c r="F11" s="2">
        <v>63</v>
      </c>
    </row>
    <row r="12" spans="2:10" x14ac:dyDescent="0.3">
      <c r="B12" s="2">
        <v>10</v>
      </c>
      <c r="C12" s="5" t="s">
        <v>9</v>
      </c>
      <c r="D12" s="5" t="s">
        <v>18</v>
      </c>
      <c r="E12">
        <v>200</v>
      </c>
      <c r="F12" s="2">
        <v>52</v>
      </c>
    </row>
    <row r="13" spans="2:10" x14ac:dyDescent="0.3">
      <c r="B13" s="2">
        <v>11</v>
      </c>
      <c r="C13" s="5" t="s">
        <v>9</v>
      </c>
      <c r="D13" s="5" t="s">
        <v>19</v>
      </c>
      <c r="E13">
        <v>100</v>
      </c>
      <c r="F13" s="2">
        <v>23</v>
      </c>
      <c r="J13" s="14" t="s">
        <v>1009</v>
      </c>
    </row>
    <row r="14" spans="2:10" x14ac:dyDescent="0.3">
      <c r="B14" s="2">
        <v>12</v>
      </c>
      <c r="C14" s="5" t="s">
        <v>6</v>
      </c>
      <c r="D14" s="5" t="s">
        <v>20</v>
      </c>
      <c r="E14">
        <v>75</v>
      </c>
      <c r="F14" s="2">
        <v>35</v>
      </c>
      <c r="J14" s="30">
        <v>8</v>
      </c>
    </row>
    <row r="15" spans="2:10" x14ac:dyDescent="0.3">
      <c r="B15" s="2">
        <v>13</v>
      </c>
      <c r="C15" s="5" t="s">
        <v>11</v>
      </c>
      <c r="D15" s="5" t="s">
        <v>21</v>
      </c>
      <c r="E15">
        <v>1500</v>
      </c>
      <c r="F15" s="2">
        <v>22</v>
      </c>
      <c r="I15" s="14" t="s">
        <v>2</v>
      </c>
      <c r="J15" s="30">
        <f>VLOOKUP(J14,B2:F1002,5,FALSE)</f>
        <v>30</v>
      </c>
    </row>
    <row r="16" spans="2:10" x14ac:dyDescent="0.3">
      <c r="B16" s="2">
        <v>14</v>
      </c>
      <c r="C16" s="5" t="s">
        <v>9</v>
      </c>
      <c r="D16" s="5" t="s">
        <v>22</v>
      </c>
      <c r="E16">
        <v>120</v>
      </c>
      <c r="F16" s="2">
        <v>64</v>
      </c>
    </row>
    <row r="17" spans="2:6" x14ac:dyDescent="0.3">
      <c r="B17" s="2">
        <v>15</v>
      </c>
      <c r="C17" s="5" t="s">
        <v>11</v>
      </c>
      <c r="D17" s="5" t="s">
        <v>23</v>
      </c>
      <c r="E17">
        <v>2000</v>
      </c>
      <c r="F17" s="2">
        <v>42</v>
      </c>
    </row>
    <row r="18" spans="2:6" x14ac:dyDescent="0.3">
      <c r="B18" s="2">
        <v>16</v>
      </c>
      <c r="C18" s="5" t="s">
        <v>9</v>
      </c>
      <c r="D18" s="5" t="s">
        <v>24</v>
      </c>
      <c r="E18">
        <v>1500</v>
      </c>
      <c r="F18" s="2">
        <v>19</v>
      </c>
    </row>
    <row r="19" spans="2:6" x14ac:dyDescent="0.3">
      <c r="B19" s="2">
        <v>17</v>
      </c>
      <c r="C19" s="5" t="s">
        <v>9</v>
      </c>
      <c r="D19" s="5" t="s">
        <v>25</v>
      </c>
      <c r="E19">
        <v>100</v>
      </c>
      <c r="F19" s="2">
        <v>27</v>
      </c>
    </row>
    <row r="20" spans="2:6" x14ac:dyDescent="0.3">
      <c r="B20" s="2">
        <v>18</v>
      </c>
      <c r="C20" s="5" t="s">
        <v>11</v>
      </c>
      <c r="D20" s="5" t="s">
        <v>26</v>
      </c>
      <c r="E20">
        <v>50</v>
      </c>
      <c r="F20" s="2">
        <v>47</v>
      </c>
    </row>
    <row r="21" spans="2:6" x14ac:dyDescent="0.3">
      <c r="B21" s="2">
        <v>19</v>
      </c>
      <c r="C21" s="5" t="s">
        <v>9</v>
      </c>
      <c r="D21" s="5" t="s">
        <v>27</v>
      </c>
      <c r="E21">
        <v>50</v>
      </c>
      <c r="F21" s="2">
        <v>62</v>
      </c>
    </row>
    <row r="22" spans="2:6" x14ac:dyDescent="0.3">
      <c r="B22" s="2">
        <v>20</v>
      </c>
      <c r="C22" s="5" t="s">
        <v>9</v>
      </c>
      <c r="D22" s="5" t="s">
        <v>28</v>
      </c>
      <c r="E22">
        <v>900</v>
      </c>
      <c r="F22" s="2">
        <v>22</v>
      </c>
    </row>
    <row r="23" spans="2:6" x14ac:dyDescent="0.3">
      <c r="B23" s="2">
        <v>21</v>
      </c>
      <c r="C23" s="5" t="s">
        <v>6</v>
      </c>
      <c r="D23" s="5" t="s">
        <v>29</v>
      </c>
      <c r="E23">
        <v>500</v>
      </c>
      <c r="F23" s="2">
        <v>50</v>
      </c>
    </row>
    <row r="24" spans="2:6" x14ac:dyDescent="0.3">
      <c r="B24" s="2">
        <v>22</v>
      </c>
      <c r="C24" s="5" t="s">
        <v>9</v>
      </c>
      <c r="D24" s="5" t="s">
        <v>30</v>
      </c>
      <c r="E24">
        <v>100</v>
      </c>
      <c r="F24" s="2">
        <v>18</v>
      </c>
    </row>
    <row r="25" spans="2:6" x14ac:dyDescent="0.3">
      <c r="B25" s="2">
        <v>23</v>
      </c>
      <c r="C25" s="5" t="s">
        <v>9</v>
      </c>
      <c r="D25" s="5" t="s">
        <v>31</v>
      </c>
      <c r="E25">
        <v>120</v>
      </c>
      <c r="F25" s="2">
        <v>35</v>
      </c>
    </row>
    <row r="26" spans="2:6" x14ac:dyDescent="0.3">
      <c r="B26" s="2">
        <v>24</v>
      </c>
      <c r="C26" s="5" t="s">
        <v>9</v>
      </c>
      <c r="D26" s="5" t="s">
        <v>32</v>
      </c>
      <c r="E26">
        <v>300</v>
      </c>
      <c r="F26" s="2">
        <v>49</v>
      </c>
    </row>
    <row r="27" spans="2:6" x14ac:dyDescent="0.3">
      <c r="B27" s="2">
        <v>25</v>
      </c>
      <c r="C27" s="5" t="s">
        <v>6</v>
      </c>
      <c r="D27" s="5" t="s">
        <v>33</v>
      </c>
      <c r="E27">
        <v>50</v>
      </c>
      <c r="F27" s="2">
        <v>64</v>
      </c>
    </row>
    <row r="28" spans="2:6" x14ac:dyDescent="0.3">
      <c r="B28" s="2">
        <v>26</v>
      </c>
      <c r="C28" s="5" t="s">
        <v>11</v>
      </c>
      <c r="D28" s="5" t="s">
        <v>34</v>
      </c>
      <c r="E28">
        <v>1000</v>
      </c>
      <c r="F28" s="2">
        <v>28</v>
      </c>
    </row>
    <row r="29" spans="2:6" x14ac:dyDescent="0.3">
      <c r="B29" s="2">
        <v>27</v>
      </c>
      <c r="C29" s="5" t="s">
        <v>6</v>
      </c>
      <c r="D29" s="5" t="s">
        <v>35</v>
      </c>
      <c r="E29">
        <v>50</v>
      </c>
      <c r="F29" s="2">
        <v>38</v>
      </c>
    </row>
    <row r="30" spans="2:6" x14ac:dyDescent="0.3">
      <c r="B30" s="2">
        <v>28</v>
      </c>
      <c r="C30" s="5" t="s">
        <v>6</v>
      </c>
      <c r="D30" s="5" t="s">
        <v>36</v>
      </c>
      <c r="E30">
        <v>500</v>
      </c>
      <c r="F30" s="2">
        <v>43</v>
      </c>
    </row>
    <row r="31" spans="2:6" x14ac:dyDescent="0.3">
      <c r="B31" s="2">
        <v>29</v>
      </c>
      <c r="C31" s="5" t="s">
        <v>11</v>
      </c>
      <c r="D31" s="5" t="s">
        <v>37</v>
      </c>
      <c r="E31">
        <v>30</v>
      </c>
      <c r="F31" s="2">
        <v>42</v>
      </c>
    </row>
    <row r="32" spans="2:6" x14ac:dyDescent="0.3">
      <c r="B32" s="2">
        <v>30</v>
      </c>
      <c r="C32" s="5" t="s">
        <v>6</v>
      </c>
      <c r="D32" s="5" t="s">
        <v>38</v>
      </c>
      <c r="E32">
        <v>900</v>
      </c>
      <c r="F32" s="2">
        <v>39</v>
      </c>
    </row>
    <row r="33" spans="2:6" x14ac:dyDescent="0.3">
      <c r="B33" s="2">
        <v>31</v>
      </c>
      <c r="C33" s="5" t="s">
        <v>11</v>
      </c>
      <c r="D33" s="5" t="s">
        <v>39</v>
      </c>
      <c r="E33">
        <v>1200</v>
      </c>
      <c r="F33" s="2">
        <v>44</v>
      </c>
    </row>
    <row r="34" spans="2:6" x14ac:dyDescent="0.3">
      <c r="B34" s="2">
        <v>32</v>
      </c>
      <c r="C34" s="5" t="s">
        <v>6</v>
      </c>
      <c r="D34" s="5" t="s">
        <v>40</v>
      </c>
      <c r="E34">
        <v>90</v>
      </c>
      <c r="F34" s="2">
        <v>30</v>
      </c>
    </row>
    <row r="35" spans="2:6" x14ac:dyDescent="0.3">
      <c r="B35" s="2">
        <v>33</v>
      </c>
      <c r="C35" s="5" t="s">
        <v>11</v>
      </c>
      <c r="D35" s="5" t="s">
        <v>41</v>
      </c>
      <c r="E35">
        <v>100</v>
      </c>
      <c r="F35" s="2">
        <v>50</v>
      </c>
    </row>
    <row r="36" spans="2:6" x14ac:dyDescent="0.3">
      <c r="B36" s="2">
        <v>34</v>
      </c>
      <c r="C36" s="5" t="s">
        <v>9</v>
      </c>
      <c r="D36" s="5" t="s">
        <v>42</v>
      </c>
      <c r="E36">
        <v>150</v>
      </c>
      <c r="F36" s="2">
        <v>51</v>
      </c>
    </row>
    <row r="37" spans="2:6" x14ac:dyDescent="0.3">
      <c r="B37" s="2">
        <v>35</v>
      </c>
      <c r="C37" s="5" t="s">
        <v>6</v>
      </c>
      <c r="D37" s="5" t="s">
        <v>43</v>
      </c>
      <c r="E37">
        <v>900</v>
      </c>
      <c r="F37" s="2">
        <v>58</v>
      </c>
    </row>
    <row r="38" spans="2:6" x14ac:dyDescent="0.3">
      <c r="B38" s="2">
        <v>36</v>
      </c>
      <c r="C38" s="5" t="s">
        <v>6</v>
      </c>
      <c r="D38" s="5" t="s">
        <v>44</v>
      </c>
      <c r="E38">
        <v>900</v>
      </c>
      <c r="F38" s="2">
        <v>52</v>
      </c>
    </row>
    <row r="39" spans="2:6" x14ac:dyDescent="0.3">
      <c r="B39" s="2">
        <v>37</v>
      </c>
      <c r="C39" s="5" t="s">
        <v>6</v>
      </c>
      <c r="D39" s="5" t="s">
        <v>45</v>
      </c>
      <c r="E39">
        <v>75</v>
      </c>
      <c r="F39" s="2">
        <v>18</v>
      </c>
    </row>
    <row r="40" spans="2:6" x14ac:dyDescent="0.3">
      <c r="B40" s="2">
        <v>38</v>
      </c>
      <c r="C40" s="5" t="s">
        <v>6</v>
      </c>
      <c r="D40" s="5" t="s">
        <v>46</v>
      </c>
      <c r="E40">
        <v>200</v>
      </c>
      <c r="F40" s="2">
        <v>38</v>
      </c>
    </row>
    <row r="41" spans="2:6" x14ac:dyDescent="0.3">
      <c r="B41" s="2">
        <v>39</v>
      </c>
      <c r="C41" s="5" t="s">
        <v>9</v>
      </c>
      <c r="D41" s="5" t="s">
        <v>47</v>
      </c>
      <c r="E41">
        <v>120</v>
      </c>
      <c r="F41" s="2">
        <v>23</v>
      </c>
    </row>
    <row r="42" spans="2:6" x14ac:dyDescent="0.3">
      <c r="B42" s="2">
        <v>40</v>
      </c>
      <c r="C42" s="5" t="s">
        <v>6</v>
      </c>
      <c r="D42" s="5" t="s">
        <v>48</v>
      </c>
      <c r="E42">
        <v>50</v>
      </c>
      <c r="F42" s="2">
        <v>45</v>
      </c>
    </row>
    <row r="43" spans="2:6" x14ac:dyDescent="0.3">
      <c r="B43" s="2">
        <v>41</v>
      </c>
      <c r="C43" s="5" t="s">
        <v>9</v>
      </c>
      <c r="D43" s="5" t="s">
        <v>49</v>
      </c>
      <c r="E43">
        <v>50</v>
      </c>
      <c r="F43" s="2">
        <v>34</v>
      </c>
    </row>
    <row r="44" spans="2:6" x14ac:dyDescent="0.3">
      <c r="B44" s="2">
        <v>42</v>
      </c>
      <c r="C44" s="5" t="s">
        <v>9</v>
      </c>
      <c r="D44" s="5" t="s">
        <v>50</v>
      </c>
      <c r="E44">
        <v>900</v>
      </c>
      <c r="F44" s="2">
        <v>22</v>
      </c>
    </row>
    <row r="45" spans="2:6" x14ac:dyDescent="0.3">
      <c r="B45" s="2">
        <v>43</v>
      </c>
      <c r="C45" s="5" t="s">
        <v>9</v>
      </c>
      <c r="D45" s="5" t="s">
        <v>51</v>
      </c>
      <c r="E45">
        <v>300</v>
      </c>
      <c r="F45" s="2">
        <v>48</v>
      </c>
    </row>
    <row r="46" spans="2:6" x14ac:dyDescent="0.3">
      <c r="B46" s="2">
        <v>44</v>
      </c>
      <c r="C46" s="5" t="s">
        <v>9</v>
      </c>
      <c r="D46" s="5" t="s">
        <v>52</v>
      </c>
      <c r="E46">
        <v>25</v>
      </c>
      <c r="F46" s="2">
        <v>22</v>
      </c>
    </row>
    <row r="47" spans="2:6" x14ac:dyDescent="0.3">
      <c r="B47" s="2">
        <v>45</v>
      </c>
      <c r="C47" s="5" t="s">
        <v>11</v>
      </c>
      <c r="D47" s="5" t="s">
        <v>53</v>
      </c>
      <c r="E47">
        <v>30</v>
      </c>
      <c r="F47" s="2">
        <v>55</v>
      </c>
    </row>
    <row r="48" spans="2:6" x14ac:dyDescent="0.3">
      <c r="B48" s="2">
        <v>46</v>
      </c>
      <c r="C48" s="5" t="s">
        <v>11</v>
      </c>
      <c r="D48" s="5" t="s">
        <v>54</v>
      </c>
      <c r="E48">
        <v>1200</v>
      </c>
      <c r="F48" s="2">
        <v>20</v>
      </c>
    </row>
    <row r="49" spans="2:6" x14ac:dyDescent="0.3">
      <c r="B49" s="2">
        <v>47</v>
      </c>
      <c r="C49" s="5" t="s">
        <v>6</v>
      </c>
      <c r="D49" s="5" t="s">
        <v>55</v>
      </c>
      <c r="E49">
        <v>1500</v>
      </c>
      <c r="F49" s="2">
        <v>40</v>
      </c>
    </row>
    <row r="50" spans="2:6" x14ac:dyDescent="0.3">
      <c r="B50" s="2">
        <v>48</v>
      </c>
      <c r="C50" s="5" t="s">
        <v>11</v>
      </c>
      <c r="D50" s="5" t="s">
        <v>56</v>
      </c>
      <c r="E50">
        <v>900</v>
      </c>
      <c r="F50" s="2">
        <v>54</v>
      </c>
    </row>
    <row r="51" spans="2:6" x14ac:dyDescent="0.3">
      <c r="B51" s="2">
        <v>49</v>
      </c>
      <c r="C51" s="5" t="s">
        <v>11</v>
      </c>
      <c r="D51" s="5" t="s">
        <v>57</v>
      </c>
      <c r="E51">
        <v>1000</v>
      </c>
      <c r="F51" s="2">
        <v>54</v>
      </c>
    </row>
    <row r="52" spans="2:6" x14ac:dyDescent="0.3">
      <c r="B52" s="2">
        <v>50</v>
      </c>
      <c r="C52" s="5" t="s">
        <v>6</v>
      </c>
      <c r="D52" s="5" t="s">
        <v>58</v>
      </c>
      <c r="E52">
        <v>75</v>
      </c>
      <c r="F52" s="2">
        <v>27</v>
      </c>
    </row>
    <row r="53" spans="2:6" x14ac:dyDescent="0.3">
      <c r="B53" s="2">
        <v>51</v>
      </c>
      <c r="C53" s="5" t="s">
        <v>6</v>
      </c>
      <c r="D53" s="5" t="s">
        <v>59</v>
      </c>
      <c r="E53">
        <v>75</v>
      </c>
      <c r="F53" s="2">
        <v>27</v>
      </c>
    </row>
    <row r="54" spans="2:6" x14ac:dyDescent="0.3">
      <c r="B54" s="2">
        <v>52</v>
      </c>
      <c r="C54" s="5" t="s">
        <v>6</v>
      </c>
      <c r="D54" s="5" t="s">
        <v>60</v>
      </c>
      <c r="E54">
        <v>300</v>
      </c>
      <c r="F54" s="2">
        <v>36</v>
      </c>
    </row>
    <row r="55" spans="2:6" x14ac:dyDescent="0.3">
      <c r="B55" s="2">
        <v>53</v>
      </c>
      <c r="C55" s="5" t="s">
        <v>11</v>
      </c>
      <c r="D55" s="5" t="s">
        <v>61</v>
      </c>
      <c r="E55">
        <v>100</v>
      </c>
      <c r="F55" s="2">
        <v>34</v>
      </c>
    </row>
    <row r="56" spans="2:6" x14ac:dyDescent="0.3">
      <c r="B56" s="2">
        <v>54</v>
      </c>
      <c r="C56" s="5" t="s">
        <v>11</v>
      </c>
      <c r="D56" s="5" t="s">
        <v>62</v>
      </c>
      <c r="E56">
        <v>1500</v>
      </c>
      <c r="F56" s="2">
        <v>38</v>
      </c>
    </row>
    <row r="57" spans="2:6" x14ac:dyDescent="0.3">
      <c r="B57" s="2">
        <v>55</v>
      </c>
      <c r="C57" s="5" t="s">
        <v>6</v>
      </c>
      <c r="D57" s="5" t="s">
        <v>63</v>
      </c>
      <c r="E57">
        <v>120</v>
      </c>
      <c r="F57" s="2">
        <v>31</v>
      </c>
    </row>
    <row r="58" spans="2:6" x14ac:dyDescent="0.3">
      <c r="B58" s="2">
        <v>56</v>
      </c>
      <c r="C58" s="5" t="s">
        <v>9</v>
      </c>
      <c r="D58" s="5" t="s">
        <v>64</v>
      </c>
      <c r="E58">
        <v>900</v>
      </c>
      <c r="F58" s="2">
        <v>26</v>
      </c>
    </row>
    <row r="59" spans="2:6" x14ac:dyDescent="0.3">
      <c r="B59" s="2">
        <v>57</v>
      </c>
      <c r="C59" s="5" t="s">
        <v>6</v>
      </c>
      <c r="D59" s="5" t="s">
        <v>65</v>
      </c>
      <c r="E59">
        <v>30</v>
      </c>
      <c r="F59" s="2">
        <v>63</v>
      </c>
    </row>
    <row r="60" spans="2:6" x14ac:dyDescent="0.3">
      <c r="B60" s="2">
        <v>58</v>
      </c>
      <c r="C60" s="5" t="s">
        <v>9</v>
      </c>
      <c r="D60" s="5" t="s">
        <v>66</v>
      </c>
      <c r="E60">
        <v>1200</v>
      </c>
      <c r="F60" s="2">
        <v>18</v>
      </c>
    </row>
    <row r="61" spans="2:6" x14ac:dyDescent="0.3">
      <c r="B61" s="2">
        <v>59</v>
      </c>
      <c r="C61" s="5" t="s">
        <v>9</v>
      </c>
      <c r="D61" s="5" t="s">
        <v>67</v>
      </c>
      <c r="E61">
        <v>50</v>
      </c>
      <c r="F61" s="2">
        <v>62</v>
      </c>
    </row>
    <row r="62" spans="2:6" x14ac:dyDescent="0.3">
      <c r="B62" s="2">
        <v>60</v>
      </c>
      <c r="C62" s="5" t="s">
        <v>6</v>
      </c>
      <c r="D62" s="5" t="s">
        <v>68</v>
      </c>
      <c r="E62">
        <v>150</v>
      </c>
      <c r="F62" s="2">
        <v>30</v>
      </c>
    </row>
    <row r="63" spans="2:6" x14ac:dyDescent="0.3">
      <c r="B63" s="2">
        <v>61</v>
      </c>
      <c r="C63" s="5" t="s">
        <v>6</v>
      </c>
      <c r="D63" s="5" t="s">
        <v>69</v>
      </c>
      <c r="E63">
        <v>200</v>
      </c>
      <c r="F63" s="2">
        <v>21</v>
      </c>
    </row>
    <row r="64" spans="2:6" x14ac:dyDescent="0.3">
      <c r="B64" s="2">
        <v>62</v>
      </c>
      <c r="C64" s="5" t="s">
        <v>6</v>
      </c>
      <c r="D64" s="5" t="s">
        <v>70</v>
      </c>
      <c r="E64">
        <v>100</v>
      </c>
      <c r="F64" s="2">
        <v>18</v>
      </c>
    </row>
    <row r="65" spans="2:6" x14ac:dyDescent="0.3">
      <c r="B65" s="2">
        <v>63</v>
      </c>
      <c r="C65" s="5" t="s">
        <v>11</v>
      </c>
      <c r="D65" s="5" t="s">
        <v>71</v>
      </c>
      <c r="E65">
        <v>50</v>
      </c>
      <c r="F65" s="2">
        <v>57</v>
      </c>
    </row>
    <row r="66" spans="2:6" x14ac:dyDescent="0.3">
      <c r="B66" s="2">
        <v>64</v>
      </c>
      <c r="C66" s="5" t="s">
        <v>9</v>
      </c>
      <c r="D66" s="5" t="s">
        <v>72</v>
      </c>
      <c r="E66">
        <v>100</v>
      </c>
      <c r="F66" s="2">
        <v>49</v>
      </c>
    </row>
    <row r="67" spans="2:6" x14ac:dyDescent="0.3">
      <c r="B67" s="2">
        <v>65</v>
      </c>
      <c r="C67" s="5" t="s">
        <v>11</v>
      </c>
      <c r="D67" s="5" t="s">
        <v>73</v>
      </c>
      <c r="E67">
        <v>2000</v>
      </c>
      <c r="F67" s="2">
        <v>51</v>
      </c>
    </row>
    <row r="68" spans="2:6" x14ac:dyDescent="0.3">
      <c r="B68" s="2">
        <v>66</v>
      </c>
      <c r="C68" s="5" t="s">
        <v>11</v>
      </c>
      <c r="D68" s="5" t="s">
        <v>74</v>
      </c>
      <c r="E68">
        <v>30</v>
      </c>
      <c r="F68" s="2">
        <v>45</v>
      </c>
    </row>
    <row r="69" spans="2:6" x14ac:dyDescent="0.3">
      <c r="B69" s="2">
        <v>67</v>
      </c>
      <c r="C69" s="5" t="s">
        <v>6</v>
      </c>
      <c r="D69" s="5" t="s">
        <v>75</v>
      </c>
      <c r="E69">
        <v>1200</v>
      </c>
      <c r="F69" s="2">
        <v>48</v>
      </c>
    </row>
    <row r="70" spans="2:6" x14ac:dyDescent="0.3">
      <c r="B70" s="2">
        <v>68</v>
      </c>
      <c r="C70" s="5" t="s">
        <v>11</v>
      </c>
      <c r="D70" s="5" t="s">
        <v>76</v>
      </c>
      <c r="E70">
        <v>300</v>
      </c>
      <c r="F70" s="2">
        <v>25</v>
      </c>
    </row>
    <row r="71" spans="2:6" x14ac:dyDescent="0.3">
      <c r="B71" s="2">
        <v>69</v>
      </c>
      <c r="C71" s="5" t="s">
        <v>6</v>
      </c>
      <c r="D71" s="5" t="s">
        <v>77</v>
      </c>
      <c r="E71">
        <v>75</v>
      </c>
      <c r="F71" s="2">
        <v>56</v>
      </c>
    </row>
    <row r="72" spans="2:6" x14ac:dyDescent="0.3">
      <c r="B72" s="2">
        <v>70</v>
      </c>
      <c r="C72" s="5" t="s">
        <v>9</v>
      </c>
      <c r="D72" s="5" t="s">
        <v>78</v>
      </c>
      <c r="E72">
        <v>300</v>
      </c>
      <c r="F72" s="2">
        <v>43</v>
      </c>
    </row>
    <row r="73" spans="2:6" x14ac:dyDescent="0.3">
      <c r="B73" s="2">
        <v>71</v>
      </c>
      <c r="C73" s="5" t="s">
        <v>6</v>
      </c>
      <c r="D73" s="5" t="s">
        <v>79</v>
      </c>
      <c r="E73">
        <v>100</v>
      </c>
      <c r="F73" s="2">
        <v>51</v>
      </c>
    </row>
    <row r="74" spans="2:6" x14ac:dyDescent="0.3">
      <c r="B74" s="2">
        <v>72</v>
      </c>
      <c r="C74" s="5" t="s">
        <v>11</v>
      </c>
      <c r="D74" s="5" t="s">
        <v>80</v>
      </c>
      <c r="E74">
        <v>2000</v>
      </c>
      <c r="F74" s="2">
        <v>20</v>
      </c>
    </row>
    <row r="75" spans="2:6" x14ac:dyDescent="0.3">
      <c r="B75" s="2">
        <v>73</v>
      </c>
      <c r="C75" s="5" t="s">
        <v>11</v>
      </c>
      <c r="D75" s="5" t="s">
        <v>81</v>
      </c>
      <c r="E75">
        <v>90</v>
      </c>
      <c r="F75" s="2">
        <v>29</v>
      </c>
    </row>
    <row r="76" spans="2:6" x14ac:dyDescent="0.3">
      <c r="B76" s="2">
        <v>74</v>
      </c>
      <c r="C76" s="5" t="s">
        <v>6</v>
      </c>
      <c r="D76" s="5" t="s">
        <v>82</v>
      </c>
      <c r="E76">
        <v>2000</v>
      </c>
      <c r="F76" s="2">
        <v>18</v>
      </c>
    </row>
    <row r="77" spans="2:6" x14ac:dyDescent="0.3">
      <c r="B77" s="2">
        <v>75</v>
      </c>
      <c r="C77" s="5" t="s">
        <v>6</v>
      </c>
      <c r="D77" s="5" t="s">
        <v>83</v>
      </c>
      <c r="E77">
        <v>200</v>
      </c>
      <c r="F77" s="2">
        <v>61</v>
      </c>
    </row>
    <row r="78" spans="2:6" x14ac:dyDescent="0.3">
      <c r="B78" s="2">
        <v>76</v>
      </c>
      <c r="C78" s="5" t="s">
        <v>11</v>
      </c>
      <c r="D78" s="5" t="s">
        <v>84</v>
      </c>
      <c r="E78">
        <v>100</v>
      </c>
      <c r="F78" s="2">
        <v>22</v>
      </c>
    </row>
    <row r="79" spans="2:6" x14ac:dyDescent="0.3">
      <c r="B79" s="2">
        <v>77</v>
      </c>
      <c r="C79" s="5" t="s">
        <v>9</v>
      </c>
      <c r="D79" s="5" t="s">
        <v>85</v>
      </c>
      <c r="E79">
        <v>100</v>
      </c>
      <c r="F79" s="2">
        <v>47</v>
      </c>
    </row>
    <row r="80" spans="2:6" x14ac:dyDescent="0.3">
      <c r="B80" s="2">
        <v>78</v>
      </c>
      <c r="C80" s="5" t="s">
        <v>9</v>
      </c>
      <c r="D80" s="5" t="s">
        <v>86</v>
      </c>
      <c r="E80">
        <v>1500</v>
      </c>
      <c r="F80" s="2">
        <v>47</v>
      </c>
    </row>
    <row r="81" spans="2:6" x14ac:dyDescent="0.3">
      <c r="B81" s="2">
        <v>79</v>
      </c>
      <c r="C81" s="5" t="s">
        <v>6</v>
      </c>
      <c r="D81" s="5" t="s">
        <v>87</v>
      </c>
      <c r="E81">
        <v>300</v>
      </c>
      <c r="F81" s="2">
        <v>34</v>
      </c>
    </row>
    <row r="82" spans="2:6" x14ac:dyDescent="0.3">
      <c r="B82" s="2">
        <v>80</v>
      </c>
      <c r="C82" s="5" t="s">
        <v>9</v>
      </c>
      <c r="D82" s="5" t="s">
        <v>88</v>
      </c>
      <c r="E82">
        <v>60</v>
      </c>
      <c r="F82" s="2">
        <v>64</v>
      </c>
    </row>
    <row r="83" spans="2:6" x14ac:dyDescent="0.3">
      <c r="B83" s="2">
        <v>81</v>
      </c>
      <c r="C83" s="5" t="s">
        <v>11</v>
      </c>
      <c r="D83" s="5" t="s">
        <v>89</v>
      </c>
      <c r="E83">
        <v>50</v>
      </c>
      <c r="F83" s="2">
        <v>40</v>
      </c>
    </row>
    <row r="84" spans="2:6" x14ac:dyDescent="0.3">
      <c r="B84" s="2">
        <v>82</v>
      </c>
      <c r="C84" s="5" t="s">
        <v>6</v>
      </c>
      <c r="D84" s="5" t="s">
        <v>90</v>
      </c>
      <c r="E84">
        <v>200</v>
      </c>
      <c r="F84" s="2">
        <v>32</v>
      </c>
    </row>
    <row r="85" spans="2:6" x14ac:dyDescent="0.3">
      <c r="B85" s="2">
        <v>83</v>
      </c>
      <c r="C85" s="5" t="s">
        <v>11</v>
      </c>
      <c r="D85" s="5" t="s">
        <v>91</v>
      </c>
      <c r="E85">
        <v>100</v>
      </c>
      <c r="F85" s="2">
        <v>54</v>
      </c>
    </row>
    <row r="86" spans="2:6" x14ac:dyDescent="0.3">
      <c r="B86" s="2">
        <v>84</v>
      </c>
      <c r="C86" s="5" t="s">
        <v>11</v>
      </c>
      <c r="D86" s="5" t="s">
        <v>92</v>
      </c>
      <c r="E86">
        <v>90</v>
      </c>
      <c r="F86" s="2">
        <v>38</v>
      </c>
    </row>
    <row r="87" spans="2:6" x14ac:dyDescent="0.3">
      <c r="B87" s="2">
        <v>85</v>
      </c>
      <c r="C87" s="5" t="s">
        <v>9</v>
      </c>
      <c r="D87" s="5" t="s">
        <v>93</v>
      </c>
      <c r="E87">
        <v>150</v>
      </c>
      <c r="F87" s="2">
        <v>31</v>
      </c>
    </row>
    <row r="88" spans="2:6" x14ac:dyDescent="0.3">
      <c r="B88" s="2">
        <v>86</v>
      </c>
      <c r="C88" s="5" t="s">
        <v>6</v>
      </c>
      <c r="D88" s="5" t="s">
        <v>94</v>
      </c>
      <c r="E88">
        <v>90</v>
      </c>
      <c r="F88" s="2">
        <v>19</v>
      </c>
    </row>
    <row r="89" spans="2:6" x14ac:dyDescent="0.3">
      <c r="B89" s="2">
        <v>87</v>
      </c>
      <c r="C89" s="5" t="s">
        <v>6</v>
      </c>
      <c r="D89" s="5" t="s">
        <v>95</v>
      </c>
      <c r="E89">
        <v>100</v>
      </c>
      <c r="F89" s="2">
        <v>28</v>
      </c>
    </row>
    <row r="90" spans="2:6" x14ac:dyDescent="0.3">
      <c r="B90" s="2">
        <v>88</v>
      </c>
      <c r="C90" s="5" t="s">
        <v>9</v>
      </c>
      <c r="D90" s="5" t="s">
        <v>96</v>
      </c>
      <c r="E90">
        <v>500</v>
      </c>
      <c r="F90" s="2">
        <v>56</v>
      </c>
    </row>
    <row r="91" spans="2:6" x14ac:dyDescent="0.3">
      <c r="B91" s="2">
        <v>89</v>
      </c>
      <c r="C91" s="5" t="s">
        <v>11</v>
      </c>
      <c r="D91" s="5" t="s">
        <v>97</v>
      </c>
      <c r="E91">
        <v>2000</v>
      </c>
      <c r="F91" s="2">
        <v>55</v>
      </c>
    </row>
    <row r="92" spans="2:6" x14ac:dyDescent="0.3">
      <c r="B92" s="2">
        <v>90</v>
      </c>
      <c r="C92" s="5" t="s">
        <v>11</v>
      </c>
      <c r="D92" s="5" t="s">
        <v>98</v>
      </c>
      <c r="E92">
        <v>30</v>
      </c>
      <c r="F92" s="2">
        <v>51</v>
      </c>
    </row>
    <row r="93" spans="2:6" x14ac:dyDescent="0.3">
      <c r="B93" s="2">
        <v>91</v>
      </c>
      <c r="C93" s="5" t="s">
        <v>11</v>
      </c>
      <c r="D93" s="5" t="s">
        <v>99</v>
      </c>
      <c r="E93">
        <v>500</v>
      </c>
      <c r="F93" s="2">
        <v>55</v>
      </c>
    </row>
    <row r="94" spans="2:6" x14ac:dyDescent="0.3">
      <c r="B94" s="2">
        <v>92</v>
      </c>
      <c r="C94" s="5" t="s">
        <v>11</v>
      </c>
      <c r="D94" s="5" t="s">
        <v>100</v>
      </c>
      <c r="E94">
        <v>120</v>
      </c>
      <c r="F94" s="2">
        <v>51</v>
      </c>
    </row>
    <row r="95" spans="2:6" x14ac:dyDescent="0.3">
      <c r="B95" s="2">
        <v>93</v>
      </c>
      <c r="C95" s="5" t="s">
        <v>6</v>
      </c>
      <c r="D95" s="5" t="s">
        <v>101</v>
      </c>
      <c r="E95">
        <v>2000</v>
      </c>
      <c r="F95" s="2">
        <v>35</v>
      </c>
    </row>
    <row r="96" spans="2:6" x14ac:dyDescent="0.3">
      <c r="B96" s="2">
        <v>94</v>
      </c>
      <c r="C96" s="5" t="s">
        <v>6</v>
      </c>
      <c r="D96" s="5" t="s">
        <v>102</v>
      </c>
      <c r="E96">
        <v>1000</v>
      </c>
      <c r="F96" s="2">
        <v>47</v>
      </c>
    </row>
    <row r="97" spans="2:6" x14ac:dyDescent="0.3">
      <c r="B97" s="2">
        <v>95</v>
      </c>
      <c r="C97" s="5" t="s">
        <v>9</v>
      </c>
      <c r="D97" s="5" t="s">
        <v>103</v>
      </c>
      <c r="E97">
        <v>60</v>
      </c>
      <c r="F97" s="2">
        <v>32</v>
      </c>
    </row>
    <row r="98" spans="2:6" x14ac:dyDescent="0.3">
      <c r="B98" s="2">
        <v>96</v>
      </c>
      <c r="C98" s="5" t="s">
        <v>9</v>
      </c>
      <c r="D98" s="5" t="s">
        <v>104</v>
      </c>
      <c r="E98">
        <v>600</v>
      </c>
      <c r="F98" s="2">
        <v>44</v>
      </c>
    </row>
    <row r="99" spans="2:6" x14ac:dyDescent="0.3">
      <c r="B99" s="2">
        <v>97</v>
      </c>
      <c r="C99" s="5" t="s">
        <v>6</v>
      </c>
      <c r="D99" s="5" t="s">
        <v>105</v>
      </c>
      <c r="E99">
        <v>1000</v>
      </c>
      <c r="F99" s="2">
        <v>51</v>
      </c>
    </row>
    <row r="100" spans="2:6" x14ac:dyDescent="0.3">
      <c r="B100" s="2">
        <v>98</v>
      </c>
      <c r="C100" s="5" t="s">
        <v>6</v>
      </c>
      <c r="D100" s="5" t="s">
        <v>106</v>
      </c>
      <c r="E100">
        <v>100</v>
      </c>
      <c r="F100" s="2">
        <v>55</v>
      </c>
    </row>
    <row r="101" spans="2:6" x14ac:dyDescent="0.3">
      <c r="B101" s="2">
        <v>99</v>
      </c>
      <c r="C101" s="5" t="s">
        <v>11</v>
      </c>
      <c r="D101" s="5" t="s">
        <v>107</v>
      </c>
      <c r="E101">
        <v>1200</v>
      </c>
      <c r="F101" s="2">
        <v>50</v>
      </c>
    </row>
    <row r="102" spans="2:6" x14ac:dyDescent="0.3">
      <c r="B102" s="2">
        <v>100</v>
      </c>
      <c r="C102" s="5" t="s">
        <v>11</v>
      </c>
      <c r="D102" s="5" t="s">
        <v>108</v>
      </c>
      <c r="E102">
        <v>30</v>
      </c>
      <c r="F102" s="2">
        <v>41</v>
      </c>
    </row>
    <row r="103" spans="2:6" x14ac:dyDescent="0.3">
      <c r="B103" s="2">
        <v>101</v>
      </c>
      <c r="C103" s="5" t="s">
        <v>9</v>
      </c>
      <c r="D103" s="5" t="s">
        <v>109</v>
      </c>
      <c r="E103">
        <v>600</v>
      </c>
      <c r="F103" s="2">
        <v>32</v>
      </c>
    </row>
    <row r="104" spans="2:6" x14ac:dyDescent="0.3">
      <c r="B104" s="2">
        <v>102</v>
      </c>
      <c r="C104" s="5" t="s">
        <v>6</v>
      </c>
      <c r="D104" s="5" t="s">
        <v>110</v>
      </c>
      <c r="E104">
        <v>50</v>
      </c>
      <c r="F104" s="2">
        <v>47</v>
      </c>
    </row>
    <row r="105" spans="2:6" x14ac:dyDescent="0.3">
      <c r="B105" s="2">
        <v>103</v>
      </c>
      <c r="C105" s="5" t="s">
        <v>9</v>
      </c>
      <c r="D105" s="5" t="s">
        <v>111</v>
      </c>
      <c r="E105">
        <v>25</v>
      </c>
      <c r="F105" s="2">
        <v>59</v>
      </c>
    </row>
    <row r="106" spans="2:6" x14ac:dyDescent="0.3">
      <c r="B106" s="2">
        <v>104</v>
      </c>
      <c r="C106" s="5" t="s">
        <v>6</v>
      </c>
      <c r="D106" s="5" t="s">
        <v>112</v>
      </c>
      <c r="E106">
        <v>1000</v>
      </c>
      <c r="F106" s="2">
        <v>34</v>
      </c>
    </row>
    <row r="107" spans="2:6" x14ac:dyDescent="0.3">
      <c r="B107" s="2">
        <v>105</v>
      </c>
      <c r="C107" s="5" t="s">
        <v>11</v>
      </c>
      <c r="D107" s="5" t="s">
        <v>113</v>
      </c>
      <c r="E107">
        <v>500</v>
      </c>
      <c r="F107" s="2">
        <v>22</v>
      </c>
    </row>
    <row r="108" spans="2:6" x14ac:dyDescent="0.3">
      <c r="B108" s="2">
        <v>106</v>
      </c>
      <c r="C108" s="5" t="s">
        <v>9</v>
      </c>
      <c r="D108" s="5" t="s">
        <v>114</v>
      </c>
      <c r="E108">
        <v>50</v>
      </c>
      <c r="F108" s="2">
        <v>46</v>
      </c>
    </row>
    <row r="109" spans="2:6" x14ac:dyDescent="0.3">
      <c r="B109" s="2">
        <v>107</v>
      </c>
      <c r="C109" s="5" t="s">
        <v>9</v>
      </c>
      <c r="D109" s="5" t="s">
        <v>115</v>
      </c>
      <c r="E109">
        <v>1200</v>
      </c>
      <c r="F109" s="2">
        <v>21</v>
      </c>
    </row>
    <row r="110" spans="2:6" x14ac:dyDescent="0.3">
      <c r="B110" s="2">
        <v>108</v>
      </c>
      <c r="C110" s="5" t="s">
        <v>6</v>
      </c>
      <c r="D110" s="5" t="s">
        <v>116</v>
      </c>
      <c r="E110">
        <v>75</v>
      </c>
      <c r="F110" s="2">
        <v>27</v>
      </c>
    </row>
    <row r="111" spans="2:6" x14ac:dyDescent="0.3">
      <c r="B111" s="2">
        <v>109</v>
      </c>
      <c r="C111" s="5" t="s">
        <v>11</v>
      </c>
      <c r="D111" s="5" t="s">
        <v>117</v>
      </c>
      <c r="E111">
        <v>2000</v>
      </c>
      <c r="F111" s="2">
        <v>34</v>
      </c>
    </row>
    <row r="112" spans="2:6" x14ac:dyDescent="0.3">
      <c r="B112" s="2">
        <v>110</v>
      </c>
      <c r="C112" s="5" t="s">
        <v>9</v>
      </c>
      <c r="D112" s="5" t="s">
        <v>118</v>
      </c>
      <c r="E112">
        <v>900</v>
      </c>
      <c r="F112" s="2">
        <v>27</v>
      </c>
    </row>
    <row r="113" spans="2:6" x14ac:dyDescent="0.3">
      <c r="B113" s="2">
        <v>111</v>
      </c>
      <c r="C113" s="5" t="s">
        <v>11</v>
      </c>
      <c r="D113" s="5" t="s">
        <v>119</v>
      </c>
      <c r="E113">
        <v>1500</v>
      </c>
      <c r="F113" s="2">
        <v>34</v>
      </c>
    </row>
    <row r="114" spans="2:6" x14ac:dyDescent="0.3">
      <c r="B114" s="2">
        <v>112</v>
      </c>
      <c r="C114" s="5" t="s">
        <v>9</v>
      </c>
      <c r="D114" s="5" t="s">
        <v>120</v>
      </c>
      <c r="E114">
        <v>1500</v>
      </c>
      <c r="F114" s="2">
        <v>37</v>
      </c>
    </row>
    <row r="115" spans="2:6" x14ac:dyDescent="0.3">
      <c r="B115" s="2">
        <v>113</v>
      </c>
      <c r="C115" s="5" t="s">
        <v>11</v>
      </c>
      <c r="D115" s="5" t="s">
        <v>121</v>
      </c>
      <c r="E115">
        <v>50</v>
      </c>
      <c r="F115" s="2">
        <v>41</v>
      </c>
    </row>
    <row r="116" spans="2:6" x14ac:dyDescent="0.3">
      <c r="B116" s="2">
        <v>114</v>
      </c>
      <c r="C116" s="5" t="s">
        <v>6</v>
      </c>
      <c r="D116" s="5" t="s">
        <v>122</v>
      </c>
      <c r="E116">
        <v>100</v>
      </c>
      <c r="F116" s="2">
        <v>22</v>
      </c>
    </row>
    <row r="117" spans="2:6" x14ac:dyDescent="0.3">
      <c r="B117" s="2">
        <v>115</v>
      </c>
      <c r="C117" s="5" t="s">
        <v>9</v>
      </c>
      <c r="D117" s="5" t="s">
        <v>123</v>
      </c>
      <c r="E117">
        <v>1500</v>
      </c>
      <c r="F117" s="2">
        <v>51</v>
      </c>
    </row>
    <row r="118" spans="2:6" x14ac:dyDescent="0.3">
      <c r="B118" s="2">
        <v>116</v>
      </c>
      <c r="C118" s="5" t="s">
        <v>9</v>
      </c>
      <c r="D118" s="5" t="s">
        <v>124</v>
      </c>
      <c r="E118">
        <v>30</v>
      </c>
      <c r="F118" s="2">
        <v>23</v>
      </c>
    </row>
    <row r="119" spans="2:6" x14ac:dyDescent="0.3">
      <c r="B119" s="2">
        <v>117</v>
      </c>
      <c r="C119" s="5" t="s">
        <v>11</v>
      </c>
      <c r="D119" s="5" t="s">
        <v>125</v>
      </c>
      <c r="E119">
        <v>1000</v>
      </c>
      <c r="F119" s="2">
        <v>19</v>
      </c>
    </row>
    <row r="120" spans="2:6" x14ac:dyDescent="0.3">
      <c r="B120" s="2">
        <v>118</v>
      </c>
      <c r="C120" s="5" t="s">
        <v>11</v>
      </c>
      <c r="D120" s="5" t="s">
        <v>126</v>
      </c>
      <c r="E120">
        <v>2000</v>
      </c>
      <c r="F120" s="2">
        <v>30</v>
      </c>
    </row>
    <row r="121" spans="2:6" x14ac:dyDescent="0.3">
      <c r="B121" s="2">
        <v>119</v>
      </c>
      <c r="C121" s="5" t="s">
        <v>9</v>
      </c>
      <c r="D121" s="5" t="s">
        <v>127</v>
      </c>
      <c r="E121">
        <v>150</v>
      </c>
      <c r="F121" s="2">
        <v>60</v>
      </c>
    </row>
    <row r="122" spans="2:6" x14ac:dyDescent="0.3">
      <c r="B122" s="2">
        <v>120</v>
      </c>
      <c r="C122" s="5" t="s">
        <v>6</v>
      </c>
      <c r="D122" s="5" t="s">
        <v>128</v>
      </c>
      <c r="E122">
        <v>50</v>
      </c>
      <c r="F122" s="2">
        <v>60</v>
      </c>
    </row>
    <row r="123" spans="2:6" x14ac:dyDescent="0.3">
      <c r="B123" s="2">
        <v>121</v>
      </c>
      <c r="C123" s="5" t="s">
        <v>11</v>
      </c>
      <c r="D123" s="5" t="s">
        <v>129</v>
      </c>
      <c r="E123">
        <v>200</v>
      </c>
      <c r="F123" s="2">
        <v>28</v>
      </c>
    </row>
    <row r="124" spans="2:6" x14ac:dyDescent="0.3">
      <c r="B124" s="2">
        <v>122</v>
      </c>
      <c r="C124" s="5" t="s">
        <v>11</v>
      </c>
      <c r="D124" s="5" t="s">
        <v>130</v>
      </c>
      <c r="E124">
        <v>120</v>
      </c>
      <c r="F124" s="2">
        <v>64</v>
      </c>
    </row>
    <row r="125" spans="2:6" x14ac:dyDescent="0.3">
      <c r="B125" s="2">
        <v>123</v>
      </c>
      <c r="C125" s="5" t="s">
        <v>11</v>
      </c>
      <c r="D125" s="5" t="s">
        <v>131</v>
      </c>
      <c r="E125">
        <v>60</v>
      </c>
      <c r="F125" s="2">
        <v>40</v>
      </c>
    </row>
    <row r="126" spans="2:6" x14ac:dyDescent="0.3">
      <c r="B126" s="2">
        <v>124</v>
      </c>
      <c r="C126" s="5" t="s">
        <v>9</v>
      </c>
      <c r="D126" s="5" t="s">
        <v>132</v>
      </c>
      <c r="E126">
        <v>2000</v>
      </c>
      <c r="F126" s="2">
        <v>33</v>
      </c>
    </row>
    <row r="127" spans="2:6" x14ac:dyDescent="0.3">
      <c r="B127" s="2">
        <v>125</v>
      </c>
      <c r="C127" s="5" t="s">
        <v>9</v>
      </c>
      <c r="D127" s="5" t="s">
        <v>133</v>
      </c>
      <c r="E127">
        <v>100</v>
      </c>
      <c r="F127" s="2">
        <v>48</v>
      </c>
    </row>
    <row r="128" spans="2:6" x14ac:dyDescent="0.3">
      <c r="B128" s="2">
        <v>126</v>
      </c>
      <c r="C128" s="5" t="s">
        <v>9</v>
      </c>
      <c r="D128" s="5" t="s">
        <v>134</v>
      </c>
      <c r="E128">
        <v>90</v>
      </c>
      <c r="F128" s="2">
        <v>28</v>
      </c>
    </row>
    <row r="129" spans="2:6" x14ac:dyDescent="0.3">
      <c r="B129" s="2">
        <v>127</v>
      </c>
      <c r="C129" s="5" t="s">
        <v>9</v>
      </c>
      <c r="D129" s="5" t="s">
        <v>135</v>
      </c>
      <c r="E129">
        <v>50</v>
      </c>
      <c r="F129" s="2">
        <v>33</v>
      </c>
    </row>
    <row r="130" spans="2:6" x14ac:dyDescent="0.3">
      <c r="B130" s="2">
        <v>128</v>
      </c>
      <c r="C130" s="5" t="s">
        <v>6</v>
      </c>
      <c r="D130" s="5" t="s">
        <v>136</v>
      </c>
      <c r="E130">
        <v>500</v>
      </c>
      <c r="F130" s="2">
        <v>25</v>
      </c>
    </row>
    <row r="131" spans="2:6" x14ac:dyDescent="0.3">
      <c r="B131" s="2">
        <v>129</v>
      </c>
      <c r="C131" s="5" t="s">
        <v>6</v>
      </c>
      <c r="D131" s="5" t="s">
        <v>137</v>
      </c>
      <c r="E131">
        <v>600</v>
      </c>
      <c r="F131" s="2">
        <v>21</v>
      </c>
    </row>
    <row r="132" spans="2:6" x14ac:dyDescent="0.3">
      <c r="B132" s="2">
        <v>130</v>
      </c>
      <c r="C132" s="5" t="s">
        <v>9</v>
      </c>
      <c r="D132" s="5" t="s">
        <v>138</v>
      </c>
      <c r="E132">
        <v>500</v>
      </c>
      <c r="F132" s="2">
        <v>57</v>
      </c>
    </row>
    <row r="133" spans="2:6" x14ac:dyDescent="0.3">
      <c r="B133" s="2">
        <v>131</v>
      </c>
      <c r="C133" s="5" t="s">
        <v>6</v>
      </c>
      <c r="D133" s="5" t="s">
        <v>139</v>
      </c>
      <c r="E133">
        <v>600</v>
      </c>
      <c r="F133" s="2">
        <v>21</v>
      </c>
    </row>
    <row r="134" spans="2:6" x14ac:dyDescent="0.3">
      <c r="B134" s="2">
        <v>132</v>
      </c>
      <c r="C134" s="5" t="s">
        <v>11</v>
      </c>
      <c r="D134" s="5" t="s">
        <v>140</v>
      </c>
      <c r="E134">
        <v>200</v>
      </c>
      <c r="F134" s="2">
        <v>42</v>
      </c>
    </row>
    <row r="135" spans="2:6" x14ac:dyDescent="0.3">
      <c r="B135" s="2">
        <v>133</v>
      </c>
      <c r="C135" s="5" t="s">
        <v>11</v>
      </c>
      <c r="D135" s="5" t="s">
        <v>141</v>
      </c>
      <c r="E135">
        <v>900</v>
      </c>
      <c r="F135" s="2">
        <v>20</v>
      </c>
    </row>
    <row r="136" spans="2:6" x14ac:dyDescent="0.3">
      <c r="B136" s="2">
        <v>134</v>
      </c>
      <c r="C136" s="5" t="s">
        <v>11</v>
      </c>
      <c r="D136" s="5" t="s">
        <v>142</v>
      </c>
      <c r="E136">
        <v>50</v>
      </c>
      <c r="F136" s="2">
        <v>49</v>
      </c>
    </row>
    <row r="137" spans="2:6" x14ac:dyDescent="0.3">
      <c r="B137" s="2">
        <v>135</v>
      </c>
      <c r="C137" s="5" t="s">
        <v>9</v>
      </c>
      <c r="D137" s="5" t="s">
        <v>143</v>
      </c>
      <c r="E137">
        <v>50</v>
      </c>
      <c r="F137" s="2">
        <v>20</v>
      </c>
    </row>
    <row r="138" spans="2:6" x14ac:dyDescent="0.3">
      <c r="B138" s="2">
        <v>136</v>
      </c>
      <c r="C138" s="5" t="s">
        <v>11</v>
      </c>
      <c r="D138" s="5" t="s">
        <v>144</v>
      </c>
      <c r="E138">
        <v>600</v>
      </c>
      <c r="F138" s="2">
        <v>44</v>
      </c>
    </row>
    <row r="139" spans="2:6" x14ac:dyDescent="0.3">
      <c r="B139" s="2">
        <v>137</v>
      </c>
      <c r="C139" s="5" t="s">
        <v>6</v>
      </c>
      <c r="D139" s="5" t="s">
        <v>145</v>
      </c>
      <c r="E139">
        <v>1000</v>
      </c>
      <c r="F139" s="2">
        <v>46</v>
      </c>
    </row>
    <row r="140" spans="2:6" x14ac:dyDescent="0.3">
      <c r="B140" s="2">
        <v>138</v>
      </c>
      <c r="C140" s="5" t="s">
        <v>9</v>
      </c>
      <c r="D140" s="5" t="s">
        <v>146</v>
      </c>
      <c r="E140">
        <v>200</v>
      </c>
      <c r="F140" s="2">
        <v>49</v>
      </c>
    </row>
    <row r="141" spans="2:6" x14ac:dyDescent="0.3">
      <c r="B141" s="2">
        <v>139</v>
      </c>
      <c r="C141" s="5" t="s">
        <v>6</v>
      </c>
      <c r="D141" s="5" t="s">
        <v>147</v>
      </c>
      <c r="E141">
        <v>2000</v>
      </c>
      <c r="F141" s="2">
        <v>36</v>
      </c>
    </row>
    <row r="142" spans="2:6" x14ac:dyDescent="0.3">
      <c r="B142" s="2">
        <v>140</v>
      </c>
      <c r="C142" s="5" t="s">
        <v>11</v>
      </c>
      <c r="D142" s="5" t="s">
        <v>148</v>
      </c>
      <c r="E142">
        <v>30</v>
      </c>
      <c r="F142" s="2">
        <v>38</v>
      </c>
    </row>
    <row r="143" spans="2:6" x14ac:dyDescent="0.3">
      <c r="B143" s="2">
        <v>141</v>
      </c>
      <c r="C143" s="5" t="s">
        <v>11</v>
      </c>
      <c r="D143" s="5" t="s">
        <v>149</v>
      </c>
      <c r="E143">
        <v>50</v>
      </c>
      <c r="F143" s="2">
        <v>22</v>
      </c>
    </row>
    <row r="144" spans="2:6" x14ac:dyDescent="0.3">
      <c r="B144" s="2">
        <v>142</v>
      </c>
      <c r="C144" s="5" t="s">
        <v>11</v>
      </c>
      <c r="D144" s="5" t="s">
        <v>150</v>
      </c>
      <c r="E144">
        <v>1200</v>
      </c>
      <c r="F144" s="2">
        <v>35</v>
      </c>
    </row>
    <row r="145" spans="2:6" x14ac:dyDescent="0.3">
      <c r="B145" s="2">
        <v>143</v>
      </c>
      <c r="C145" s="5" t="s">
        <v>9</v>
      </c>
      <c r="D145" s="5" t="s">
        <v>151</v>
      </c>
      <c r="E145">
        <v>50</v>
      </c>
      <c r="F145" s="2">
        <v>45</v>
      </c>
    </row>
    <row r="146" spans="2:6" x14ac:dyDescent="0.3">
      <c r="B146" s="2">
        <v>144</v>
      </c>
      <c r="C146" s="5" t="s">
        <v>6</v>
      </c>
      <c r="D146" s="5" t="s">
        <v>152</v>
      </c>
      <c r="E146">
        <v>1500</v>
      </c>
      <c r="F146" s="2">
        <v>59</v>
      </c>
    </row>
    <row r="147" spans="2:6" x14ac:dyDescent="0.3">
      <c r="B147" s="2">
        <v>145</v>
      </c>
      <c r="C147" s="5" t="s">
        <v>9</v>
      </c>
      <c r="D147" s="5" t="s">
        <v>153</v>
      </c>
      <c r="E147">
        <v>75</v>
      </c>
      <c r="F147" s="2">
        <v>39</v>
      </c>
    </row>
    <row r="148" spans="2:6" x14ac:dyDescent="0.3">
      <c r="B148" s="2">
        <v>146</v>
      </c>
      <c r="C148" s="5" t="s">
        <v>9</v>
      </c>
      <c r="D148" s="5" t="s">
        <v>154</v>
      </c>
      <c r="E148">
        <v>200</v>
      </c>
      <c r="F148" s="2">
        <v>38</v>
      </c>
    </row>
    <row r="149" spans="2:6" x14ac:dyDescent="0.3">
      <c r="B149" s="2">
        <v>147</v>
      </c>
      <c r="C149" s="5" t="s">
        <v>11</v>
      </c>
      <c r="D149" s="5" t="s">
        <v>155</v>
      </c>
      <c r="E149">
        <v>300</v>
      </c>
      <c r="F149" s="2">
        <v>23</v>
      </c>
    </row>
    <row r="150" spans="2:6" x14ac:dyDescent="0.3">
      <c r="B150" s="2">
        <v>148</v>
      </c>
      <c r="C150" s="5" t="s">
        <v>9</v>
      </c>
      <c r="D150" s="5" t="s">
        <v>156</v>
      </c>
      <c r="E150">
        <v>60</v>
      </c>
      <c r="F150" s="2">
        <v>18</v>
      </c>
    </row>
    <row r="151" spans="2:6" x14ac:dyDescent="0.3">
      <c r="B151" s="2">
        <v>149</v>
      </c>
      <c r="C151" s="5" t="s">
        <v>9</v>
      </c>
      <c r="D151" s="5" t="s">
        <v>157</v>
      </c>
      <c r="E151">
        <v>75</v>
      </c>
      <c r="F151" s="2">
        <v>22</v>
      </c>
    </row>
    <row r="152" spans="2:6" x14ac:dyDescent="0.3">
      <c r="B152" s="2">
        <v>150</v>
      </c>
      <c r="C152" s="5" t="s">
        <v>11</v>
      </c>
      <c r="D152" s="5" t="s">
        <v>158</v>
      </c>
      <c r="E152">
        <v>120</v>
      </c>
      <c r="F152" s="2">
        <v>58</v>
      </c>
    </row>
    <row r="153" spans="2:6" x14ac:dyDescent="0.3">
      <c r="B153" s="2">
        <v>151</v>
      </c>
      <c r="C153" s="5" t="s">
        <v>9</v>
      </c>
      <c r="D153" s="5" t="s">
        <v>159</v>
      </c>
      <c r="E153">
        <v>50</v>
      </c>
      <c r="F153" s="2">
        <v>29</v>
      </c>
    </row>
    <row r="154" spans="2:6" x14ac:dyDescent="0.3">
      <c r="B154" s="2">
        <v>152</v>
      </c>
      <c r="C154" s="5" t="s">
        <v>11</v>
      </c>
      <c r="D154" s="5" t="s">
        <v>160</v>
      </c>
      <c r="E154">
        <v>2000</v>
      </c>
      <c r="F154" s="2">
        <v>43</v>
      </c>
    </row>
    <row r="155" spans="2:6" x14ac:dyDescent="0.3">
      <c r="B155" s="2">
        <v>153</v>
      </c>
      <c r="C155" s="5" t="s">
        <v>11</v>
      </c>
      <c r="D155" s="5" t="s">
        <v>161</v>
      </c>
      <c r="E155">
        <v>1000</v>
      </c>
      <c r="F155" s="2">
        <v>63</v>
      </c>
    </row>
    <row r="156" spans="2:6" x14ac:dyDescent="0.3">
      <c r="B156" s="2">
        <v>154</v>
      </c>
      <c r="C156" s="5" t="s">
        <v>11</v>
      </c>
      <c r="D156" s="5" t="s">
        <v>162</v>
      </c>
      <c r="E156">
        <v>900</v>
      </c>
      <c r="F156" s="2">
        <v>51</v>
      </c>
    </row>
    <row r="157" spans="2:6" x14ac:dyDescent="0.3">
      <c r="B157" s="2">
        <v>155</v>
      </c>
      <c r="C157" s="5" t="s">
        <v>11</v>
      </c>
      <c r="D157" s="5" t="s">
        <v>163</v>
      </c>
      <c r="E157">
        <v>2000</v>
      </c>
      <c r="F157" s="2">
        <v>31</v>
      </c>
    </row>
    <row r="158" spans="2:6" x14ac:dyDescent="0.3">
      <c r="B158" s="2">
        <v>156</v>
      </c>
      <c r="C158" s="5" t="s">
        <v>9</v>
      </c>
      <c r="D158" s="5" t="s">
        <v>164</v>
      </c>
      <c r="E158">
        <v>100</v>
      </c>
      <c r="F158" s="2">
        <v>43</v>
      </c>
    </row>
    <row r="159" spans="2:6" x14ac:dyDescent="0.3">
      <c r="B159" s="2">
        <v>157</v>
      </c>
      <c r="C159" s="5" t="s">
        <v>11</v>
      </c>
      <c r="D159" s="5" t="s">
        <v>165</v>
      </c>
      <c r="E159">
        <v>2000</v>
      </c>
      <c r="F159" s="2">
        <v>62</v>
      </c>
    </row>
    <row r="160" spans="2:6" x14ac:dyDescent="0.3">
      <c r="B160" s="2">
        <v>158</v>
      </c>
      <c r="C160" s="5" t="s">
        <v>11</v>
      </c>
      <c r="D160" s="5" t="s">
        <v>166</v>
      </c>
      <c r="E160">
        <v>600</v>
      </c>
      <c r="F160" s="2">
        <v>44</v>
      </c>
    </row>
    <row r="161" spans="2:6" x14ac:dyDescent="0.3">
      <c r="B161" s="2">
        <v>159</v>
      </c>
      <c r="C161" s="5" t="s">
        <v>9</v>
      </c>
      <c r="D161" s="5" t="s">
        <v>167</v>
      </c>
      <c r="E161">
        <v>200</v>
      </c>
      <c r="F161" s="2">
        <v>26</v>
      </c>
    </row>
    <row r="162" spans="2:6" x14ac:dyDescent="0.3">
      <c r="B162" s="2">
        <v>160</v>
      </c>
      <c r="C162" s="5" t="s">
        <v>9</v>
      </c>
      <c r="D162" s="5" t="s">
        <v>168</v>
      </c>
      <c r="E162">
        <v>100</v>
      </c>
      <c r="F162" s="2">
        <v>43</v>
      </c>
    </row>
    <row r="163" spans="2:6" x14ac:dyDescent="0.3">
      <c r="B163" s="2">
        <v>161</v>
      </c>
      <c r="C163" s="5" t="s">
        <v>6</v>
      </c>
      <c r="D163" s="5" t="s">
        <v>169</v>
      </c>
      <c r="E163">
        <v>1000</v>
      </c>
      <c r="F163" s="2">
        <v>64</v>
      </c>
    </row>
    <row r="164" spans="2:6" x14ac:dyDescent="0.3">
      <c r="B164" s="2">
        <v>162</v>
      </c>
      <c r="C164" s="5" t="s">
        <v>9</v>
      </c>
      <c r="D164" s="5" t="s">
        <v>170</v>
      </c>
      <c r="E164">
        <v>60</v>
      </c>
      <c r="F164" s="2">
        <v>39</v>
      </c>
    </row>
    <row r="165" spans="2:6" x14ac:dyDescent="0.3">
      <c r="B165" s="2">
        <v>163</v>
      </c>
      <c r="C165" s="5" t="s">
        <v>9</v>
      </c>
      <c r="D165" s="5" t="s">
        <v>171</v>
      </c>
      <c r="E165">
        <v>150</v>
      </c>
      <c r="F165" s="2">
        <v>64</v>
      </c>
    </row>
    <row r="166" spans="2:6" x14ac:dyDescent="0.3">
      <c r="B166" s="2">
        <v>164</v>
      </c>
      <c r="C166" s="5" t="s">
        <v>6</v>
      </c>
      <c r="D166" s="5" t="s">
        <v>172</v>
      </c>
      <c r="E166">
        <v>1500</v>
      </c>
      <c r="F166" s="2">
        <v>47</v>
      </c>
    </row>
    <row r="167" spans="2:6" x14ac:dyDescent="0.3">
      <c r="B167" s="2">
        <v>165</v>
      </c>
      <c r="C167" s="5" t="s">
        <v>9</v>
      </c>
      <c r="D167" s="5" t="s">
        <v>173</v>
      </c>
      <c r="E167">
        <v>1200</v>
      </c>
      <c r="F167" s="2">
        <v>60</v>
      </c>
    </row>
    <row r="168" spans="2:6" x14ac:dyDescent="0.3">
      <c r="B168" s="2">
        <v>166</v>
      </c>
      <c r="C168" s="5" t="s">
        <v>9</v>
      </c>
      <c r="D168" s="5" t="s">
        <v>174</v>
      </c>
      <c r="E168">
        <v>2000</v>
      </c>
      <c r="F168" s="2">
        <v>34</v>
      </c>
    </row>
    <row r="169" spans="2:6" x14ac:dyDescent="0.3">
      <c r="B169" s="2">
        <v>167</v>
      </c>
      <c r="C169" s="5" t="s">
        <v>9</v>
      </c>
      <c r="D169" s="5" t="s">
        <v>175</v>
      </c>
      <c r="E169">
        <v>150</v>
      </c>
      <c r="F169" s="2">
        <v>43</v>
      </c>
    </row>
    <row r="170" spans="2:6" x14ac:dyDescent="0.3">
      <c r="B170" s="2">
        <v>168</v>
      </c>
      <c r="C170" s="5" t="s">
        <v>9</v>
      </c>
      <c r="D170" s="5" t="s">
        <v>176</v>
      </c>
      <c r="E170">
        <v>300</v>
      </c>
      <c r="F170" s="2">
        <v>53</v>
      </c>
    </row>
    <row r="171" spans="2:6" x14ac:dyDescent="0.3">
      <c r="B171" s="2">
        <v>169</v>
      </c>
      <c r="C171" s="5" t="s">
        <v>6</v>
      </c>
      <c r="D171" s="5" t="s">
        <v>177</v>
      </c>
      <c r="E171">
        <v>1500</v>
      </c>
      <c r="F171" s="2">
        <v>18</v>
      </c>
    </row>
    <row r="172" spans="2:6" x14ac:dyDescent="0.3">
      <c r="B172" s="2">
        <v>170</v>
      </c>
      <c r="C172" s="5" t="s">
        <v>9</v>
      </c>
      <c r="D172" s="5" t="s">
        <v>178</v>
      </c>
      <c r="E172">
        <v>50</v>
      </c>
      <c r="F172" s="2">
        <v>25</v>
      </c>
    </row>
    <row r="173" spans="2:6" x14ac:dyDescent="0.3">
      <c r="B173" s="2">
        <v>171</v>
      </c>
      <c r="C173" s="5" t="s">
        <v>9</v>
      </c>
      <c r="D173" s="5" t="s">
        <v>179</v>
      </c>
      <c r="E173">
        <v>900</v>
      </c>
      <c r="F173" s="2">
        <v>52</v>
      </c>
    </row>
    <row r="174" spans="2:6" x14ac:dyDescent="0.3">
      <c r="B174" s="2">
        <v>172</v>
      </c>
      <c r="C174" s="5" t="s">
        <v>6</v>
      </c>
      <c r="D174" s="5" t="s">
        <v>180</v>
      </c>
      <c r="E174">
        <v>50</v>
      </c>
      <c r="F174" s="2">
        <v>32</v>
      </c>
    </row>
    <row r="175" spans="2:6" x14ac:dyDescent="0.3">
      <c r="B175" s="2">
        <v>173</v>
      </c>
      <c r="C175" s="5" t="s">
        <v>11</v>
      </c>
      <c r="D175" s="5" t="s">
        <v>181</v>
      </c>
      <c r="E175">
        <v>120</v>
      </c>
      <c r="F175" s="2">
        <v>64</v>
      </c>
    </row>
    <row r="176" spans="2:6" x14ac:dyDescent="0.3">
      <c r="B176" s="2">
        <v>174</v>
      </c>
      <c r="C176" s="5" t="s">
        <v>6</v>
      </c>
      <c r="D176" s="5" t="s">
        <v>182</v>
      </c>
      <c r="E176">
        <v>300</v>
      </c>
      <c r="F176" s="2">
        <v>39</v>
      </c>
    </row>
    <row r="177" spans="2:6" x14ac:dyDescent="0.3">
      <c r="B177" s="2">
        <v>175</v>
      </c>
      <c r="C177" s="5" t="s">
        <v>11</v>
      </c>
      <c r="D177" s="5" t="s">
        <v>183</v>
      </c>
      <c r="E177">
        <v>100</v>
      </c>
      <c r="F177" s="2">
        <v>31</v>
      </c>
    </row>
    <row r="178" spans="2:6" x14ac:dyDescent="0.3">
      <c r="B178" s="2">
        <v>176</v>
      </c>
      <c r="C178" s="5" t="s">
        <v>6</v>
      </c>
      <c r="D178" s="5" t="s">
        <v>184</v>
      </c>
      <c r="E178">
        <v>100</v>
      </c>
      <c r="F178" s="2">
        <v>43</v>
      </c>
    </row>
    <row r="179" spans="2:6" x14ac:dyDescent="0.3">
      <c r="B179" s="2">
        <v>177</v>
      </c>
      <c r="C179" s="5" t="s">
        <v>6</v>
      </c>
      <c r="D179" s="5" t="s">
        <v>185</v>
      </c>
      <c r="E179">
        <v>100</v>
      </c>
      <c r="F179" s="2">
        <v>45</v>
      </c>
    </row>
    <row r="180" spans="2:6" x14ac:dyDescent="0.3">
      <c r="B180" s="2">
        <v>178</v>
      </c>
      <c r="C180" s="5" t="s">
        <v>9</v>
      </c>
      <c r="D180" s="5" t="s">
        <v>186</v>
      </c>
      <c r="E180">
        <v>60</v>
      </c>
      <c r="F180" s="2">
        <v>40</v>
      </c>
    </row>
    <row r="181" spans="2:6" x14ac:dyDescent="0.3">
      <c r="B181" s="2">
        <v>179</v>
      </c>
      <c r="C181" s="5" t="s">
        <v>11</v>
      </c>
      <c r="D181" s="5" t="s">
        <v>187</v>
      </c>
      <c r="E181">
        <v>300</v>
      </c>
      <c r="F181" s="2">
        <v>31</v>
      </c>
    </row>
    <row r="182" spans="2:6" x14ac:dyDescent="0.3">
      <c r="B182" s="2">
        <v>180</v>
      </c>
      <c r="C182" s="5" t="s">
        <v>9</v>
      </c>
      <c r="D182" s="5" t="s">
        <v>188</v>
      </c>
      <c r="E182">
        <v>900</v>
      </c>
      <c r="F182" s="2">
        <v>41</v>
      </c>
    </row>
    <row r="183" spans="2:6" x14ac:dyDescent="0.3">
      <c r="B183" s="2">
        <v>181</v>
      </c>
      <c r="C183" s="5" t="s">
        <v>11</v>
      </c>
      <c r="D183" s="5" t="s">
        <v>189</v>
      </c>
      <c r="E183">
        <v>1200</v>
      </c>
      <c r="F183" s="2">
        <v>19</v>
      </c>
    </row>
    <row r="184" spans="2:6" x14ac:dyDescent="0.3">
      <c r="B184" s="2">
        <v>182</v>
      </c>
      <c r="C184" s="5" t="s">
        <v>6</v>
      </c>
      <c r="D184" s="5" t="s">
        <v>190</v>
      </c>
      <c r="E184">
        <v>120</v>
      </c>
      <c r="F184" s="2">
        <v>62</v>
      </c>
    </row>
    <row r="185" spans="2:6" x14ac:dyDescent="0.3">
      <c r="B185" s="2">
        <v>183</v>
      </c>
      <c r="C185" s="5" t="s">
        <v>6</v>
      </c>
      <c r="D185" s="5" t="s">
        <v>191</v>
      </c>
      <c r="E185">
        <v>900</v>
      </c>
      <c r="F185" s="2">
        <v>43</v>
      </c>
    </row>
    <row r="186" spans="2:6" x14ac:dyDescent="0.3">
      <c r="B186" s="2">
        <v>184</v>
      </c>
      <c r="C186" s="5" t="s">
        <v>11</v>
      </c>
      <c r="D186" s="5" t="s">
        <v>192</v>
      </c>
      <c r="E186">
        <v>200</v>
      </c>
      <c r="F186" s="2">
        <v>31</v>
      </c>
    </row>
    <row r="187" spans="2:6" x14ac:dyDescent="0.3">
      <c r="B187" s="2">
        <v>185</v>
      </c>
      <c r="C187" s="5" t="s">
        <v>9</v>
      </c>
      <c r="D187" s="5" t="s">
        <v>193</v>
      </c>
      <c r="E187">
        <v>25</v>
      </c>
      <c r="F187" s="2">
        <v>24</v>
      </c>
    </row>
    <row r="188" spans="2:6" x14ac:dyDescent="0.3">
      <c r="B188" s="2">
        <v>186</v>
      </c>
      <c r="C188" s="5" t="s">
        <v>9</v>
      </c>
      <c r="D188" s="5" t="s">
        <v>194</v>
      </c>
      <c r="E188">
        <v>200</v>
      </c>
      <c r="F188" s="2">
        <v>20</v>
      </c>
    </row>
    <row r="189" spans="2:6" x14ac:dyDescent="0.3">
      <c r="B189" s="2">
        <v>187</v>
      </c>
      <c r="C189" s="5" t="s">
        <v>9</v>
      </c>
      <c r="D189" s="5" t="s">
        <v>195</v>
      </c>
      <c r="E189">
        <v>100</v>
      </c>
      <c r="F189" s="2">
        <v>64</v>
      </c>
    </row>
    <row r="190" spans="2:6" x14ac:dyDescent="0.3">
      <c r="B190" s="2">
        <v>188</v>
      </c>
      <c r="C190" s="5" t="s">
        <v>9</v>
      </c>
      <c r="D190" s="5" t="s">
        <v>196</v>
      </c>
      <c r="E190">
        <v>75</v>
      </c>
      <c r="F190" s="2">
        <v>40</v>
      </c>
    </row>
    <row r="191" spans="2:6" x14ac:dyDescent="0.3">
      <c r="B191" s="2">
        <v>189</v>
      </c>
      <c r="C191" s="5" t="s">
        <v>6</v>
      </c>
      <c r="D191" s="5" t="s">
        <v>197</v>
      </c>
      <c r="E191">
        <v>50</v>
      </c>
      <c r="F191" s="2">
        <v>63</v>
      </c>
    </row>
    <row r="192" spans="2:6" x14ac:dyDescent="0.3">
      <c r="B192" s="2">
        <v>190</v>
      </c>
      <c r="C192" s="5" t="s">
        <v>6</v>
      </c>
      <c r="D192" s="5" t="s">
        <v>198</v>
      </c>
      <c r="E192">
        <v>90</v>
      </c>
      <c r="F192" s="2">
        <v>60</v>
      </c>
    </row>
    <row r="193" spans="2:6" x14ac:dyDescent="0.3">
      <c r="B193" s="2">
        <v>191</v>
      </c>
      <c r="C193" s="5" t="s">
        <v>6</v>
      </c>
      <c r="D193" s="5" t="s">
        <v>199</v>
      </c>
      <c r="E193">
        <v>25</v>
      </c>
      <c r="F193" s="2">
        <v>64</v>
      </c>
    </row>
    <row r="194" spans="2:6" x14ac:dyDescent="0.3">
      <c r="B194" s="2">
        <v>192</v>
      </c>
      <c r="C194" s="5" t="s">
        <v>6</v>
      </c>
      <c r="D194" s="5" t="s">
        <v>200</v>
      </c>
      <c r="E194">
        <v>100</v>
      </c>
      <c r="F194" s="2">
        <v>62</v>
      </c>
    </row>
    <row r="195" spans="2:6" x14ac:dyDescent="0.3">
      <c r="B195" s="2">
        <v>193</v>
      </c>
      <c r="C195" s="5" t="s">
        <v>6</v>
      </c>
      <c r="D195" s="5" t="s">
        <v>201</v>
      </c>
      <c r="E195">
        <v>1500</v>
      </c>
      <c r="F195" s="2">
        <v>35</v>
      </c>
    </row>
    <row r="196" spans="2:6" x14ac:dyDescent="0.3">
      <c r="B196" s="2">
        <v>194</v>
      </c>
      <c r="C196" s="5" t="s">
        <v>9</v>
      </c>
      <c r="D196" s="5" t="s">
        <v>202</v>
      </c>
      <c r="E196">
        <v>200</v>
      </c>
      <c r="F196" s="2">
        <v>55</v>
      </c>
    </row>
    <row r="197" spans="2:6" x14ac:dyDescent="0.3">
      <c r="B197" s="2">
        <v>195</v>
      </c>
      <c r="C197" s="5" t="s">
        <v>9</v>
      </c>
      <c r="D197" s="5" t="s">
        <v>203</v>
      </c>
      <c r="E197">
        <v>30</v>
      </c>
      <c r="F197" s="2">
        <v>52</v>
      </c>
    </row>
    <row r="198" spans="2:6" x14ac:dyDescent="0.3">
      <c r="B198" s="2">
        <v>196</v>
      </c>
      <c r="C198" s="5" t="s">
        <v>9</v>
      </c>
      <c r="D198" s="5" t="s">
        <v>204</v>
      </c>
      <c r="E198">
        <v>900</v>
      </c>
      <c r="F198" s="2">
        <v>32</v>
      </c>
    </row>
    <row r="199" spans="2:6" x14ac:dyDescent="0.3">
      <c r="B199" s="2">
        <v>197</v>
      </c>
      <c r="C199" s="5" t="s">
        <v>9</v>
      </c>
      <c r="D199" s="5" t="s">
        <v>205</v>
      </c>
      <c r="E199">
        <v>200</v>
      </c>
      <c r="F199" s="2">
        <v>42</v>
      </c>
    </row>
    <row r="200" spans="2:6" x14ac:dyDescent="0.3">
      <c r="B200" s="2">
        <v>198</v>
      </c>
      <c r="C200" s="5" t="s">
        <v>6</v>
      </c>
      <c r="D200" s="5" t="s">
        <v>206</v>
      </c>
      <c r="E200">
        <v>900</v>
      </c>
      <c r="F200" s="2">
        <v>54</v>
      </c>
    </row>
    <row r="201" spans="2:6" x14ac:dyDescent="0.3">
      <c r="B201" s="2">
        <v>199</v>
      </c>
      <c r="C201" s="5" t="s">
        <v>6</v>
      </c>
      <c r="D201" s="5" t="s">
        <v>207</v>
      </c>
      <c r="E201">
        <v>1500</v>
      </c>
      <c r="F201" s="2">
        <v>45</v>
      </c>
    </row>
    <row r="202" spans="2:6" x14ac:dyDescent="0.3">
      <c r="B202" s="2">
        <v>200</v>
      </c>
      <c r="C202" s="5" t="s">
        <v>6</v>
      </c>
      <c r="D202" s="5" t="s">
        <v>208</v>
      </c>
      <c r="E202">
        <v>150</v>
      </c>
      <c r="F202" s="2">
        <v>27</v>
      </c>
    </row>
    <row r="203" spans="2:6" x14ac:dyDescent="0.3">
      <c r="B203" s="2">
        <v>201</v>
      </c>
      <c r="C203" s="5" t="s">
        <v>11</v>
      </c>
      <c r="D203" s="5" t="s">
        <v>209</v>
      </c>
      <c r="E203">
        <v>25</v>
      </c>
      <c r="F203" s="2">
        <v>56</v>
      </c>
    </row>
    <row r="204" spans="2:6" x14ac:dyDescent="0.3">
      <c r="B204" s="2">
        <v>202</v>
      </c>
      <c r="C204" s="5" t="s">
        <v>9</v>
      </c>
      <c r="D204" s="5" t="s">
        <v>210</v>
      </c>
      <c r="E204">
        <v>1200</v>
      </c>
      <c r="F204" s="2">
        <v>34</v>
      </c>
    </row>
    <row r="205" spans="2:6" x14ac:dyDescent="0.3">
      <c r="B205" s="2">
        <v>203</v>
      </c>
      <c r="C205" s="5" t="s">
        <v>9</v>
      </c>
      <c r="D205" s="5" t="s">
        <v>211</v>
      </c>
      <c r="E205">
        <v>1000</v>
      </c>
      <c r="F205" s="2">
        <v>56</v>
      </c>
    </row>
    <row r="206" spans="2:6" x14ac:dyDescent="0.3">
      <c r="B206" s="2">
        <v>204</v>
      </c>
      <c r="C206" s="5" t="s">
        <v>6</v>
      </c>
      <c r="D206" s="5" t="s">
        <v>212</v>
      </c>
      <c r="E206">
        <v>25</v>
      </c>
      <c r="F206" s="2">
        <v>39</v>
      </c>
    </row>
    <row r="207" spans="2:6" x14ac:dyDescent="0.3">
      <c r="B207" s="2">
        <v>205</v>
      </c>
      <c r="C207" s="5" t="s">
        <v>9</v>
      </c>
      <c r="D207" s="5" t="s">
        <v>213</v>
      </c>
      <c r="E207">
        <v>25</v>
      </c>
      <c r="F207" s="2">
        <v>43</v>
      </c>
    </row>
    <row r="208" spans="2:6" x14ac:dyDescent="0.3">
      <c r="B208" s="2">
        <v>206</v>
      </c>
      <c r="C208" s="5" t="s">
        <v>9</v>
      </c>
      <c r="D208" s="5" t="s">
        <v>214</v>
      </c>
      <c r="E208">
        <v>25</v>
      </c>
      <c r="F208" s="2">
        <v>61</v>
      </c>
    </row>
    <row r="209" spans="2:6" x14ac:dyDescent="0.3">
      <c r="B209" s="2">
        <v>207</v>
      </c>
      <c r="C209" s="5" t="s">
        <v>6</v>
      </c>
      <c r="D209" s="5" t="s">
        <v>215</v>
      </c>
      <c r="E209">
        <v>50</v>
      </c>
      <c r="F209" s="2">
        <v>42</v>
      </c>
    </row>
    <row r="210" spans="2:6" x14ac:dyDescent="0.3">
      <c r="B210" s="2">
        <v>208</v>
      </c>
      <c r="C210" s="5" t="s">
        <v>11</v>
      </c>
      <c r="D210" s="5" t="s">
        <v>216</v>
      </c>
      <c r="E210">
        <v>200</v>
      </c>
      <c r="F210" s="2">
        <v>34</v>
      </c>
    </row>
    <row r="211" spans="2:6" x14ac:dyDescent="0.3">
      <c r="B211" s="2">
        <v>209</v>
      </c>
      <c r="C211" s="5" t="s">
        <v>11</v>
      </c>
      <c r="D211" s="5" t="s">
        <v>217</v>
      </c>
      <c r="E211">
        <v>200</v>
      </c>
      <c r="F211" s="2">
        <v>30</v>
      </c>
    </row>
    <row r="212" spans="2:6" x14ac:dyDescent="0.3">
      <c r="B212" s="2">
        <v>210</v>
      </c>
      <c r="C212" s="5" t="s">
        <v>11</v>
      </c>
      <c r="D212" s="5" t="s">
        <v>218</v>
      </c>
      <c r="E212">
        <v>200</v>
      </c>
      <c r="F212" s="2">
        <v>37</v>
      </c>
    </row>
    <row r="213" spans="2:6" x14ac:dyDescent="0.3">
      <c r="B213" s="2">
        <v>211</v>
      </c>
      <c r="C213" s="5" t="s">
        <v>6</v>
      </c>
      <c r="D213" s="5" t="s">
        <v>219</v>
      </c>
      <c r="E213">
        <v>1500</v>
      </c>
      <c r="F213" s="2">
        <v>42</v>
      </c>
    </row>
    <row r="214" spans="2:6" x14ac:dyDescent="0.3">
      <c r="B214" s="2">
        <v>212</v>
      </c>
      <c r="C214" s="5" t="s">
        <v>9</v>
      </c>
      <c r="D214" s="5" t="s">
        <v>220</v>
      </c>
      <c r="E214">
        <v>1500</v>
      </c>
      <c r="F214" s="2">
        <v>21</v>
      </c>
    </row>
    <row r="215" spans="2:6" x14ac:dyDescent="0.3">
      <c r="B215" s="2">
        <v>213</v>
      </c>
      <c r="C215" s="5" t="s">
        <v>6</v>
      </c>
      <c r="D215" s="5" t="s">
        <v>221</v>
      </c>
      <c r="E215">
        <v>1500</v>
      </c>
      <c r="F215" s="2">
        <v>27</v>
      </c>
    </row>
    <row r="216" spans="2:6" x14ac:dyDescent="0.3">
      <c r="B216" s="2">
        <v>214</v>
      </c>
      <c r="C216" s="5" t="s">
        <v>6</v>
      </c>
      <c r="D216" s="5" t="s">
        <v>222</v>
      </c>
      <c r="E216">
        <v>60</v>
      </c>
      <c r="F216" s="2">
        <v>20</v>
      </c>
    </row>
    <row r="217" spans="2:6" x14ac:dyDescent="0.3">
      <c r="B217" s="2">
        <v>215</v>
      </c>
      <c r="C217" s="5" t="s">
        <v>9</v>
      </c>
      <c r="D217" s="5" t="s">
        <v>223</v>
      </c>
      <c r="E217">
        <v>1500</v>
      </c>
      <c r="F217" s="2">
        <v>58</v>
      </c>
    </row>
    <row r="218" spans="2:6" x14ac:dyDescent="0.3">
      <c r="B218" s="2">
        <v>216</v>
      </c>
      <c r="C218" s="5" t="s">
        <v>11</v>
      </c>
      <c r="D218" s="5" t="s">
        <v>224</v>
      </c>
      <c r="E218">
        <v>100</v>
      </c>
      <c r="F218" s="2">
        <v>62</v>
      </c>
    </row>
    <row r="219" spans="2:6" x14ac:dyDescent="0.3">
      <c r="B219" s="2">
        <v>217</v>
      </c>
      <c r="C219" s="5" t="s">
        <v>11</v>
      </c>
      <c r="D219" s="5" t="s">
        <v>225</v>
      </c>
      <c r="E219">
        <v>200</v>
      </c>
      <c r="F219" s="2">
        <v>35</v>
      </c>
    </row>
    <row r="220" spans="2:6" x14ac:dyDescent="0.3">
      <c r="B220" s="2">
        <v>218</v>
      </c>
      <c r="C220" s="5" t="s">
        <v>6</v>
      </c>
      <c r="D220" s="5" t="s">
        <v>226</v>
      </c>
      <c r="E220">
        <v>90</v>
      </c>
      <c r="F220" s="2">
        <v>64</v>
      </c>
    </row>
    <row r="221" spans="2:6" x14ac:dyDescent="0.3">
      <c r="B221" s="2">
        <v>219</v>
      </c>
      <c r="C221" s="5" t="s">
        <v>11</v>
      </c>
      <c r="D221" s="5" t="s">
        <v>227</v>
      </c>
      <c r="E221">
        <v>90</v>
      </c>
      <c r="F221" s="2">
        <v>53</v>
      </c>
    </row>
    <row r="222" spans="2:6" x14ac:dyDescent="0.3">
      <c r="B222" s="2">
        <v>220</v>
      </c>
      <c r="C222" s="5" t="s">
        <v>6</v>
      </c>
      <c r="D222" s="5" t="s">
        <v>228</v>
      </c>
      <c r="E222">
        <v>500</v>
      </c>
      <c r="F222" s="2">
        <v>64</v>
      </c>
    </row>
    <row r="223" spans="2:6" x14ac:dyDescent="0.3">
      <c r="B223" s="2">
        <v>221</v>
      </c>
      <c r="C223" s="5" t="s">
        <v>6</v>
      </c>
      <c r="D223" s="5" t="s">
        <v>229</v>
      </c>
      <c r="E223">
        <v>600</v>
      </c>
      <c r="F223" s="2">
        <v>39</v>
      </c>
    </row>
    <row r="224" spans="2:6" x14ac:dyDescent="0.3">
      <c r="B224" s="2">
        <v>222</v>
      </c>
      <c r="C224" s="5" t="s">
        <v>9</v>
      </c>
      <c r="D224" s="5" t="s">
        <v>230</v>
      </c>
      <c r="E224">
        <v>120</v>
      </c>
      <c r="F224" s="2">
        <v>51</v>
      </c>
    </row>
    <row r="225" spans="2:6" x14ac:dyDescent="0.3">
      <c r="B225" s="2">
        <v>223</v>
      </c>
      <c r="C225" s="5" t="s">
        <v>9</v>
      </c>
      <c r="D225" s="5" t="s">
        <v>231</v>
      </c>
      <c r="E225">
        <v>25</v>
      </c>
      <c r="F225" s="2">
        <v>64</v>
      </c>
    </row>
    <row r="226" spans="2:6" x14ac:dyDescent="0.3">
      <c r="B226" s="2">
        <v>224</v>
      </c>
      <c r="C226" s="5" t="s">
        <v>9</v>
      </c>
      <c r="D226" s="5" t="s">
        <v>232</v>
      </c>
      <c r="E226">
        <v>50</v>
      </c>
      <c r="F226" s="2">
        <v>25</v>
      </c>
    </row>
    <row r="227" spans="2:6" x14ac:dyDescent="0.3">
      <c r="B227" s="2">
        <v>225</v>
      </c>
      <c r="C227" s="5" t="s">
        <v>6</v>
      </c>
      <c r="D227" s="5" t="s">
        <v>233</v>
      </c>
      <c r="E227">
        <v>100</v>
      </c>
      <c r="F227" s="2">
        <v>57</v>
      </c>
    </row>
    <row r="228" spans="2:6" x14ac:dyDescent="0.3">
      <c r="B228" s="2">
        <v>226</v>
      </c>
      <c r="C228" s="5" t="s">
        <v>9</v>
      </c>
      <c r="D228" s="5" t="s">
        <v>234</v>
      </c>
      <c r="E228">
        <v>50</v>
      </c>
      <c r="F228" s="2">
        <v>61</v>
      </c>
    </row>
    <row r="229" spans="2:6" x14ac:dyDescent="0.3">
      <c r="B229" s="2">
        <v>227</v>
      </c>
      <c r="C229" s="5" t="s">
        <v>11</v>
      </c>
      <c r="D229" s="5" t="s">
        <v>235</v>
      </c>
      <c r="E229">
        <v>100</v>
      </c>
      <c r="F229" s="2">
        <v>36</v>
      </c>
    </row>
    <row r="230" spans="2:6" x14ac:dyDescent="0.3">
      <c r="B230" s="2">
        <v>228</v>
      </c>
      <c r="C230" s="5" t="s">
        <v>11</v>
      </c>
      <c r="D230" s="5" t="s">
        <v>236</v>
      </c>
      <c r="E230">
        <v>60</v>
      </c>
      <c r="F230" s="2">
        <v>59</v>
      </c>
    </row>
    <row r="231" spans="2:6" x14ac:dyDescent="0.3">
      <c r="B231" s="2">
        <v>229</v>
      </c>
      <c r="C231" s="5" t="s">
        <v>6</v>
      </c>
      <c r="D231" s="5" t="s">
        <v>237</v>
      </c>
      <c r="E231">
        <v>90</v>
      </c>
      <c r="F231" s="2">
        <v>58</v>
      </c>
    </row>
    <row r="232" spans="2:6" x14ac:dyDescent="0.3">
      <c r="B232" s="2">
        <v>230</v>
      </c>
      <c r="C232" s="5" t="s">
        <v>6</v>
      </c>
      <c r="D232" s="5" t="s">
        <v>238</v>
      </c>
      <c r="E232">
        <v>25</v>
      </c>
      <c r="F232" s="2">
        <v>54</v>
      </c>
    </row>
    <row r="233" spans="2:6" x14ac:dyDescent="0.3">
      <c r="B233" s="2">
        <v>231</v>
      </c>
      <c r="C233" s="5" t="s">
        <v>9</v>
      </c>
      <c r="D233" s="5" t="s">
        <v>239</v>
      </c>
      <c r="E233">
        <v>150</v>
      </c>
      <c r="F233" s="2">
        <v>23</v>
      </c>
    </row>
    <row r="234" spans="2:6" x14ac:dyDescent="0.3">
      <c r="B234" s="2">
        <v>232</v>
      </c>
      <c r="C234" s="5" t="s">
        <v>6</v>
      </c>
      <c r="D234" s="5" t="s">
        <v>240</v>
      </c>
      <c r="E234">
        <v>25</v>
      </c>
      <c r="F234" s="2">
        <v>43</v>
      </c>
    </row>
    <row r="235" spans="2:6" x14ac:dyDescent="0.3">
      <c r="B235" s="2">
        <v>233</v>
      </c>
      <c r="C235" s="5" t="s">
        <v>6</v>
      </c>
      <c r="D235" s="5" t="s">
        <v>241</v>
      </c>
      <c r="E235">
        <v>600</v>
      </c>
      <c r="F235" s="2">
        <v>51</v>
      </c>
    </row>
    <row r="236" spans="2:6" x14ac:dyDescent="0.3">
      <c r="B236" s="2">
        <v>234</v>
      </c>
      <c r="C236" s="5" t="s">
        <v>11</v>
      </c>
      <c r="D236" s="5" t="s">
        <v>242</v>
      </c>
      <c r="E236">
        <v>50</v>
      </c>
      <c r="F236" s="2">
        <v>62</v>
      </c>
    </row>
    <row r="237" spans="2:6" x14ac:dyDescent="0.3">
      <c r="B237" s="2">
        <v>235</v>
      </c>
      <c r="C237" s="5" t="s">
        <v>11</v>
      </c>
      <c r="D237" s="5" t="s">
        <v>243</v>
      </c>
      <c r="E237">
        <v>1000</v>
      </c>
      <c r="F237" s="2">
        <v>23</v>
      </c>
    </row>
    <row r="238" spans="2:6" x14ac:dyDescent="0.3">
      <c r="B238" s="2">
        <v>236</v>
      </c>
      <c r="C238" s="5" t="s">
        <v>9</v>
      </c>
      <c r="D238" s="5" t="s">
        <v>244</v>
      </c>
      <c r="E238">
        <v>25</v>
      </c>
      <c r="F238" s="2">
        <v>54</v>
      </c>
    </row>
    <row r="239" spans="2:6" x14ac:dyDescent="0.3">
      <c r="B239" s="2">
        <v>237</v>
      </c>
      <c r="C239" s="5" t="s">
        <v>6</v>
      </c>
      <c r="D239" s="5" t="s">
        <v>245</v>
      </c>
      <c r="E239">
        <v>1000</v>
      </c>
      <c r="F239" s="2">
        <v>50</v>
      </c>
    </row>
    <row r="240" spans="2:6" x14ac:dyDescent="0.3">
      <c r="B240" s="2">
        <v>238</v>
      </c>
      <c r="C240" s="5" t="s">
        <v>6</v>
      </c>
      <c r="D240" s="5" t="s">
        <v>246</v>
      </c>
      <c r="E240">
        <v>500</v>
      </c>
      <c r="F240" s="2">
        <v>39</v>
      </c>
    </row>
    <row r="241" spans="2:6" x14ac:dyDescent="0.3">
      <c r="B241" s="2">
        <v>239</v>
      </c>
      <c r="C241" s="5" t="s">
        <v>11</v>
      </c>
      <c r="D241" s="5" t="s">
        <v>247</v>
      </c>
      <c r="E241">
        <v>1500</v>
      </c>
      <c r="F241" s="2">
        <v>38</v>
      </c>
    </row>
    <row r="242" spans="2:6" x14ac:dyDescent="0.3">
      <c r="B242" s="2">
        <v>240</v>
      </c>
      <c r="C242" s="5" t="s">
        <v>6</v>
      </c>
      <c r="D242" s="5" t="s">
        <v>248</v>
      </c>
      <c r="E242">
        <v>300</v>
      </c>
      <c r="F242" s="2">
        <v>23</v>
      </c>
    </row>
    <row r="243" spans="2:6" x14ac:dyDescent="0.3">
      <c r="B243" s="2">
        <v>241</v>
      </c>
      <c r="C243" s="5" t="s">
        <v>11</v>
      </c>
      <c r="D243" s="5" t="s">
        <v>249</v>
      </c>
      <c r="E243">
        <v>75</v>
      </c>
      <c r="F243" s="2">
        <v>23</v>
      </c>
    </row>
    <row r="244" spans="2:6" x14ac:dyDescent="0.3">
      <c r="B244" s="2">
        <v>242</v>
      </c>
      <c r="C244" s="5" t="s">
        <v>9</v>
      </c>
      <c r="D244" s="5" t="s">
        <v>250</v>
      </c>
      <c r="E244">
        <v>25</v>
      </c>
      <c r="F244" s="2">
        <v>21</v>
      </c>
    </row>
    <row r="245" spans="2:6" x14ac:dyDescent="0.3">
      <c r="B245" s="2">
        <v>243</v>
      </c>
      <c r="C245" s="5" t="s">
        <v>11</v>
      </c>
      <c r="D245" s="5" t="s">
        <v>251</v>
      </c>
      <c r="E245">
        <v>900</v>
      </c>
      <c r="F245" s="2">
        <v>47</v>
      </c>
    </row>
    <row r="246" spans="2:6" x14ac:dyDescent="0.3">
      <c r="B246" s="2">
        <v>244</v>
      </c>
      <c r="C246" s="5" t="s">
        <v>6</v>
      </c>
      <c r="D246" s="5" t="s">
        <v>252</v>
      </c>
      <c r="E246">
        <v>100</v>
      </c>
      <c r="F246" s="2">
        <v>28</v>
      </c>
    </row>
    <row r="247" spans="2:6" x14ac:dyDescent="0.3">
      <c r="B247" s="2">
        <v>245</v>
      </c>
      <c r="C247" s="5" t="s">
        <v>9</v>
      </c>
      <c r="D247" s="5" t="s">
        <v>253</v>
      </c>
      <c r="E247">
        <v>90</v>
      </c>
      <c r="F247" s="2">
        <v>47</v>
      </c>
    </row>
    <row r="248" spans="2:6" x14ac:dyDescent="0.3">
      <c r="B248" s="2">
        <v>246</v>
      </c>
      <c r="C248" s="5" t="s">
        <v>11</v>
      </c>
      <c r="D248" s="5" t="s">
        <v>254</v>
      </c>
      <c r="E248">
        <v>50</v>
      </c>
      <c r="F248" s="2">
        <v>48</v>
      </c>
    </row>
    <row r="249" spans="2:6" x14ac:dyDescent="0.3">
      <c r="B249" s="2">
        <v>247</v>
      </c>
      <c r="C249" s="5" t="s">
        <v>11</v>
      </c>
      <c r="D249" s="5" t="s">
        <v>255</v>
      </c>
      <c r="E249">
        <v>60</v>
      </c>
      <c r="F249" s="2">
        <v>41</v>
      </c>
    </row>
    <row r="250" spans="2:6" x14ac:dyDescent="0.3">
      <c r="B250" s="2">
        <v>248</v>
      </c>
      <c r="C250" s="5" t="s">
        <v>9</v>
      </c>
      <c r="D250" s="5" t="s">
        <v>256</v>
      </c>
      <c r="E250">
        <v>900</v>
      </c>
      <c r="F250" s="2">
        <v>26</v>
      </c>
    </row>
    <row r="251" spans="2:6" x14ac:dyDescent="0.3">
      <c r="B251" s="2">
        <v>249</v>
      </c>
      <c r="C251" s="5" t="s">
        <v>9</v>
      </c>
      <c r="D251" s="5" t="s">
        <v>257</v>
      </c>
      <c r="E251">
        <v>50</v>
      </c>
      <c r="F251" s="2">
        <v>20</v>
      </c>
    </row>
    <row r="252" spans="2:6" x14ac:dyDescent="0.3">
      <c r="B252" s="2">
        <v>250</v>
      </c>
      <c r="C252" s="5" t="s">
        <v>11</v>
      </c>
      <c r="D252" s="5" t="s">
        <v>258</v>
      </c>
      <c r="E252">
        <v>50</v>
      </c>
      <c r="F252" s="2">
        <v>48</v>
      </c>
    </row>
    <row r="253" spans="2:6" x14ac:dyDescent="0.3">
      <c r="B253" s="2">
        <v>251</v>
      </c>
      <c r="C253" s="5" t="s">
        <v>6</v>
      </c>
      <c r="D253" s="5" t="s">
        <v>259</v>
      </c>
      <c r="E253">
        <v>200</v>
      </c>
      <c r="F253" s="2">
        <v>57</v>
      </c>
    </row>
    <row r="254" spans="2:6" x14ac:dyDescent="0.3">
      <c r="B254" s="2">
        <v>252</v>
      </c>
      <c r="C254" s="5" t="s">
        <v>11</v>
      </c>
      <c r="D254" s="5" t="s">
        <v>260</v>
      </c>
      <c r="E254">
        <v>300</v>
      </c>
      <c r="F254" s="2">
        <v>54</v>
      </c>
    </row>
    <row r="255" spans="2:6" x14ac:dyDescent="0.3">
      <c r="B255" s="2">
        <v>253</v>
      </c>
      <c r="C255" s="5" t="s">
        <v>9</v>
      </c>
      <c r="D255" s="5" t="s">
        <v>261</v>
      </c>
      <c r="E255">
        <v>2000</v>
      </c>
      <c r="F255" s="2">
        <v>53</v>
      </c>
    </row>
    <row r="256" spans="2:6" x14ac:dyDescent="0.3">
      <c r="B256" s="2">
        <v>254</v>
      </c>
      <c r="C256" s="5" t="s">
        <v>11</v>
      </c>
      <c r="D256" s="5" t="s">
        <v>262</v>
      </c>
      <c r="E256">
        <v>500</v>
      </c>
      <c r="F256" s="2">
        <v>41</v>
      </c>
    </row>
    <row r="257" spans="2:6" x14ac:dyDescent="0.3">
      <c r="B257" s="2">
        <v>255</v>
      </c>
      <c r="C257" s="5" t="s">
        <v>9</v>
      </c>
      <c r="D257" s="5" t="s">
        <v>263</v>
      </c>
      <c r="E257">
        <v>30</v>
      </c>
      <c r="F257" s="2">
        <v>48</v>
      </c>
    </row>
    <row r="258" spans="2:6" x14ac:dyDescent="0.3">
      <c r="B258" s="2">
        <v>256</v>
      </c>
      <c r="C258" s="5" t="s">
        <v>9</v>
      </c>
      <c r="D258" s="5" t="s">
        <v>264</v>
      </c>
      <c r="E258">
        <v>1000</v>
      </c>
      <c r="F258" s="2">
        <v>23</v>
      </c>
    </row>
    <row r="259" spans="2:6" x14ac:dyDescent="0.3">
      <c r="B259" s="2">
        <v>257</v>
      </c>
      <c r="C259" s="5" t="s">
        <v>6</v>
      </c>
      <c r="D259" s="5" t="s">
        <v>265</v>
      </c>
      <c r="E259">
        <v>2000</v>
      </c>
      <c r="F259" s="2">
        <v>19</v>
      </c>
    </row>
    <row r="260" spans="2:6" x14ac:dyDescent="0.3">
      <c r="B260" s="2">
        <v>258</v>
      </c>
      <c r="C260" s="5" t="s">
        <v>9</v>
      </c>
      <c r="D260" s="5" t="s">
        <v>266</v>
      </c>
      <c r="E260">
        <v>50</v>
      </c>
      <c r="F260" s="2">
        <v>37</v>
      </c>
    </row>
    <row r="261" spans="2:6" x14ac:dyDescent="0.3">
      <c r="B261" s="2">
        <v>259</v>
      </c>
      <c r="C261" s="5" t="s">
        <v>9</v>
      </c>
      <c r="D261" s="5" t="s">
        <v>267</v>
      </c>
      <c r="E261">
        <v>200</v>
      </c>
      <c r="F261" s="2">
        <v>45</v>
      </c>
    </row>
    <row r="262" spans="2:6" x14ac:dyDescent="0.3">
      <c r="B262" s="2">
        <v>260</v>
      </c>
      <c r="C262" s="5" t="s">
        <v>6</v>
      </c>
      <c r="D262" s="5" t="s">
        <v>268</v>
      </c>
      <c r="E262">
        <v>60</v>
      </c>
      <c r="F262" s="2">
        <v>28</v>
      </c>
    </row>
    <row r="263" spans="2:6" x14ac:dyDescent="0.3">
      <c r="B263" s="2">
        <v>261</v>
      </c>
      <c r="C263" s="5" t="s">
        <v>9</v>
      </c>
      <c r="D263" s="5" t="s">
        <v>269</v>
      </c>
      <c r="E263">
        <v>50</v>
      </c>
      <c r="F263" s="2">
        <v>21</v>
      </c>
    </row>
    <row r="264" spans="2:6" x14ac:dyDescent="0.3">
      <c r="B264" s="2">
        <v>262</v>
      </c>
      <c r="C264" s="5" t="s">
        <v>6</v>
      </c>
      <c r="D264" s="5" t="s">
        <v>270</v>
      </c>
      <c r="E264">
        <v>120</v>
      </c>
      <c r="F264" s="2">
        <v>32</v>
      </c>
    </row>
    <row r="265" spans="2:6" x14ac:dyDescent="0.3">
      <c r="B265" s="2">
        <v>263</v>
      </c>
      <c r="C265" s="5" t="s">
        <v>6</v>
      </c>
      <c r="D265" s="5" t="s">
        <v>271</v>
      </c>
      <c r="E265">
        <v>60</v>
      </c>
      <c r="F265" s="2">
        <v>23</v>
      </c>
    </row>
    <row r="266" spans="2:6" x14ac:dyDescent="0.3">
      <c r="B266" s="2">
        <v>264</v>
      </c>
      <c r="C266" s="5" t="s">
        <v>9</v>
      </c>
      <c r="D266" s="5" t="s">
        <v>272</v>
      </c>
      <c r="E266">
        <v>900</v>
      </c>
      <c r="F266" s="2">
        <v>47</v>
      </c>
    </row>
    <row r="267" spans="2:6" x14ac:dyDescent="0.3">
      <c r="B267" s="2">
        <v>265</v>
      </c>
      <c r="C267" s="5" t="s">
        <v>9</v>
      </c>
      <c r="D267" s="5" t="s">
        <v>273</v>
      </c>
      <c r="E267">
        <v>900</v>
      </c>
      <c r="F267" s="2">
        <v>55</v>
      </c>
    </row>
    <row r="268" spans="2:6" x14ac:dyDescent="0.3">
      <c r="B268" s="2">
        <v>266</v>
      </c>
      <c r="C268" s="5" t="s">
        <v>11</v>
      </c>
      <c r="D268" s="5" t="s">
        <v>274</v>
      </c>
      <c r="E268">
        <v>60</v>
      </c>
      <c r="F268" s="2">
        <v>19</v>
      </c>
    </row>
    <row r="269" spans="2:6" x14ac:dyDescent="0.3">
      <c r="B269" s="2">
        <v>267</v>
      </c>
      <c r="C269" s="5" t="s">
        <v>6</v>
      </c>
      <c r="D269" s="5" t="s">
        <v>275</v>
      </c>
      <c r="E269">
        <v>90</v>
      </c>
      <c r="F269" s="2">
        <v>32</v>
      </c>
    </row>
    <row r="270" spans="2:6" x14ac:dyDescent="0.3">
      <c r="B270" s="2">
        <v>268</v>
      </c>
      <c r="C270" s="5" t="s">
        <v>11</v>
      </c>
      <c r="D270" s="5" t="s">
        <v>276</v>
      </c>
      <c r="E270">
        <v>30</v>
      </c>
      <c r="F270" s="2">
        <v>28</v>
      </c>
    </row>
    <row r="271" spans="2:6" x14ac:dyDescent="0.3">
      <c r="B271" s="2">
        <v>269</v>
      </c>
      <c r="C271" s="5" t="s">
        <v>9</v>
      </c>
      <c r="D271" s="5" t="s">
        <v>277</v>
      </c>
      <c r="E271">
        <v>2000</v>
      </c>
      <c r="F271" s="2">
        <v>25</v>
      </c>
    </row>
    <row r="272" spans="2:6" x14ac:dyDescent="0.3">
      <c r="B272" s="2">
        <v>270</v>
      </c>
      <c r="C272" s="5" t="s">
        <v>11</v>
      </c>
      <c r="D272" s="5" t="s">
        <v>278</v>
      </c>
      <c r="E272">
        <v>300</v>
      </c>
      <c r="F272" s="2">
        <v>43</v>
      </c>
    </row>
    <row r="273" spans="2:6" x14ac:dyDescent="0.3">
      <c r="B273" s="2">
        <v>271</v>
      </c>
      <c r="C273" s="5" t="s">
        <v>6</v>
      </c>
      <c r="D273" s="5" t="s">
        <v>279</v>
      </c>
      <c r="E273">
        <v>120</v>
      </c>
      <c r="F273" s="2">
        <v>62</v>
      </c>
    </row>
    <row r="274" spans="2:6" x14ac:dyDescent="0.3">
      <c r="B274" s="2">
        <v>272</v>
      </c>
      <c r="C274" s="5" t="s">
        <v>11</v>
      </c>
      <c r="D274" s="5" t="s">
        <v>280</v>
      </c>
      <c r="E274">
        <v>100</v>
      </c>
      <c r="F274" s="2">
        <v>61</v>
      </c>
    </row>
    <row r="275" spans="2:6" x14ac:dyDescent="0.3">
      <c r="B275" s="2">
        <v>273</v>
      </c>
      <c r="C275" s="5" t="s">
        <v>6</v>
      </c>
      <c r="D275" s="5" t="s">
        <v>281</v>
      </c>
      <c r="E275">
        <v>50</v>
      </c>
      <c r="F275" s="2">
        <v>22</v>
      </c>
    </row>
    <row r="276" spans="2:6" x14ac:dyDescent="0.3">
      <c r="B276" s="2">
        <v>274</v>
      </c>
      <c r="C276" s="5" t="s">
        <v>9</v>
      </c>
      <c r="D276" s="5" t="s">
        <v>282</v>
      </c>
      <c r="E276">
        <v>1000</v>
      </c>
      <c r="F276" s="2">
        <v>23</v>
      </c>
    </row>
    <row r="277" spans="2:6" x14ac:dyDescent="0.3">
      <c r="B277" s="2">
        <v>275</v>
      </c>
      <c r="C277" s="5" t="s">
        <v>9</v>
      </c>
      <c r="D277" s="5" t="s">
        <v>283</v>
      </c>
      <c r="E277">
        <v>1000</v>
      </c>
      <c r="F277" s="2">
        <v>43</v>
      </c>
    </row>
    <row r="278" spans="2:6" x14ac:dyDescent="0.3">
      <c r="B278" s="2">
        <v>276</v>
      </c>
      <c r="C278" s="5" t="s">
        <v>6</v>
      </c>
      <c r="D278" s="5" t="s">
        <v>284</v>
      </c>
      <c r="E278">
        <v>100</v>
      </c>
      <c r="F278" s="2">
        <v>21</v>
      </c>
    </row>
    <row r="279" spans="2:6" x14ac:dyDescent="0.3">
      <c r="B279" s="2">
        <v>277</v>
      </c>
      <c r="C279" s="5" t="s">
        <v>9</v>
      </c>
      <c r="D279" s="5" t="s">
        <v>285</v>
      </c>
      <c r="E279">
        <v>100</v>
      </c>
      <c r="F279" s="2">
        <v>36</v>
      </c>
    </row>
    <row r="280" spans="2:6" x14ac:dyDescent="0.3">
      <c r="B280" s="2">
        <v>278</v>
      </c>
      <c r="C280" s="5" t="s">
        <v>9</v>
      </c>
      <c r="D280" s="5" t="s">
        <v>286</v>
      </c>
      <c r="E280">
        <v>100</v>
      </c>
      <c r="F280" s="2">
        <v>37</v>
      </c>
    </row>
    <row r="281" spans="2:6" x14ac:dyDescent="0.3">
      <c r="B281" s="2">
        <v>279</v>
      </c>
      <c r="C281" s="5" t="s">
        <v>9</v>
      </c>
      <c r="D281" s="5" t="s">
        <v>287</v>
      </c>
      <c r="E281">
        <v>500</v>
      </c>
      <c r="F281" s="2">
        <v>50</v>
      </c>
    </row>
    <row r="282" spans="2:6" x14ac:dyDescent="0.3">
      <c r="B282" s="2">
        <v>280</v>
      </c>
      <c r="C282" s="5" t="s">
        <v>9</v>
      </c>
      <c r="D282" s="5" t="s">
        <v>288</v>
      </c>
      <c r="E282">
        <v>1500</v>
      </c>
      <c r="F282" s="2">
        <v>37</v>
      </c>
    </row>
    <row r="283" spans="2:6" x14ac:dyDescent="0.3">
      <c r="B283" s="2">
        <v>281</v>
      </c>
      <c r="C283" s="5" t="s">
        <v>6</v>
      </c>
      <c r="D283" s="5" t="s">
        <v>289</v>
      </c>
      <c r="E283">
        <v>2000</v>
      </c>
      <c r="F283" s="2">
        <v>29</v>
      </c>
    </row>
    <row r="284" spans="2:6" x14ac:dyDescent="0.3">
      <c r="B284" s="2">
        <v>282</v>
      </c>
      <c r="C284" s="5" t="s">
        <v>11</v>
      </c>
      <c r="D284" s="5" t="s">
        <v>290</v>
      </c>
      <c r="E284">
        <v>200</v>
      </c>
      <c r="F284" s="2">
        <v>64</v>
      </c>
    </row>
    <row r="285" spans="2:6" x14ac:dyDescent="0.3">
      <c r="B285" s="2">
        <v>283</v>
      </c>
      <c r="C285" s="5" t="s">
        <v>11</v>
      </c>
      <c r="D285" s="5" t="s">
        <v>291</v>
      </c>
      <c r="E285">
        <v>500</v>
      </c>
      <c r="F285" s="2">
        <v>18</v>
      </c>
    </row>
    <row r="286" spans="2:6" x14ac:dyDescent="0.3">
      <c r="B286" s="2">
        <v>284</v>
      </c>
      <c r="C286" s="5" t="s">
        <v>9</v>
      </c>
      <c r="D286" s="5" t="s">
        <v>292</v>
      </c>
      <c r="E286">
        <v>200</v>
      </c>
      <c r="F286" s="2">
        <v>43</v>
      </c>
    </row>
    <row r="287" spans="2:6" x14ac:dyDescent="0.3">
      <c r="B287" s="2">
        <v>285</v>
      </c>
      <c r="C287" s="5" t="s">
        <v>11</v>
      </c>
      <c r="D287" s="5" t="s">
        <v>293</v>
      </c>
      <c r="E287">
        <v>25</v>
      </c>
      <c r="F287" s="2">
        <v>31</v>
      </c>
    </row>
    <row r="288" spans="2:6" x14ac:dyDescent="0.3">
      <c r="B288" s="2">
        <v>286</v>
      </c>
      <c r="C288" s="5" t="s">
        <v>11</v>
      </c>
      <c r="D288" s="5" t="s">
        <v>294</v>
      </c>
      <c r="E288">
        <v>50</v>
      </c>
      <c r="F288" s="2">
        <v>55</v>
      </c>
    </row>
    <row r="289" spans="2:6" x14ac:dyDescent="0.3">
      <c r="B289" s="2">
        <v>287</v>
      </c>
      <c r="C289" s="5" t="s">
        <v>9</v>
      </c>
      <c r="D289" s="5" t="s">
        <v>295</v>
      </c>
      <c r="E289">
        <v>100</v>
      </c>
      <c r="F289" s="2">
        <v>54</v>
      </c>
    </row>
    <row r="290" spans="2:6" x14ac:dyDescent="0.3">
      <c r="B290" s="2">
        <v>288</v>
      </c>
      <c r="C290" s="5" t="s">
        <v>9</v>
      </c>
      <c r="D290" s="5" t="s">
        <v>296</v>
      </c>
      <c r="E290">
        <v>120</v>
      </c>
      <c r="F290" s="2">
        <v>28</v>
      </c>
    </row>
    <row r="291" spans="2:6" x14ac:dyDescent="0.3">
      <c r="B291" s="2">
        <v>289</v>
      </c>
      <c r="C291" s="5" t="s">
        <v>11</v>
      </c>
      <c r="D291" s="5" t="s">
        <v>297</v>
      </c>
      <c r="E291">
        <v>60</v>
      </c>
      <c r="F291" s="2">
        <v>53</v>
      </c>
    </row>
    <row r="292" spans="2:6" x14ac:dyDescent="0.3">
      <c r="B292" s="2">
        <v>290</v>
      </c>
      <c r="C292" s="5" t="s">
        <v>6</v>
      </c>
      <c r="D292" s="5" t="s">
        <v>298</v>
      </c>
      <c r="E292">
        <v>600</v>
      </c>
      <c r="F292" s="2">
        <v>30</v>
      </c>
    </row>
    <row r="293" spans="2:6" x14ac:dyDescent="0.3">
      <c r="B293" s="2">
        <v>291</v>
      </c>
      <c r="C293" s="5" t="s">
        <v>9</v>
      </c>
      <c r="D293" s="5" t="s">
        <v>299</v>
      </c>
      <c r="E293">
        <v>600</v>
      </c>
      <c r="F293" s="2">
        <v>60</v>
      </c>
    </row>
    <row r="294" spans="2:6" x14ac:dyDescent="0.3">
      <c r="B294" s="2">
        <v>292</v>
      </c>
      <c r="C294" s="5" t="s">
        <v>6</v>
      </c>
      <c r="D294" s="5" t="s">
        <v>300</v>
      </c>
      <c r="E294">
        <v>1200</v>
      </c>
      <c r="F294" s="2">
        <v>20</v>
      </c>
    </row>
    <row r="295" spans="2:6" x14ac:dyDescent="0.3">
      <c r="B295" s="2">
        <v>293</v>
      </c>
      <c r="C295" s="5" t="s">
        <v>11</v>
      </c>
      <c r="D295" s="5" t="s">
        <v>301</v>
      </c>
      <c r="E295">
        <v>90</v>
      </c>
      <c r="F295" s="2">
        <v>50</v>
      </c>
    </row>
    <row r="296" spans="2:6" x14ac:dyDescent="0.3">
      <c r="B296" s="2">
        <v>294</v>
      </c>
      <c r="C296" s="5" t="s">
        <v>9</v>
      </c>
      <c r="D296" s="5" t="s">
        <v>302</v>
      </c>
      <c r="E296">
        <v>90</v>
      </c>
      <c r="F296" s="2">
        <v>23</v>
      </c>
    </row>
    <row r="297" spans="2:6" x14ac:dyDescent="0.3">
      <c r="B297" s="2">
        <v>295</v>
      </c>
      <c r="C297" s="5" t="s">
        <v>6</v>
      </c>
      <c r="D297" s="5" t="s">
        <v>303</v>
      </c>
      <c r="E297">
        <v>900</v>
      </c>
      <c r="F297" s="2">
        <v>27</v>
      </c>
    </row>
    <row r="298" spans="2:6" x14ac:dyDescent="0.3">
      <c r="B298" s="2">
        <v>296</v>
      </c>
      <c r="C298" s="5" t="s">
        <v>9</v>
      </c>
      <c r="D298" s="5" t="s">
        <v>304</v>
      </c>
      <c r="E298">
        <v>1200</v>
      </c>
      <c r="F298" s="2">
        <v>22</v>
      </c>
    </row>
    <row r="299" spans="2:6" x14ac:dyDescent="0.3">
      <c r="B299" s="2">
        <v>297</v>
      </c>
      <c r="C299" s="5" t="s">
        <v>11</v>
      </c>
      <c r="D299" s="5" t="s">
        <v>305</v>
      </c>
      <c r="E299">
        <v>1000</v>
      </c>
      <c r="F299" s="2">
        <v>40</v>
      </c>
    </row>
    <row r="300" spans="2:6" x14ac:dyDescent="0.3">
      <c r="B300" s="2">
        <v>298</v>
      </c>
      <c r="C300" s="5" t="s">
        <v>6</v>
      </c>
      <c r="D300" s="5" t="s">
        <v>306</v>
      </c>
      <c r="E300">
        <v>1200</v>
      </c>
      <c r="F300" s="2">
        <v>27</v>
      </c>
    </row>
    <row r="301" spans="2:6" x14ac:dyDescent="0.3">
      <c r="B301" s="2">
        <v>299</v>
      </c>
      <c r="C301" s="5" t="s">
        <v>11</v>
      </c>
      <c r="D301" s="5" t="s">
        <v>307</v>
      </c>
      <c r="E301">
        <v>1000</v>
      </c>
      <c r="F301" s="2">
        <v>61</v>
      </c>
    </row>
    <row r="302" spans="2:6" x14ac:dyDescent="0.3">
      <c r="B302" s="2">
        <v>300</v>
      </c>
      <c r="C302" s="5" t="s">
        <v>11</v>
      </c>
      <c r="D302" s="5" t="s">
        <v>308</v>
      </c>
      <c r="E302">
        <v>200</v>
      </c>
      <c r="F302" s="2">
        <v>19</v>
      </c>
    </row>
    <row r="303" spans="2:6" x14ac:dyDescent="0.3">
      <c r="B303" s="2">
        <v>301</v>
      </c>
      <c r="C303" s="5" t="s">
        <v>9</v>
      </c>
      <c r="D303" s="5" t="s">
        <v>309</v>
      </c>
      <c r="E303">
        <v>120</v>
      </c>
      <c r="F303" s="2">
        <v>30</v>
      </c>
    </row>
    <row r="304" spans="2:6" x14ac:dyDescent="0.3">
      <c r="B304" s="2">
        <v>302</v>
      </c>
      <c r="C304" s="5" t="s">
        <v>6</v>
      </c>
      <c r="D304" s="5" t="s">
        <v>310</v>
      </c>
      <c r="E304">
        <v>600</v>
      </c>
      <c r="F304" s="2">
        <v>57</v>
      </c>
    </row>
    <row r="305" spans="2:6" x14ac:dyDescent="0.3">
      <c r="B305" s="2">
        <v>303</v>
      </c>
      <c r="C305" s="5" t="s">
        <v>11</v>
      </c>
      <c r="D305" s="5" t="s">
        <v>311</v>
      </c>
      <c r="E305">
        <v>90</v>
      </c>
      <c r="F305" s="2">
        <v>19</v>
      </c>
    </row>
    <row r="306" spans="2:6" x14ac:dyDescent="0.3">
      <c r="B306" s="2">
        <v>304</v>
      </c>
      <c r="C306" s="5" t="s">
        <v>11</v>
      </c>
      <c r="D306" s="5" t="s">
        <v>312</v>
      </c>
      <c r="E306">
        <v>60</v>
      </c>
      <c r="F306" s="2">
        <v>37</v>
      </c>
    </row>
    <row r="307" spans="2:6" x14ac:dyDescent="0.3">
      <c r="B307" s="2">
        <v>305</v>
      </c>
      <c r="C307" s="5" t="s">
        <v>6</v>
      </c>
      <c r="D307" s="5" t="s">
        <v>313</v>
      </c>
      <c r="E307">
        <v>30</v>
      </c>
      <c r="F307" s="2">
        <v>18</v>
      </c>
    </row>
    <row r="308" spans="2:6" x14ac:dyDescent="0.3">
      <c r="B308" s="2">
        <v>306</v>
      </c>
      <c r="C308" s="5" t="s">
        <v>11</v>
      </c>
      <c r="D308" s="5" t="s">
        <v>314</v>
      </c>
      <c r="E308">
        <v>50</v>
      </c>
      <c r="F308" s="2">
        <v>54</v>
      </c>
    </row>
    <row r="309" spans="2:6" x14ac:dyDescent="0.3">
      <c r="B309" s="2">
        <v>307</v>
      </c>
      <c r="C309" s="5" t="s">
        <v>11</v>
      </c>
      <c r="D309" s="5" t="s">
        <v>315</v>
      </c>
      <c r="E309">
        <v>50</v>
      </c>
      <c r="F309" s="2">
        <v>26</v>
      </c>
    </row>
    <row r="310" spans="2:6" x14ac:dyDescent="0.3">
      <c r="B310" s="2">
        <v>308</v>
      </c>
      <c r="C310" s="5" t="s">
        <v>6</v>
      </c>
      <c r="D310" s="5" t="s">
        <v>316</v>
      </c>
      <c r="E310">
        <v>1200</v>
      </c>
      <c r="F310" s="2">
        <v>34</v>
      </c>
    </row>
    <row r="311" spans="2:6" x14ac:dyDescent="0.3">
      <c r="B311" s="2">
        <v>309</v>
      </c>
      <c r="C311" s="5" t="s">
        <v>6</v>
      </c>
      <c r="D311" s="5" t="s">
        <v>317</v>
      </c>
      <c r="E311">
        <v>25</v>
      </c>
      <c r="F311" s="2">
        <v>26</v>
      </c>
    </row>
    <row r="312" spans="2:6" x14ac:dyDescent="0.3">
      <c r="B312" s="2">
        <v>310</v>
      </c>
      <c r="C312" s="5" t="s">
        <v>6</v>
      </c>
      <c r="D312" s="5" t="s">
        <v>318</v>
      </c>
      <c r="E312">
        <v>25</v>
      </c>
      <c r="F312" s="2">
        <v>28</v>
      </c>
    </row>
    <row r="313" spans="2:6" x14ac:dyDescent="0.3">
      <c r="B313" s="2">
        <v>311</v>
      </c>
      <c r="C313" s="5" t="s">
        <v>6</v>
      </c>
      <c r="D313" s="5" t="s">
        <v>319</v>
      </c>
      <c r="E313">
        <v>100</v>
      </c>
      <c r="F313" s="2">
        <v>32</v>
      </c>
    </row>
    <row r="314" spans="2:6" x14ac:dyDescent="0.3">
      <c r="B314" s="2">
        <v>312</v>
      </c>
      <c r="C314" s="5" t="s">
        <v>9</v>
      </c>
      <c r="D314" s="5" t="s">
        <v>320</v>
      </c>
      <c r="E314">
        <v>120</v>
      </c>
      <c r="F314" s="2">
        <v>41</v>
      </c>
    </row>
    <row r="315" spans="2:6" x14ac:dyDescent="0.3">
      <c r="B315" s="2">
        <v>313</v>
      </c>
      <c r="C315" s="5" t="s">
        <v>6</v>
      </c>
      <c r="D315" s="5" t="s">
        <v>321</v>
      </c>
      <c r="E315">
        <v>1500</v>
      </c>
      <c r="F315" s="2">
        <v>55</v>
      </c>
    </row>
    <row r="316" spans="2:6" x14ac:dyDescent="0.3">
      <c r="B316" s="2">
        <v>314</v>
      </c>
      <c r="C316" s="5" t="s">
        <v>9</v>
      </c>
      <c r="D316" s="5" t="s">
        <v>322</v>
      </c>
      <c r="E316">
        <v>120</v>
      </c>
      <c r="F316" s="2">
        <v>52</v>
      </c>
    </row>
    <row r="317" spans="2:6" x14ac:dyDescent="0.3">
      <c r="B317" s="2">
        <v>315</v>
      </c>
      <c r="C317" s="5" t="s">
        <v>9</v>
      </c>
      <c r="D317" s="5" t="s">
        <v>323</v>
      </c>
      <c r="E317">
        <v>60</v>
      </c>
      <c r="F317" s="2">
        <v>47</v>
      </c>
    </row>
    <row r="318" spans="2:6" x14ac:dyDescent="0.3">
      <c r="B318" s="2">
        <v>316</v>
      </c>
      <c r="C318" s="5" t="s">
        <v>9</v>
      </c>
      <c r="D318" s="5" t="s">
        <v>324</v>
      </c>
      <c r="E318">
        <v>50</v>
      </c>
      <c r="F318" s="2">
        <v>48</v>
      </c>
    </row>
    <row r="319" spans="2:6" x14ac:dyDescent="0.3">
      <c r="B319" s="2">
        <v>317</v>
      </c>
      <c r="C319" s="5" t="s">
        <v>11</v>
      </c>
      <c r="D319" s="5" t="s">
        <v>325</v>
      </c>
      <c r="E319">
        <v>90</v>
      </c>
      <c r="F319" s="2">
        <v>22</v>
      </c>
    </row>
    <row r="320" spans="2:6" x14ac:dyDescent="0.3">
      <c r="B320" s="2">
        <v>318</v>
      </c>
      <c r="C320" s="5" t="s">
        <v>9</v>
      </c>
      <c r="D320" s="5" t="s">
        <v>326</v>
      </c>
      <c r="E320">
        <v>25</v>
      </c>
      <c r="F320" s="2">
        <v>61</v>
      </c>
    </row>
    <row r="321" spans="2:6" x14ac:dyDescent="0.3">
      <c r="B321" s="2">
        <v>319</v>
      </c>
      <c r="C321" s="5" t="s">
        <v>9</v>
      </c>
      <c r="D321" s="5" t="s">
        <v>327</v>
      </c>
      <c r="E321">
        <v>500</v>
      </c>
      <c r="F321" s="2">
        <v>31</v>
      </c>
    </row>
    <row r="322" spans="2:6" x14ac:dyDescent="0.3">
      <c r="B322" s="2">
        <v>320</v>
      </c>
      <c r="C322" s="5" t="s">
        <v>11</v>
      </c>
      <c r="D322" s="5" t="s">
        <v>328</v>
      </c>
      <c r="E322">
        <v>1200</v>
      </c>
      <c r="F322" s="2">
        <v>28</v>
      </c>
    </row>
    <row r="323" spans="2:6" x14ac:dyDescent="0.3">
      <c r="B323" s="2">
        <v>321</v>
      </c>
      <c r="C323" s="5" t="s">
        <v>11</v>
      </c>
      <c r="D323" s="5" t="s">
        <v>329</v>
      </c>
      <c r="E323">
        <v>50</v>
      </c>
      <c r="F323" s="2">
        <v>26</v>
      </c>
    </row>
    <row r="324" spans="2:6" x14ac:dyDescent="0.3">
      <c r="B324" s="2">
        <v>322</v>
      </c>
      <c r="C324" s="5" t="s">
        <v>11</v>
      </c>
      <c r="D324" s="5" t="s">
        <v>330</v>
      </c>
      <c r="E324">
        <v>500</v>
      </c>
      <c r="F324" s="2">
        <v>51</v>
      </c>
    </row>
    <row r="325" spans="2:6" x14ac:dyDescent="0.3">
      <c r="B325" s="2">
        <v>323</v>
      </c>
      <c r="C325" s="5" t="s">
        <v>6</v>
      </c>
      <c r="D325" s="5" t="s">
        <v>331</v>
      </c>
      <c r="E325">
        <v>900</v>
      </c>
      <c r="F325" s="2">
        <v>29</v>
      </c>
    </row>
    <row r="326" spans="2:6" x14ac:dyDescent="0.3">
      <c r="B326" s="2">
        <v>324</v>
      </c>
      <c r="C326" s="5" t="s">
        <v>11</v>
      </c>
      <c r="D326" s="5" t="s">
        <v>332</v>
      </c>
      <c r="E326">
        <v>150</v>
      </c>
      <c r="F326" s="2">
        <v>52</v>
      </c>
    </row>
    <row r="327" spans="2:6" x14ac:dyDescent="0.3">
      <c r="B327" s="2">
        <v>325</v>
      </c>
      <c r="C327" s="5" t="s">
        <v>11</v>
      </c>
      <c r="D327" s="5" t="s">
        <v>333</v>
      </c>
      <c r="E327">
        <v>50</v>
      </c>
      <c r="F327" s="2">
        <v>52</v>
      </c>
    </row>
    <row r="328" spans="2:6" x14ac:dyDescent="0.3">
      <c r="B328" s="2">
        <v>326</v>
      </c>
      <c r="C328" s="5" t="s">
        <v>9</v>
      </c>
      <c r="D328" s="5" t="s">
        <v>334</v>
      </c>
      <c r="E328">
        <v>75</v>
      </c>
      <c r="F328" s="2">
        <v>18</v>
      </c>
    </row>
    <row r="329" spans="2:6" x14ac:dyDescent="0.3">
      <c r="B329" s="2">
        <v>327</v>
      </c>
      <c r="C329" s="5" t="s">
        <v>11</v>
      </c>
      <c r="D329" s="5" t="s">
        <v>335</v>
      </c>
      <c r="E329">
        <v>150</v>
      </c>
      <c r="F329" s="2">
        <v>57</v>
      </c>
    </row>
    <row r="330" spans="2:6" x14ac:dyDescent="0.3">
      <c r="B330" s="2">
        <v>328</v>
      </c>
      <c r="C330" s="5" t="s">
        <v>6</v>
      </c>
      <c r="D330" s="5" t="s">
        <v>336</v>
      </c>
      <c r="E330">
        <v>100</v>
      </c>
      <c r="F330" s="2">
        <v>39</v>
      </c>
    </row>
    <row r="331" spans="2:6" x14ac:dyDescent="0.3">
      <c r="B331" s="2">
        <v>329</v>
      </c>
      <c r="C331" s="5" t="s">
        <v>11</v>
      </c>
      <c r="D331" s="5" t="s">
        <v>337</v>
      </c>
      <c r="E331">
        <v>100</v>
      </c>
      <c r="F331" s="2">
        <v>46</v>
      </c>
    </row>
    <row r="332" spans="2:6" x14ac:dyDescent="0.3">
      <c r="B332" s="2">
        <v>330</v>
      </c>
      <c r="C332" s="5" t="s">
        <v>6</v>
      </c>
      <c r="D332" s="5" t="s">
        <v>338</v>
      </c>
      <c r="E332">
        <v>200</v>
      </c>
      <c r="F332" s="2">
        <v>25</v>
      </c>
    </row>
    <row r="333" spans="2:6" x14ac:dyDescent="0.3">
      <c r="B333" s="2">
        <v>331</v>
      </c>
      <c r="C333" s="5" t="s">
        <v>11</v>
      </c>
      <c r="D333" s="5" t="s">
        <v>339</v>
      </c>
      <c r="E333">
        <v>90</v>
      </c>
      <c r="F333" s="2">
        <v>28</v>
      </c>
    </row>
    <row r="334" spans="2:6" x14ac:dyDescent="0.3">
      <c r="B334" s="2">
        <v>332</v>
      </c>
      <c r="C334" s="5" t="s">
        <v>11</v>
      </c>
      <c r="D334" s="5" t="s">
        <v>340</v>
      </c>
      <c r="E334">
        <v>1200</v>
      </c>
      <c r="F334" s="2">
        <v>58</v>
      </c>
    </row>
    <row r="335" spans="2:6" x14ac:dyDescent="0.3">
      <c r="B335" s="2">
        <v>333</v>
      </c>
      <c r="C335" s="5" t="s">
        <v>11</v>
      </c>
      <c r="D335" s="5" t="s">
        <v>341</v>
      </c>
      <c r="E335">
        <v>1200</v>
      </c>
      <c r="F335" s="2">
        <v>54</v>
      </c>
    </row>
    <row r="336" spans="2:6" x14ac:dyDescent="0.3">
      <c r="B336" s="2">
        <v>334</v>
      </c>
      <c r="C336" s="5" t="s">
        <v>11</v>
      </c>
      <c r="D336" s="5" t="s">
        <v>342</v>
      </c>
      <c r="E336">
        <v>900</v>
      </c>
      <c r="F336" s="2">
        <v>31</v>
      </c>
    </row>
    <row r="337" spans="2:6" x14ac:dyDescent="0.3">
      <c r="B337" s="2">
        <v>335</v>
      </c>
      <c r="C337" s="5" t="s">
        <v>6</v>
      </c>
      <c r="D337" s="5" t="s">
        <v>343</v>
      </c>
      <c r="E337">
        <v>120</v>
      </c>
      <c r="F337" s="2">
        <v>47</v>
      </c>
    </row>
    <row r="338" spans="2:6" x14ac:dyDescent="0.3">
      <c r="B338" s="2">
        <v>336</v>
      </c>
      <c r="C338" s="5" t="s">
        <v>6</v>
      </c>
      <c r="D338" s="5" t="s">
        <v>344</v>
      </c>
      <c r="E338">
        <v>150</v>
      </c>
      <c r="F338" s="2">
        <v>52</v>
      </c>
    </row>
    <row r="339" spans="2:6" x14ac:dyDescent="0.3">
      <c r="B339" s="2">
        <v>337</v>
      </c>
      <c r="C339" s="5" t="s">
        <v>9</v>
      </c>
      <c r="D339" s="5" t="s">
        <v>345</v>
      </c>
      <c r="E339">
        <v>500</v>
      </c>
      <c r="F339" s="2">
        <v>38</v>
      </c>
    </row>
    <row r="340" spans="2:6" x14ac:dyDescent="0.3">
      <c r="B340" s="2">
        <v>338</v>
      </c>
      <c r="C340" s="5" t="s">
        <v>6</v>
      </c>
      <c r="D340" s="5" t="s">
        <v>346</v>
      </c>
      <c r="E340">
        <v>100</v>
      </c>
      <c r="F340" s="2">
        <v>54</v>
      </c>
    </row>
    <row r="341" spans="2:6" x14ac:dyDescent="0.3">
      <c r="B341" s="2">
        <v>339</v>
      </c>
      <c r="C341" s="5" t="s">
        <v>11</v>
      </c>
      <c r="D341" s="5" t="s">
        <v>347</v>
      </c>
      <c r="E341">
        <v>50</v>
      </c>
      <c r="F341" s="2">
        <v>22</v>
      </c>
    </row>
    <row r="342" spans="2:6" x14ac:dyDescent="0.3">
      <c r="B342" s="2">
        <v>340</v>
      </c>
      <c r="C342" s="5" t="s">
        <v>9</v>
      </c>
      <c r="D342" s="5" t="s">
        <v>348</v>
      </c>
      <c r="E342">
        <v>1200</v>
      </c>
      <c r="F342" s="2">
        <v>36</v>
      </c>
    </row>
    <row r="343" spans="2:6" x14ac:dyDescent="0.3">
      <c r="B343" s="2">
        <v>341</v>
      </c>
      <c r="C343" s="5" t="s">
        <v>9</v>
      </c>
      <c r="D343" s="5" t="s">
        <v>349</v>
      </c>
      <c r="E343">
        <v>200</v>
      </c>
      <c r="F343" s="2">
        <v>31</v>
      </c>
    </row>
    <row r="344" spans="2:6" x14ac:dyDescent="0.3">
      <c r="B344" s="2">
        <v>342</v>
      </c>
      <c r="C344" s="5" t="s">
        <v>9</v>
      </c>
      <c r="D344" s="5" t="s">
        <v>350</v>
      </c>
      <c r="E344">
        <v>2000</v>
      </c>
      <c r="F344" s="2">
        <v>43</v>
      </c>
    </row>
    <row r="345" spans="2:6" x14ac:dyDescent="0.3">
      <c r="B345" s="2">
        <v>343</v>
      </c>
      <c r="C345" s="5" t="s">
        <v>11</v>
      </c>
      <c r="D345" s="5" t="s">
        <v>351</v>
      </c>
      <c r="E345">
        <v>50</v>
      </c>
      <c r="F345" s="2">
        <v>21</v>
      </c>
    </row>
    <row r="346" spans="2:6" x14ac:dyDescent="0.3">
      <c r="B346" s="2">
        <v>344</v>
      </c>
      <c r="C346" s="5" t="s">
        <v>6</v>
      </c>
      <c r="D346" s="5" t="s">
        <v>352</v>
      </c>
      <c r="E346">
        <v>30</v>
      </c>
      <c r="F346" s="2">
        <v>42</v>
      </c>
    </row>
    <row r="347" spans="2:6" x14ac:dyDescent="0.3">
      <c r="B347" s="2">
        <v>345</v>
      </c>
      <c r="C347" s="5" t="s">
        <v>11</v>
      </c>
      <c r="D347" s="5" t="s">
        <v>353</v>
      </c>
      <c r="E347">
        <v>30</v>
      </c>
      <c r="F347" s="2">
        <v>62</v>
      </c>
    </row>
    <row r="348" spans="2:6" x14ac:dyDescent="0.3">
      <c r="B348" s="2">
        <v>346</v>
      </c>
      <c r="C348" s="5" t="s">
        <v>9</v>
      </c>
      <c r="D348" s="5" t="s">
        <v>354</v>
      </c>
      <c r="E348">
        <v>1000</v>
      </c>
      <c r="F348" s="2">
        <v>59</v>
      </c>
    </row>
    <row r="349" spans="2:6" x14ac:dyDescent="0.3">
      <c r="B349" s="2">
        <v>347</v>
      </c>
      <c r="C349" s="5" t="s">
        <v>11</v>
      </c>
      <c r="D349" s="5" t="s">
        <v>355</v>
      </c>
      <c r="E349">
        <v>25</v>
      </c>
      <c r="F349" s="2">
        <v>42</v>
      </c>
    </row>
    <row r="350" spans="2:6" x14ac:dyDescent="0.3">
      <c r="B350" s="2">
        <v>348</v>
      </c>
      <c r="C350" s="5" t="s">
        <v>11</v>
      </c>
      <c r="D350" s="5" t="s">
        <v>356</v>
      </c>
      <c r="E350">
        <v>600</v>
      </c>
      <c r="F350" s="2">
        <v>35</v>
      </c>
    </row>
    <row r="351" spans="2:6" x14ac:dyDescent="0.3">
      <c r="B351" s="2">
        <v>349</v>
      </c>
      <c r="C351" s="5" t="s">
        <v>6</v>
      </c>
      <c r="D351" s="5" t="s">
        <v>357</v>
      </c>
      <c r="E351">
        <v>50</v>
      </c>
      <c r="F351" s="2">
        <v>57</v>
      </c>
    </row>
    <row r="352" spans="2:6" x14ac:dyDescent="0.3">
      <c r="B352" s="2">
        <v>350</v>
      </c>
      <c r="C352" s="5" t="s">
        <v>6</v>
      </c>
      <c r="D352" s="5" t="s">
        <v>358</v>
      </c>
      <c r="E352">
        <v>75</v>
      </c>
      <c r="F352" s="2">
        <v>25</v>
      </c>
    </row>
    <row r="353" spans="2:6" x14ac:dyDescent="0.3">
      <c r="B353" s="2">
        <v>351</v>
      </c>
      <c r="C353" s="5" t="s">
        <v>9</v>
      </c>
      <c r="D353" s="5" t="s">
        <v>359</v>
      </c>
      <c r="E353">
        <v>90</v>
      </c>
      <c r="F353" s="2">
        <v>56</v>
      </c>
    </row>
    <row r="354" spans="2:6" x14ac:dyDescent="0.3">
      <c r="B354" s="2">
        <v>352</v>
      </c>
      <c r="C354" s="5" t="s">
        <v>11</v>
      </c>
      <c r="D354" s="5" t="s">
        <v>360</v>
      </c>
      <c r="E354">
        <v>1000</v>
      </c>
      <c r="F354" s="2">
        <v>57</v>
      </c>
    </row>
    <row r="355" spans="2:6" x14ac:dyDescent="0.3">
      <c r="B355" s="2">
        <v>353</v>
      </c>
      <c r="C355" s="5" t="s">
        <v>11</v>
      </c>
      <c r="D355" s="5" t="s">
        <v>361</v>
      </c>
      <c r="E355">
        <v>500</v>
      </c>
      <c r="F355" s="2">
        <v>31</v>
      </c>
    </row>
    <row r="356" spans="2:6" x14ac:dyDescent="0.3">
      <c r="B356" s="2">
        <v>354</v>
      </c>
      <c r="C356" s="5" t="s">
        <v>6</v>
      </c>
      <c r="D356" s="5" t="s">
        <v>362</v>
      </c>
      <c r="E356">
        <v>200</v>
      </c>
      <c r="F356" s="2">
        <v>49</v>
      </c>
    </row>
    <row r="357" spans="2:6" x14ac:dyDescent="0.3">
      <c r="B357" s="2">
        <v>355</v>
      </c>
      <c r="C357" s="5" t="s">
        <v>11</v>
      </c>
      <c r="D357" s="5" t="s">
        <v>363</v>
      </c>
      <c r="E357">
        <v>500</v>
      </c>
      <c r="F357" s="2">
        <v>55</v>
      </c>
    </row>
    <row r="358" spans="2:6" x14ac:dyDescent="0.3">
      <c r="B358" s="2">
        <v>356</v>
      </c>
      <c r="C358" s="5" t="s">
        <v>11</v>
      </c>
      <c r="D358" s="5" t="s">
        <v>364</v>
      </c>
      <c r="E358">
        <v>1500</v>
      </c>
      <c r="F358" s="2">
        <v>50</v>
      </c>
    </row>
    <row r="359" spans="2:6" x14ac:dyDescent="0.3">
      <c r="B359" s="2">
        <v>357</v>
      </c>
      <c r="C359" s="5" t="s">
        <v>11</v>
      </c>
      <c r="D359" s="5" t="s">
        <v>365</v>
      </c>
      <c r="E359">
        <v>75</v>
      </c>
      <c r="F359" s="2">
        <v>40</v>
      </c>
    </row>
    <row r="360" spans="2:6" x14ac:dyDescent="0.3">
      <c r="B360" s="2">
        <v>358</v>
      </c>
      <c r="C360" s="5" t="s">
        <v>6</v>
      </c>
      <c r="D360" s="5" t="s">
        <v>366</v>
      </c>
      <c r="E360">
        <v>300</v>
      </c>
      <c r="F360" s="2">
        <v>32</v>
      </c>
    </row>
    <row r="361" spans="2:6" x14ac:dyDescent="0.3">
      <c r="B361" s="2">
        <v>359</v>
      </c>
      <c r="C361" s="5" t="s">
        <v>9</v>
      </c>
      <c r="D361" s="5" t="s">
        <v>367</v>
      </c>
      <c r="E361">
        <v>50</v>
      </c>
      <c r="F361" s="2">
        <v>50</v>
      </c>
    </row>
    <row r="362" spans="2:6" x14ac:dyDescent="0.3">
      <c r="B362" s="2">
        <v>360</v>
      </c>
      <c r="C362" s="5" t="s">
        <v>9</v>
      </c>
      <c r="D362" s="5" t="s">
        <v>368</v>
      </c>
      <c r="E362">
        <v>100</v>
      </c>
      <c r="F362" s="2">
        <v>42</v>
      </c>
    </row>
    <row r="363" spans="2:6" x14ac:dyDescent="0.3">
      <c r="B363" s="2">
        <v>361</v>
      </c>
      <c r="C363" s="5" t="s">
        <v>11</v>
      </c>
      <c r="D363" s="5" t="s">
        <v>369</v>
      </c>
      <c r="E363">
        <v>1200</v>
      </c>
      <c r="F363" s="2">
        <v>34</v>
      </c>
    </row>
    <row r="364" spans="2:6" x14ac:dyDescent="0.3">
      <c r="B364" s="2">
        <v>362</v>
      </c>
      <c r="C364" s="5" t="s">
        <v>9</v>
      </c>
      <c r="D364" s="5" t="s">
        <v>370</v>
      </c>
      <c r="E364">
        <v>25</v>
      </c>
      <c r="F364" s="2">
        <v>50</v>
      </c>
    </row>
    <row r="365" spans="2:6" x14ac:dyDescent="0.3">
      <c r="B365" s="2">
        <v>363</v>
      </c>
      <c r="C365" s="5" t="s">
        <v>6</v>
      </c>
      <c r="D365" s="5" t="s">
        <v>371</v>
      </c>
      <c r="E365">
        <v>25</v>
      </c>
      <c r="F365" s="2">
        <v>64</v>
      </c>
    </row>
    <row r="366" spans="2:6" x14ac:dyDescent="0.3">
      <c r="B366" s="2">
        <v>364</v>
      </c>
      <c r="C366" s="5" t="s">
        <v>6</v>
      </c>
      <c r="D366" s="5" t="s">
        <v>372</v>
      </c>
      <c r="E366">
        <v>500</v>
      </c>
      <c r="F366" s="2">
        <v>19</v>
      </c>
    </row>
    <row r="367" spans="2:6" x14ac:dyDescent="0.3">
      <c r="B367" s="2">
        <v>365</v>
      </c>
      <c r="C367" s="5" t="s">
        <v>9</v>
      </c>
      <c r="D367" s="5" t="s">
        <v>373</v>
      </c>
      <c r="E367">
        <v>300</v>
      </c>
      <c r="F367" s="2">
        <v>31</v>
      </c>
    </row>
    <row r="368" spans="2:6" x14ac:dyDescent="0.3">
      <c r="B368" s="2">
        <v>366</v>
      </c>
      <c r="C368" s="5" t="s">
        <v>9</v>
      </c>
      <c r="D368" s="5" t="s">
        <v>374</v>
      </c>
      <c r="E368">
        <v>100</v>
      </c>
      <c r="F368" s="2">
        <v>57</v>
      </c>
    </row>
    <row r="369" spans="2:6" x14ac:dyDescent="0.3">
      <c r="B369" s="2">
        <v>367</v>
      </c>
      <c r="C369" s="5" t="s">
        <v>11</v>
      </c>
      <c r="D369" s="5" t="s">
        <v>375</v>
      </c>
      <c r="E369">
        <v>50</v>
      </c>
      <c r="F369" s="2">
        <v>57</v>
      </c>
    </row>
    <row r="370" spans="2:6" x14ac:dyDescent="0.3">
      <c r="B370" s="2">
        <v>368</v>
      </c>
      <c r="C370" s="5" t="s">
        <v>9</v>
      </c>
      <c r="D370" s="5" t="s">
        <v>376</v>
      </c>
      <c r="E370">
        <v>1200</v>
      </c>
      <c r="F370" s="2">
        <v>56</v>
      </c>
    </row>
    <row r="371" spans="2:6" x14ac:dyDescent="0.3">
      <c r="B371" s="2">
        <v>369</v>
      </c>
      <c r="C371" s="5" t="s">
        <v>11</v>
      </c>
      <c r="D371" s="5" t="s">
        <v>377</v>
      </c>
      <c r="E371">
        <v>1500</v>
      </c>
      <c r="F371" s="2">
        <v>23</v>
      </c>
    </row>
    <row r="372" spans="2:6" x14ac:dyDescent="0.3">
      <c r="B372" s="2">
        <v>370</v>
      </c>
      <c r="C372" s="5" t="s">
        <v>11</v>
      </c>
      <c r="D372" s="5" t="s">
        <v>378</v>
      </c>
      <c r="E372">
        <v>60</v>
      </c>
      <c r="F372" s="2">
        <v>23</v>
      </c>
    </row>
    <row r="373" spans="2:6" x14ac:dyDescent="0.3">
      <c r="B373" s="2">
        <v>371</v>
      </c>
      <c r="C373" s="5" t="s">
        <v>6</v>
      </c>
      <c r="D373" s="5" t="s">
        <v>379</v>
      </c>
      <c r="E373">
        <v>25</v>
      </c>
      <c r="F373" s="2">
        <v>20</v>
      </c>
    </row>
    <row r="374" spans="2:6" x14ac:dyDescent="0.3">
      <c r="B374" s="2">
        <v>372</v>
      </c>
      <c r="C374" s="5" t="s">
        <v>6</v>
      </c>
      <c r="D374" s="5" t="s">
        <v>380</v>
      </c>
      <c r="E374">
        <v>1500</v>
      </c>
      <c r="F374" s="2">
        <v>24</v>
      </c>
    </row>
    <row r="375" spans="2:6" x14ac:dyDescent="0.3">
      <c r="B375" s="2">
        <v>373</v>
      </c>
      <c r="C375" s="5" t="s">
        <v>6</v>
      </c>
      <c r="D375" s="5" t="s">
        <v>381</v>
      </c>
      <c r="E375">
        <v>600</v>
      </c>
      <c r="F375" s="2">
        <v>25</v>
      </c>
    </row>
    <row r="376" spans="2:6" x14ac:dyDescent="0.3">
      <c r="B376" s="2">
        <v>374</v>
      </c>
      <c r="C376" s="5" t="s">
        <v>6</v>
      </c>
      <c r="D376" s="5" t="s">
        <v>382</v>
      </c>
      <c r="E376">
        <v>75</v>
      </c>
      <c r="F376" s="2">
        <v>59</v>
      </c>
    </row>
    <row r="377" spans="2:6" x14ac:dyDescent="0.3">
      <c r="B377" s="2">
        <v>375</v>
      </c>
      <c r="C377" s="5" t="s">
        <v>9</v>
      </c>
      <c r="D377" s="5" t="s">
        <v>383</v>
      </c>
      <c r="E377">
        <v>50</v>
      </c>
      <c r="F377" s="2">
        <v>32</v>
      </c>
    </row>
    <row r="378" spans="2:6" x14ac:dyDescent="0.3">
      <c r="B378" s="2">
        <v>376</v>
      </c>
      <c r="C378" s="5" t="s">
        <v>6</v>
      </c>
      <c r="D378" s="5" t="s">
        <v>384</v>
      </c>
      <c r="E378">
        <v>30</v>
      </c>
      <c r="F378" s="2">
        <v>64</v>
      </c>
    </row>
    <row r="379" spans="2:6" x14ac:dyDescent="0.3">
      <c r="B379" s="2">
        <v>377</v>
      </c>
      <c r="C379" s="5" t="s">
        <v>9</v>
      </c>
      <c r="D379" s="5" t="s">
        <v>385</v>
      </c>
      <c r="E379">
        <v>200</v>
      </c>
      <c r="F379" s="2">
        <v>46</v>
      </c>
    </row>
    <row r="380" spans="2:6" x14ac:dyDescent="0.3">
      <c r="B380" s="2">
        <v>378</v>
      </c>
      <c r="C380" s="5" t="s">
        <v>6</v>
      </c>
      <c r="D380" s="5" t="s">
        <v>386</v>
      </c>
      <c r="E380">
        <v>300</v>
      </c>
      <c r="F380" s="2">
        <v>50</v>
      </c>
    </row>
    <row r="381" spans="2:6" x14ac:dyDescent="0.3">
      <c r="B381" s="2">
        <v>379</v>
      </c>
      <c r="C381" s="5" t="s">
        <v>9</v>
      </c>
      <c r="D381" s="5" t="s">
        <v>387</v>
      </c>
      <c r="E381">
        <v>25</v>
      </c>
      <c r="F381" s="2">
        <v>47</v>
      </c>
    </row>
    <row r="382" spans="2:6" x14ac:dyDescent="0.3">
      <c r="B382" s="2">
        <v>380</v>
      </c>
      <c r="C382" s="5" t="s">
        <v>11</v>
      </c>
      <c r="D382" s="5" t="s">
        <v>388</v>
      </c>
      <c r="E382">
        <v>600</v>
      </c>
      <c r="F382" s="2">
        <v>56</v>
      </c>
    </row>
    <row r="383" spans="2:6" x14ac:dyDescent="0.3">
      <c r="B383" s="2">
        <v>381</v>
      </c>
      <c r="C383" s="5" t="s">
        <v>9</v>
      </c>
      <c r="D383" s="5" t="s">
        <v>389</v>
      </c>
      <c r="E383">
        <v>100</v>
      </c>
      <c r="F383" s="2">
        <v>44</v>
      </c>
    </row>
    <row r="384" spans="2:6" x14ac:dyDescent="0.3">
      <c r="B384" s="2">
        <v>382</v>
      </c>
      <c r="C384" s="5" t="s">
        <v>9</v>
      </c>
      <c r="D384" s="5" t="s">
        <v>390</v>
      </c>
      <c r="E384">
        <v>1000</v>
      </c>
      <c r="F384" s="2">
        <v>53</v>
      </c>
    </row>
    <row r="385" spans="2:6" x14ac:dyDescent="0.3">
      <c r="B385" s="2">
        <v>383</v>
      </c>
      <c r="C385" s="5" t="s">
        <v>6</v>
      </c>
      <c r="D385" s="5" t="s">
        <v>391</v>
      </c>
      <c r="E385">
        <v>90</v>
      </c>
      <c r="F385" s="2">
        <v>46</v>
      </c>
    </row>
    <row r="386" spans="2:6" x14ac:dyDescent="0.3">
      <c r="B386" s="2">
        <v>384</v>
      </c>
      <c r="C386" s="5" t="s">
        <v>9</v>
      </c>
      <c r="D386" s="5" t="s">
        <v>392</v>
      </c>
      <c r="E386">
        <v>500</v>
      </c>
      <c r="F386" s="2">
        <v>55</v>
      </c>
    </row>
    <row r="387" spans="2:6" x14ac:dyDescent="0.3">
      <c r="B387" s="2">
        <v>385</v>
      </c>
      <c r="C387" s="5" t="s">
        <v>11</v>
      </c>
      <c r="D387" s="5" t="s">
        <v>393</v>
      </c>
      <c r="E387">
        <v>1500</v>
      </c>
      <c r="F387" s="2">
        <v>50</v>
      </c>
    </row>
    <row r="388" spans="2:6" x14ac:dyDescent="0.3">
      <c r="B388" s="2">
        <v>386</v>
      </c>
      <c r="C388" s="5" t="s">
        <v>11</v>
      </c>
      <c r="D388" s="5" t="s">
        <v>394</v>
      </c>
      <c r="E388">
        <v>600</v>
      </c>
      <c r="F388" s="2">
        <v>54</v>
      </c>
    </row>
    <row r="389" spans="2:6" x14ac:dyDescent="0.3">
      <c r="B389" s="2">
        <v>387</v>
      </c>
      <c r="C389" s="5" t="s">
        <v>6</v>
      </c>
      <c r="D389" s="5" t="s">
        <v>395</v>
      </c>
      <c r="E389">
        <v>30</v>
      </c>
      <c r="F389" s="2">
        <v>44</v>
      </c>
    </row>
    <row r="390" spans="2:6" x14ac:dyDescent="0.3">
      <c r="B390" s="2">
        <v>388</v>
      </c>
      <c r="C390" s="5" t="s">
        <v>11</v>
      </c>
      <c r="D390" s="5" t="s">
        <v>396</v>
      </c>
      <c r="E390">
        <v>25</v>
      </c>
      <c r="F390" s="2">
        <v>50</v>
      </c>
    </row>
    <row r="391" spans="2:6" x14ac:dyDescent="0.3">
      <c r="B391" s="2">
        <v>389</v>
      </c>
      <c r="C391" s="5" t="s">
        <v>9</v>
      </c>
      <c r="D391" s="5" t="s">
        <v>397</v>
      </c>
      <c r="E391">
        <v>50</v>
      </c>
      <c r="F391" s="2">
        <v>21</v>
      </c>
    </row>
    <row r="392" spans="2:6" x14ac:dyDescent="0.3">
      <c r="B392" s="2">
        <v>390</v>
      </c>
      <c r="C392" s="5" t="s">
        <v>11</v>
      </c>
      <c r="D392" s="5" t="s">
        <v>398</v>
      </c>
      <c r="E392">
        <v>100</v>
      </c>
      <c r="F392" s="2">
        <v>39</v>
      </c>
    </row>
    <row r="393" spans="2:6" x14ac:dyDescent="0.3">
      <c r="B393" s="2">
        <v>391</v>
      </c>
      <c r="C393" s="5" t="s">
        <v>6</v>
      </c>
      <c r="D393" s="5" t="s">
        <v>399</v>
      </c>
      <c r="E393">
        <v>50</v>
      </c>
      <c r="F393" s="2">
        <v>19</v>
      </c>
    </row>
    <row r="394" spans="2:6" x14ac:dyDescent="0.3">
      <c r="B394" s="2">
        <v>392</v>
      </c>
      <c r="C394" s="5" t="s">
        <v>9</v>
      </c>
      <c r="D394" s="5" t="s">
        <v>400</v>
      </c>
      <c r="E394">
        <v>600</v>
      </c>
      <c r="F394" s="2">
        <v>27</v>
      </c>
    </row>
    <row r="395" spans="2:6" x14ac:dyDescent="0.3">
      <c r="B395" s="2">
        <v>393</v>
      </c>
      <c r="C395" s="5" t="s">
        <v>6</v>
      </c>
      <c r="D395" s="5" t="s">
        <v>401</v>
      </c>
      <c r="E395">
        <v>1000</v>
      </c>
      <c r="F395" s="2">
        <v>22</v>
      </c>
    </row>
    <row r="396" spans="2:6" x14ac:dyDescent="0.3">
      <c r="B396" s="2">
        <v>394</v>
      </c>
      <c r="C396" s="5" t="s">
        <v>9</v>
      </c>
      <c r="D396" s="5" t="s">
        <v>402</v>
      </c>
      <c r="E396">
        <v>500</v>
      </c>
      <c r="F396" s="2">
        <v>27</v>
      </c>
    </row>
    <row r="397" spans="2:6" x14ac:dyDescent="0.3">
      <c r="B397" s="2">
        <v>395</v>
      </c>
      <c r="C397" s="5" t="s">
        <v>11</v>
      </c>
      <c r="D397" s="5" t="s">
        <v>403</v>
      </c>
      <c r="E397">
        <v>1000</v>
      </c>
      <c r="F397" s="2">
        <v>50</v>
      </c>
    </row>
    <row r="398" spans="2:6" x14ac:dyDescent="0.3">
      <c r="B398" s="2">
        <v>396</v>
      </c>
      <c r="C398" s="5" t="s">
        <v>6</v>
      </c>
      <c r="D398" s="5" t="s">
        <v>404</v>
      </c>
      <c r="E398">
        <v>30</v>
      </c>
      <c r="F398" s="2">
        <v>55</v>
      </c>
    </row>
    <row r="399" spans="2:6" x14ac:dyDescent="0.3">
      <c r="B399" s="2">
        <v>397</v>
      </c>
      <c r="C399" s="5" t="s">
        <v>6</v>
      </c>
      <c r="D399" s="5" t="s">
        <v>405</v>
      </c>
      <c r="E399">
        <v>25</v>
      </c>
      <c r="F399" s="2">
        <v>30</v>
      </c>
    </row>
    <row r="400" spans="2:6" x14ac:dyDescent="0.3">
      <c r="B400" s="2">
        <v>398</v>
      </c>
      <c r="C400" s="5" t="s">
        <v>9</v>
      </c>
      <c r="D400" s="5" t="s">
        <v>406</v>
      </c>
      <c r="E400">
        <v>600</v>
      </c>
      <c r="F400" s="2">
        <v>48</v>
      </c>
    </row>
    <row r="401" spans="2:6" x14ac:dyDescent="0.3">
      <c r="B401" s="2">
        <v>399</v>
      </c>
      <c r="C401" s="5" t="s">
        <v>6</v>
      </c>
      <c r="D401" s="5" t="s">
        <v>407</v>
      </c>
      <c r="E401">
        <v>60</v>
      </c>
      <c r="F401" s="2">
        <v>64</v>
      </c>
    </row>
    <row r="402" spans="2:6" x14ac:dyDescent="0.3">
      <c r="B402" s="2">
        <v>400</v>
      </c>
      <c r="C402" s="5" t="s">
        <v>9</v>
      </c>
      <c r="D402" s="5" t="s">
        <v>408</v>
      </c>
      <c r="E402">
        <v>200</v>
      </c>
      <c r="F402" s="2">
        <v>53</v>
      </c>
    </row>
    <row r="403" spans="2:6" x14ac:dyDescent="0.3">
      <c r="B403" s="2">
        <v>401</v>
      </c>
      <c r="C403" s="5" t="s">
        <v>9</v>
      </c>
      <c r="D403" s="5" t="s">
        <v>409</v>
      </c>
      <c r="E403">
        <v>300</v>
      </c>
      <c r="F403" s="2">
        <v>62</v>
      </c>
    </row>
    <row r="404" spans="2:6" x14ac:dyDescent="0.3">
      <c r="B404" s="2">
        <v>402</v>
      </c>
      <c r="C404" s="5" t="s">
        <v>9</v>
      </c>
      <c r="D404" s="5" t="s">
        <v>410</v>
      </c>
      <c r="E404">
        <v>600</v>
      </c>
      <c r="F404" s="2">
        <v>41</v>
      </c>
    </row>
    <row r="405" spans="2:6" x14ac:dyDescent="0.3">
      <c r="B405" s="2">
        <v>403</v>
      </c>
      <c r="C405" s="5" t="s">
        <v>9</v>
      </c>
      <c r="D405" s="5" t="s">
        <v>411</v>
      </c>
      <c r="E405">
        <v>600</v>
      </c>
      <c r="F405" s="2">
        <v>32</v>
      </c>
    </row>
    <row r="406" spans="2:6" x14ac:dyDescent="0.3">
      <c r="B406" s="2">
        <v>404</v>
      </c>
      <c r="C406" s="5" t="s">
        <v>11</v>
      </c>
      <c r="D406" s="5" t="s">
        <v>412</v>
      </c>
      <c r="E406">
        <v>1000</v>
      </c>
      <c r="F406" s="2">
        <v>46</v>
      </c>
    </row>
    <row r="407" spans="2:6" x14ac:dyDescent="0.3">
      <c r="B407" s="2">
        <v>405</v>
      </c>
      <c r="C407" s="5" t="s">
        <v>9</v>
      </c>
      <c r="D407" s="5" t="s">
        <v>413</v>
      </c>
      <c r="E407">
        <v>1200</v>
      </c>
      <c r="F407" s="2">
        <v>25</v>
      </c>
    </row>
    <row r="408" spans="2:6" x14ac:dyDescent="0.3">
      <c r="B408" s="2">
        <v>406</v>
      </c>
      <c r="C408" s="5" t="s">
        <v>6</v>
      </c>
      <c r="D408" s="5" t="s">
        <v>414</v>
      </c>
      <c r="E408">
        <v>100</v>
      </c>
      <c r="F408" s="2">
        <v>22</v>
      </c>
    </row>
    <row r="409" spans="2:6" x14ac:dyDescent="0.3">
      <c r="B409" s="2">
        <v>407</v>
      </c>
      <c r="C409" s="5" t="s">
        <v>11</v>
      </c>
      <c r="D409" s="5" t="s">
        <v>415</v>
      </c>
      <c r="E409">
        <v>900</v>
      </c>
      <c r="F409" s="2">
        <v>46</v>
      </c>
    </row>
    <row r="410" spans="2:6" x14ac:dyDescent="0.3">
      <c r="B410" s="2">
        <v>408</v>
      </c>
      <c r="C410" s="5" t="s">
        <v>6</v>
      </c>
      <c r="D410" s="5" t="s">
        <v>416</v>
      </c>
      <c r="E410">
        <v>500</v>
      </c>
      <c r="F410" s="2">
        <v>64</v>
      </c>
    </row>
    <row r="411" spans="2:6" x14ac:dyDescent="0.3">
      <c r="B411" s="2">
        <v>409</v>
      </c>
      <c r="C411" s="5" t="s">
        <v>11</v>
      </c>
      <c r="D411" s="5" t="s">
        <v>417</v>
      </c>
      <c r="E411">
        <v>900</v>
      </c>
      <c r="F411" s="2">
        <v>21</v>
      </c>
    </row>
    <row r="412" spans="2:6" x14ac:dyDescent="0.3">
      <c r="B412" s="2">
        <v>410</v>
      </c>
      <c r="C412" s="5" t="s">
        <v>9</v>
      </c>
      <c r="D412" s="5" t="s">
        <v>418</v>
      </c>
      <c r="E412">
        <v>100</v>
      </c>
      <c r="F412" s="2">
        <v>29</v>
      </c>
    </row>
    <row r="413" spans="2:6" x14ac:dyDescent="0.3">
      <c r="B413" s="2">
        <v>411</v>
      </c>
      <c r="C413" s="5" t="s">
        <v>11</v>
      </c>
      <c r="D413" s="5" t="s">
        <v>419</v>
      </c>
      <c r="E413">
        <v>200</v>
      </c>
      <c r="F413" s="2">
        <v>62</v>
      </c>
    </row>
    <row r="414" spans="2:6" x14ac:dyDescent="0.3">
      <c r="B414" s="2">
        <v>412</v>
      </c>
      <c r="C414" s="5" t="s">
        <v>11</v>
      </c>
      <c r="D414" s="5" t="s">
        <v>420</v>
      </c>
      <c r="E414">
        <v>2000</v>
      </c>
      <c r="F414" s="2">
        <v>19</v>
      </c>
    </row>
    <row r="415" spans="2:6" x14ac:dyDescent="0.3">
      <c r="B415" s="2">
        <v>413</v>
      </c>
      <c r="C415" s="5" t="s">
        <v>6</v>
      </c>
      <c r="D415" s="5" t="s">
        <v>421</v>
      </c>
      <c r="E415">
        <v>75</v>
      </c>
      <c r="F415" s="2">
        <v>44</v>
      </c>
    </row>
    <row r="416" spans="2:6" x14ac:dyDescent="0.3">
      <c r="B416" s="2">
        <v>414</v>
      </c>
      <c r="C416" s="5" t="s">
        <v>6</v>
      </c>
      <c r="D416" s="5" t="s">
        <v>422</v>
      </c>
      <c r="E416">
        <v>100</v>
      </c>
      <c r="F416" s="2">
        <v>48</v>
      </c>
    </row>
    <row r="417" spans="2:6" x14ac:dyDescent="0.3">
      <c r="B417" s="2">
        <v>415</v>
      </c>
      <c r="C417" s="5" t="s">
        <v>9</v>
      </c>
      <c r="D417" s="5" t="s">
        <v>423</v>
      </c>
      <c r="E417">
        <v>60</v>
      </c>
      <c r="F417" s="2">
        <v>53</v>
      </c>
    </row>
    <row r="418" spans="2:6" x14ac:dyDescent="0.3">
      <c r="B418" s="2">
        <v>416</v>
      </c>
      <c r="C418" s="5" t="s">
        <v>11</v>
      </c>
      <c r="D418" s="5" t="s">
        <v>424</v>
      </c>
      <c r="E418">
        <v>2000</v>
      </c>
      <c r="F418" s="2">
        <v>53</v>
      </c>
    </row>
    <row r="419" spans="2:6" x14ac:dyDescent="0.3">
      <c r="B419" s="2">
        <v>417</v>
      </c>
      <c r="C419" s="5" t="s">
        <v>11</v>
      </c>
      <c r="D419" s="5" t="s">
        <v>425</v>
      </c>
      <c r="E419">
        <v>900</v>
      </c>
      <c r="F419" s="2">
        <v>43</v>
      </c>
    </row>
    <row r="420" spans="2:6" x14ac:dyDescent="0.3">
      <c r="B420" s="2">
        <v>418</v>
      </c>
      <c r="C420" s="5" t="s">
        <v>11</v>
      </c>
      <c r="D420" s="5" t="s">
        <v>426</v>
      </c>
      <c r="E420">
        <v>1000</v>
      </c>
      <c r="F420" s="2">
        <v>60</v>
      </c>
    </row>
    <row r="421" spans="2:6" x14ac:dyDescent="0.3">
      <c r="B421" s="2">
        <v>419</v>
      </c>
      <c r="C421" s="5" t="s">
        <v>9</v>
      </c>
      <c r="D421" s="5" t="s">
        <v>427</v>
      </c>
      <c r="E421">
        <v>90</v>
      </c>
      <c r="F421" s="2">
        <v>44</v>
      </c>
    </row>
    <row r="422" spans="2:6" x14ac:dyDescent="0.3">
      <c r="B422" s="2">
        <v>420</v>
      </c>
      <c r="C422" s="5" t="s">
        <v>9</v>
      </c>
      <c r="D422" s="5" t="s">
        <v>428</v>
      </c>
      <c r="E422">
        <v>2000</v>
      </c>
      <c r="F422" s="2">
        <v>22</v>
      </c>
    </row>
    <row r="423" spans="2:6" x14ac:dyDescent="0.3">
      <c r="B423" s="2">
        <v>421</v>
      </c>
      <c r="C423" s="5" t="s">
        <v>9</v>
      </c>
      <c r="D423" s="5" t="s">
        <v>429</v>
      </c>
      <c r="E423">
        <v>1500</v>
      </c>
      <c r="F423" s="2">
        <v>37</v>
      </c>
    </row>
    <row r="424" spans="2:6" x14ac:dyDescent="0.3">
      <c r="B424" s="2">
        <v>422</v>
      </c>
      <c r="C424" s="5" t="s">
        <v>9</v>
      </c>
      <c r="D424" s="5" t="s">
        <v>430</v>
      </c>
      <c r="E424">
        <v>90</v>
      </c>
      <c r="F424" s="2">
        <v>28</v>
      </c>
    </row>
    <row r="425" spans="2:6" x14ac:dyDescent="0.3">
      <c r="B425" s="2">
        <v>423</v>
      </c>
      <c r="C425" s="5" t="s">
        <v>9</v>
      </c>
      <c r="D425" s="5" t="s">
        <v>431</v>
      </c>
      <c r="E425">
        <v>25</v>
      </c>
      <c r="F425" s="2">
        <v>27</v>
      </c>
    </row>
    <row r="426" spans="2:6" x14ac:dyDescent="0.3">
      <c r="B426" s="2">
        <v>424</v>
      </c>
      <c r="C426" s="5" t="s">
        <v>6</v>
      </c>
      <c r="D426" s="5" t="s">
        <v>432</v>
      </c>
      <c r="E426">
        <v>1200</v>
      </c>
      <c r="F426" s="2">
        <v>57</v>
      </c>
    </row>
    <row r="427" spans="2:6" x14ac:dyDescent="0.3">
      <c r="B427" s="2">
        <v>425</v>
      </c>
      <c r="C427" s="5" t="s">
        <v>11</v>
      </c>
      <c r="D427" s="5" t="s">
        <v>433</v>
      </c>
      <c r="E427">
        <v>120</v>
      </c>
      <c r="F427" s="2">
        <v>55</v>
      </c>
    </row>
    <row r="428" spans="2:6" x14ac:dyDescent="0.3">
      <c r="B428" s="2">
        <v>426</v>
      </c>
      <c r="C428" s="5" t="s">
        <v>11</v>
      </c>
      <c r="D428" s="5" t="s">
        <v>434</v>
      </c>
      <c r="E428">
        <v>150</v>
      </c>
      <c r="F428" s="2">
        <v>23</v>
      </c>
    </row>
    <row r="429" spans="2:6" x14ac:dyDescent="0.3">
      <c r="B429" s="2">
        <v>427</v>
      </c>
      <c r="C429" s="5" t="s">
        <v>11</v>
      </c>
      <c r="D429" s="5" t="s">
        <v>435</v>
      </c>
      <c r="E429">
        <v>25</v>
      </c>
      <c r="F429" s="2">
        <v>25</v>
      </c>
    </row>
    <row r="430" spans="2:6" x14ac:dyDescent="0.3">
      <c r="B430" s="2">
        <v>428</v>
      </c>
      <c r="C430" s="5" t="s">
        <v>11</v>
      </c>
      <c r="D430" s="5" t="s">
        <v>436</v>
      </c>
      <c r="E430">
        <v>200</v>
      </c>
      <c r="F430" s="2">
        <v>40</v>
      </c>
    </row>
    <row r="431" spans="2:6" x14ac:dyDescent="0.3">
      <c r="B431" s="2">
        <v>429</v>
      </c>
      <c r="C431" s="5" t="s">
        <v>11</v>
      </c>
      <c r="D431" s="5" t="s">
        <v>437</v>
      </c>
      <c r="E431">
        <v>50</v>
      </c>
      <c r="F431" s="2">
        <v>64</v>
      </c>
    </row>
    <row r="432" spans="2:6" x14ac:dyDescent="0.3">
      <c r="B432" s="2">
        <v>430</v>
      </c>
      <c r="C432" s="5" t="s">
        <v>11</v>
      </c>
      <c r="D432" s="5" t="s">
        <v>438</v>
      </c>
      <c r="E432">
        <v>900</v>
      </c>
      <c r="F432" s="2">
        <v>43</v>
      </c>
    </row>
    <row r="433" spans="2:6" x14ac:dyDescent="0.3">
      <c r="B433" s="2">
        <v>431</v>
      </c>
      <c r="C433" s="5" t="s">
        <v>11</v>
      </c>
      <c r="D433" s="5" t="s">
        <v>439</v>
      </c>
      <c r="E433">
        <v>1200</v>
      </c>
      <c r="F433" s="2">
        <v>63</v>
      </c>
    </row>
    <row r="434" spans="2:6" x14ac:dyDescent="0.3">
      <c r="B434" s="2">
        <v>432</v>
      </c>
      <c r="C434" s="5" t="s">
        <v>11</v>
      </c>
      <c r="D434" s="5" t="s">
        <v>440</v>
      </c>
      <c r="E434">
        <v>1000</v>
      </c>
      <c r="F434" s="2">
        <v>60</v>
      </c>
    </row>
    <row r="435" spans="2:6" x14ac:dyDescent="0.3">
      <c r="B435" s="2">
        <v>433</v>
      </c>
      <c r="C435" s="5" t="s">
        <v>6</v>
      </c>
      <c r="D435" s="5" t="s">
        <v>441</v>
      </c>
      <c r="E435">
        <v>200</v>
      </c>
      <c r="F435" s="2">
        <v>29</v>
      </c>
    </row>
    <row r="436" spans="2:6" x14ac:dyDescent="0.3">
      <c r="B436" s="2">
        <v>434</v>
      </c>
      <c r="C436" s="5" t="s">
        <v>11</v>
      </c>
      <c r="D436" s="5" t="s">
        <v>442</v>
      </c>
      <c r="E436">
        <v>50</v>
      </c>
      <c r="F436" s="2">
        <v>43</v>
      </c>
    </row>
    <row r="437" spans="2:6" x14ac:dyDescent="0.3">
      <c r="B437" s="2">
        <v>435</v>
      </c>
      <c r="C437" s="5" t="s">
        <v>6</v>
      </c>
      <c r="D437" s="5" t="s">
        <v>443</v>
      </c>
      <c r="E437">
        <v>900</v>
      </c>
      <c r="F437" s="2">
        <v>30</v>
      </c>
    </row>
    <row r="438" spans="2:6" x14ac:dyDescent="0.3">
      <c r="B438" s="2">
        <v>436</v>
      </c>
      <c r="C438" s="5" t="s">
        <v>9</v>
      </c>
      <c r="D438" s="5" t="s">
        <v>444</v>
      </c>
      <c r="E438">
        <v>120</v>
      </c>
      <c r="F438" s="2">
        <v>57</v>
      </c>
    </row>
    <row r="439" spans="2:6" x14ac:dyDescent="0.3">
      <c r="B439" s="2">
        <v>437</v>
      </c>
      <c r="C439" s="5" t="s">
        <v>11</v>
      </c>
      <c r="D439" s="5" t="s">
        <v>445</v>
      </c>
      <c r="E439">
        <v>1200</v>
      </c>
      <c r="F439" s="2">
        <v>35</v>
      </c>
    </row>
    <row r="440" spans="2:6" x14ac:dyDescent="0.3">
      <c r="B440" s="2">
        <v>438</v>
      </c>
      <c r="C440" s="5" t="s">
        <v>9</v>
      </c>
      <c r="D440" s="5" t="s">
        <v>446</v>
      </c>
      <c r="E440">
        <v>30</v>
      </c>
      <c r="F440" s="2">
        <v>42</v>
      </c>
    </row>
    <row r="441" spans="2:6" x14ac:dyDescent="0.3">
      <c r="B441" s="2">
        <v>439</v>
      </c>
      <c r="C441" s="5" t="s">
        <v>9</v>
      </c>
      <c r="D441" s="5" t="s">
        <v>447</v>
      </c>
      <c r="E441">
        <v>75</v>
      </c>
      <c r="F441" s="2">
        <v>50</v>
      </c>
    </row>
    <row r="442" spans="2:6" x14ac:dyDescent="0.3">
      <c r="B442" s="2">
        <v>440</v>
      </c>
      <c r="C442" s="5" t="s">
        <v>9</v>
      </c>
      <c r="D442" s="5" t="s">
        <v>448</v>
      </c>
      <c r="E442">
        <v>600</v>
      </c>
      <c r="F442" s="2">
        <v>64</v>
      </c>
    </row>
    <row r="443" spans="2:6" x14ac:dyDescent="0.3">
      <c r="B443" s="2">
        <v>441</v>
      </c>
      <c r="C443" s="5" t="s">
        <v>6</v>
      </c>
      <c r="D443" s="5" t="s">
        <v>449</v>
      </c>
      <c r="E443">
        <v>1200</v>
      </c>
      <c r="F443" s="2">
        <v>57</v>
      </c>
    </row>
    <row r="444" spans="2:6" x14ac:dyDescent="0.3">
      <c r="B444" s="2">
        <v>442</v>
      </c>
      <c r="C444" s="5" t="s">
        <v>9</v>
      </c>
      <c r="D444" s="5" t="s">
        <v>450</v>
      </c>
      <c r="E444">
        <v>100</v>
      </c>
      <c r="F444" s="2">
        <v>60</v>
      </c>
    </row>
    <row r="445" spans="2:6" x14ac:dyDescent="0.3">
      <c r="B445" s="2">
        <v>443</v>
      </c>
      <c r="C445" s="5" t="s">
        <v>9</v>
      </c>
      <c r="D445" s="5" t="s">
        <v>451</v>
      </c>
      <c r="E445">
        <v>600</v>
      </c>
      <c r="F445" s="2">
        <v>29</v>
      </c>
    </row>
    <row r="446" spans="2:6" x14ac:dyDescent="0.3">
      <c r="B446" s="2">
        <v>444</v>
      </c>
      <c r="C446" s="5" t="s">
        <v>9</v>
      </c>
      <c r="D446" s="5" t="s">
        <v>452</v>
      </c>
      <c r="E446">
        <v>90</v>
      </c>
      <c r="F446" s="2">
        <v>61</v>
      </c>
    </row>
    <row r="447" spans="2:6" x14ac:dyDescent="0.3">
      <c r="B447" s="2">
        <v>445</v>
      </c>
      <c r="C447" s="5" t="s">
        <v>11</v>
      </c>
      <c r="D447" s="5" t="s">
        <v>453</v>
      </c>
      <c r="E447">
        <v>300</v>
      </c>
      <c r="F447" s="2">
        <v>53</v>
      </c>
    </row>
    <row r="448" spans="2:6" x14ac:dyDescent="0.3">
      <c r="B448" s="2">
        <v>446</v>
      </c>
      <c r="C448" s="5" t="s">
        <v>11</v>
      </c>
      <c r="D448" s="5" t="s">
        <v>454</v>
      </c>
      <c r="E448">
        <v>50</v>
      </c>
      <c r="F448" s="2">
        <v>21</v>
      </c>
    </row>
    <row r="449" spans="2:6" x14ac:dyDescent="0.3">
      <c r="B449" s="2">
        <v>447</v>
      </c>
      <c r="C449" s="5" t="s">
        <v>6</v>
      </c>
      <c r="D449" s="5" t="s">
        <v>455</v>
      </c>
      <c r="E449">
        <v>2000</v>
      </c>
      <c r="F449" s="2">
        <v>22</v>
      </c>
    </row>
    <row r="450" spans="2:6" x14ac:dyDescent="0.3">
      <c r="B450" s="2">
        <v>448</v>
      </c>
      <c r="C450" s="5" t="s">
        <v>6</v>
      </c>
      <c r="D450" s="5" t="s">
        <v>456</v>
      </c>
      <c r="E450">
        <v>60</v>
      </c>
      <c r="F450" s="2">
        <v>54</v>
      </c>
    </row>
    <row r="451" spans="2:6" x14ac:dyDescent="0.3">
      <c r="B451" s="2">
        <v>449</v>
      </c>
      <c r="C451" s="5" t="s">
        <v>11</v>
      </c>
      <c r="D451" s="5" t="s">
        <v>457</v>
      </c>
      <c r="E451">
        <v>200</v>
      </c>
      <c r="F451" s="2">
        <v>25</v>
      </c>
    </row>
    <row r="452" spans="2:6" x14ac:dyDescent="0.3">
      <c r="B452" s="2">
        <v>450</v>
      </c>
      <c r="C452" s="5" t="s">
        <v>6</v>
      </c>
      <c r="D452" s="5" t="s">
        <v>458</v>
      </c>
      <c r="E452">
        <v>50</v>
      </c>
      <c r="F452" s="2">
        <v>59</v>
      </c>
    </row>
    <row r="453" spans="2:6" x14ac:dyDescent="0.3">
      <c r="B453" s="2">
        <v>451</v>
      </c>
      <c r="C453" s="5" t="s">
        <v>11</v>
      </c>
      <c r="D453" s="5" t="s">
        <v>459</v>
      </c>
      <c r="E453">
        <v>30</v>
      </c>
      <c r="F453" s="2">
        <v>45</v>
      </c>
    </row>
    <row r="454" spans="2:6" x14ac:dyDescent="0.3">
      <c r="B454" s="2">
        <v>452</v>
      </c>
      <c r="C454" s="5" t="s">
        <v>9</v>
      </c>
      <c r="D454" s="5" t="s">
        <v>460</v>
      </c>
      <c r="E454">
        <v>1500</v>
      </c>
      <c r="F454" s="2">
        <v>48</v>
      </c>
    </row>
    <row r="455" spans="2:6" x14ac:dyDescent="0.3">
      <c r="B455" s="2">
        <v>453</v>
      </c>
      <c r="C455" s="5" t="s">
        <v>9</v>
      </c>
      <c r="D455" s="5" t="s">
        <v>461</v>
      </c>
      <c r="E455">
        <v>1000</v>
      </c>
      <c r="F455" s="2">
        <v>26</v>
      </c>
    </row>
    <row r="456" spans="2:6" x14ac:dyDescent="0.3">
      <c r="B456" s="2">
        <v>454</v>
      </c>
      <c r="C456" s="5" t="s">
        <v>6</v>
      </c>
      <c r="D456" s="5" t="s">
        <v>462</v>
      </c>
      <c r="E456">
        <v>25</v>
      </c>
      <c r="F456" s="2">
        <v>46</v>
      </c>
    </row>
    <row r="457" spans="2:6" x14ac:dyDescent="0.3">
      <c r="B457" s="2">
        <v>455</v>
      </c>
      <c r="C457" s="5" t="s">
        <v>11</v>
      </c>
      <c r="D457" s="5" t="s">
        <v>463</v>
      </c>
      <c r="E457">
        <v>100</v>
      </c>
      <c r="F457" s="2">
        <v>31</v>
      </c>
    </row>
    <row r="458" spans="2:6" x14ac:dyDescent="0.3">
      <c r="B458" s="2">
        <v>456</v>
      </c>
      <c r="C458" s="5" t="s">
        <v>11</v>
      </c>
      <c r="D458" s="5" t="s">
        <v>464</v>
      </c>
      <c r="E458">
        <v>60</v>
      </c>
      <c r="F458" s="2">
        <v>57</v>
      </c>
    </row>
    <row r="459" spans="2:6" x14ac:dyDescent="0.3">
      <c r="B459" s="2">
        <v>457</v>
      </c>
      <c r="C459" s="5" t="s">
        <v>6</v>
      </c>
      <c r="D459" s="5" t="s">
        <v>465</v>
      </c>
      <c r="E459">
        <v>900</v>
      </c>
      <c r="F459" s="2">
        <v>58</v>
      </c>
    </row>
    <row r="460" spans="2:6" x14ac:dyDescent="0.3">
      <c r="B460" s="2">
        <v>458</v>
      </c>
      <c r="C460" s="5" t="s">
        <v>11</v>
      </c>
      <c r="D460" s="5" t="s">
        <v>466</v>
      </c>
      <c r="E460">
        <v>100</v>
      </c>
      <c r="F460" s="2">
        <v>39</v>
      </c>
    </row>
    <row r="461" spans="2:6" x14ac:dyDescent="0.3">
      <c r="B461" s="2">
        <v>459</v>
      </c>
      <c r="C461" s="5" t="s">
        <v>9</v>
      </c>
      <c r="D461" s="5" t="s">
        <v>467</v>
      </c>
      <c r="E461">
        <v>1200</v>
      </c>
      <c r="F461" s="2">
        <v>28</v>
      </c>
    </row>
    <row r="462" spans="2:6" x14ac:dyDescent="0.3">
      <c r="B462" s="2">
        <v>460</v>
      </c>
      <c r="C462" s="5" t="s">
        <v>6</v>
      </c>
      <c r="D462" s="5" t="s">
        <v>468</v>
      </c>
      <c r="E462">
        <v>50</v>
      </c>
      <c r="F462" s="2">
        <v>40</v>
      </c>
    </row>
    <row r="463" spans="2:6" x14ac:dyDescent="0.3">
      <c r="B463" s="2">
        <v>461</v>
      </c>
      <c r="C463" s="5" t="s">
        <v>6</v>
      </c>
      <c r="D463" s="5" t="s">
        <v>469</v>
      </c>
      <c r="E463">
        <v>1000</v>
      </c>
      <c r="F463" s="2">
        <v>18</v>
      </c>
    </row>
    <row r="464" spans="2:6" x14ac:dyDescent="0.3">
      <c r="B464" s="2">
        <v>462</v>
      </c>
      <c r="C464" s="5" t="s">
        <v>11</v>
      </c>
      <c r="D464" s="5" t="s">
        <v>470</v>
      </c>
      <c r="E464">
        <v>1200</v>
      </c>
      <c r="F464" s="2">
        <v>63</v>
      </c>
    </row>
    <row r="465" spans="2:6" x14ac:dyDescent="0.3">
      <c r="B465" s="2">
        <v>463</v>
      </c>
      <c r="C465" s="5" t="s">
        <v>6</v>
      </c>
      <c r="D465" s="5" t="s">
        <v>471</v>
      </c>
      <c r="E465">
        <v>1500</v>
      </c>
      <c r="F465" s="2">
        <v>54</v>
      </c>
    </row>
    <row r="466" spans="2:6" x14ac:dyDescent="0.3">
      <c r="B466" s="2">
        <v>464</v>
      </c>
      <c r="C466" s="5" t="s">
        <v>11</v>
      </c>
      <c r="D466" s="5" t="s">
        <v>472</v>
      </c>
      <c r="E466">
        <v>600</v>
      </c>
      <c r="F466" s="2">
        <v>38</v>
      </c>
    </row>
    <row r="467" spans="2:6" x14ac:dyDescent="0.3">
      <c r="B467" s="2">
        <v>465</v>
      </c>
      <c r="C467" s="5" t="s">
        <v>11</v>
      </c>
      <c r="D467" s="5" t="s">
        <v>473</v>
      </c>
      <c r="E467">
        <v>150</v>
      </c>
      <c r="F467" s="2">
        <v>43</v>
      </c>
    </row>
    <row r="468" spans="2:6" x14ac:dyDescent="0.3">
      <c r="B468" s="2">
        <v>466</v>
      </c>
      <c r="C468" s="5" t="s">
        <v>11</v>
      </c>
      <c r="D468" s="5" t="s">
        <v>474</v>
      </c>
      <c r="E468">
        <v>100</v>
      </c>
      <c r="F468" s="2">
        <v>63</v>
      </c>
    </row>
    <row r="469" spans="2:6" x14ac:dyDescent="0.3">
      <c r="B469" s="2">
        <v>467</v>
      </c>
      <c r="C469" s="5" t="s">
        <v>11</v>
      </c>
      <c r="D469" s="5" t="s">
        <v>475</v>
      </c>
      <c r="E469">
        <v>150</v>
      </c>
      <c r="F469" s="2">
        <v>53</v>
      </c>
    </row>
    <row r="470" spans="2:6" x14ac:dyDescent="0.3">
      <c r="B470" s="2">
        <v>468</v>
      </c>
      <c r="C470" s="5" t="s">
        <v>11</v>
      </c>
      <c r="D470" s="5" t="s">
        <v>476</v>
      </c>
      <c r="E470">
        <v>25</v>
      </c>
      <c r="F470" s="2">
        <v>40</v>
      </c>
    </row>
    <row r="471" spans="2:6" x14ac:dyDescent="0.3">
      <c r="B471" s="2">
        <v>469</v>
      </c>
      <c r="C471" s="5" t="s">
        <v>6</v>
      </c>
      <c r="D471" s="5" t="s">
        <v>477</v>
      </c>
      <c r="E471">
        <v>75</v>
      </c>
      <c r="F471" s="2">
        <v>18</v>
      </c>
    </row>
    <row r="472" spans="2:6" x14ac:dyDescent="0.3">
      <c r="B472" s="2">
        <v>470</v>
      </c>
      <c r="C472" s="5" t="s">
        <v>9</v>
      </c>
      <c r="D472" s="5" t="s">
        <v>478</v>
      </c>
      <c r="E472">
        <v>1000</v>
      </c>
      <c r="F472" s="2">
        <v>57</v>
      </c>
    </row>
    <row r="473" spans="2:6" x14ac:dyDescent="0.3">
      <c r="B473" s="2">
        <v>471</v>
      </c>
      <c r="C473" s="5" t="s">
        <v>9</v>
      </c>
      <c r="D473" s="5" t="s">
        <v>479</v>
      </c>
      <c r="E473">
        <v>150</v>
      </c>
      <c r="F473" s="2">
        <v>32</v>
      </c>
    </row>
    <row r="474" spans="2:6" x14ac:dyDescent="0.3">
      <c r="B474" s="2">
        <v>472</v>
      </c>
      <c r="C474" s="5" t="s">
        <v>6</v>
      </c>
      <c r="D474" s="5" t="s">
        <v>480</v>
      </c>
      <c r="E474">
        <v>900</v>
      </c>
      <c r="F474" s="2">
        <v>38</v>
      </c>
    </row>
    <row r="475" spans="2:6" x14ac:dyDescent="0.3">
      <c r="B475" s="2">
        <v>473</v>
      </c>
      <c r="C475" s="5" t="s">
        <v>6</v>
      </c>
      <c r="D475" s="5" t="s">
        <v>481</v>
      </c>
      <c r="E475">
        <v>50</v>
      </c>
      <c r="F475" s="2">
        <v>64</v>
      </c>
    </row>
    <row r="476" spans="2:6" x14ac:dyDescent="0.3">
      <c r="B476" s="2">
        <v>474</v>
      </c>
      <c r="C476" s="5" t="s">
        <v>9</v>
      </c>
      <c r="D476" s="5" t="s">
        <v>482</v>
      </c>
      <c r="E476">
        <v>1500</v>
      </c>
      <c r="F476" s="2">
        <v>26</v>
      </c>
    </row>
    <row r="477" spans="2:6" x14ac:dyDescent="0.3">
      <c r="B477" s="2">
        <v>475</v>
      </c>
      <c r="C477" s="5" t="s">
        <v>9</v>
      </c>
      <c r="D477" s="5" t="s">
        <v>483</v>
      </c>
      <c r="E477">
        <v>75</v>
      </c>
      <c r="F477" s="2">
        <v>26</v>
      </c>
    </row>
    <row r="478" spans="2:6" x14ac:dyDescent="0.3">
      <c r="B478" s="2">
        <v>476</v>
      </c>
      <c r="C478" s="5" t="s">
        <v>9</v>
      </c>
      <c r="D478" s="5" t="s">
        <v>484</v>
      </c>
      <c r="E478">
        <v>2000</v>
      </c>
      <c r="F478" s="2">
        <v>27</v>
      </c>
    </row>
    <row r="479" spans="2:6" x14ac:dyDescent="0.3">
      <c r="B479" s="2">
        <v>477</v>
      </c>
      <c r="C479" s="5" t="s">
        <v>9</v>
      </c>
      <c r="D479" s="5" t="s">
        <v>485</v>
      </c>
      <c r="E479">
        <v>120</v>
      </c>
      <c r="F479" s="2">
        <v>43</v>
      </c>
    </row>
    <row r="480" spans="2:6" x14ac:dyDescent="0.3">
      <c r="B480" s="2">
        <v>478</v>
      </c>
      <c r="C480" s="5" t="s">
        <v>9</v>
      </c>
      <c r="D480" s="5" t="s">
        <v>486</v>
      </c>
      <c r="E480">
        <v>60</v>
      </c>
      <c r="F480" s="2">
        <v>58</v>
      </c>
    </row>
    <row r="481" spans="2:6" x14ac:dyDescent="0.3">
      <c r="B481" s="2">
        <v>479</v>
      </c>
      <c r="C481" s="5" t="s">
        <v>11</v>
      </c>
      <c r="D481" s="5" t="s">
        <v>487</v>
      </c>
      <c r="E481">
        <v>1200</v>
      </c>
      <c r="F481" s="2">
        <v>52</v>
      </c>
    </row>
    <row r="482" spans="2:6" x14ac:dyDescent="0.3">
      <c r="B482" s="2">
        <v>480</v>
      </c>
      <c r="C482" s="5" t="s">
        <v>6</v>
      </c>
      <c r="D482" s="5" t="s">
        <v>488</v>
      </c>
      <c r="E482">
        <v>2000</v>
      </c>
      <c r="F482" s="2">
        <v>42</v>
      </c>
    </row>
    <row r="483" spans="2:6" x14ac:dyDescent="0.3">
      <c r="B483" s="2">
        <v>481</v>
      </c>
      <c r="C483" s="5" t="s">
        <v>11</v>
      </c>
      <c r="D483" s="5" t="s">
        <v>489</v>
      </c>
      <c r="E483">
        <v>1200</v>
      </c>
      <c r="F483" s="2">
        <v>43</v>
      </c>
    </row>
    <row r="484" spans="2:6" x14ac:dyDescent="0.3">
      <c r="B484" s="2">
        <v>482</v>
      </c>
      <c r="C484" s="5" t="s">
        <v>9</v>
      </c>
      <c r="D484" s="5" t="s">
        <v>490</v>
      </c>
      <c r="E484">
        <v>1200</v>
      </c>
      <c r="F484" s="2">
        <v>28</v>
      </c>
    </row>
    <row r="485" spans="2:6" x14ac:dyDescent="0.3">
      <c r="B485" s="2">
        <v>483</v>
      </c>
      <c r="C485" s="5" t="s">
        <v>9</v>
      </c>
      <c r="D485" s="5" t="s">
        <v>491</v>
      </c>
      <c r="E485">
        <v>30</v>
      </c>
      <c r="F485" s="2">
        <v>55</v>
      </c>
    </row>
    <row r="486" spans="2:6" x14ac:dyDescent="0.3">
      <c r="B486" s="2">
        <v>484</v>
      </c>
      <c r="C486" s="5" t="s">
        <v>9</v>
      </c>
      <c r="D486" s="5" t="s">
        <v>492</v>
      </c>
      <c r="E486">
        <v>1200</v>
      </c>
      <c r="F486" s="2">
        <v>19</v>
      </c>
    </row>
    <row r="487" spans="2:6" x14ac:dyDescent="0.3">
      <c r="B487" s="2">
        <v>485</v>
      </c>
      <c r="C487" s="5" t="s">
        <v>11</v>
      </c>
      <c r="D487" s="5" t="s">
        <v>493</v>
      </c>
      <c r="E487">
        <v>30</v>
      </c>
      <c r="F487" s="2">
        <v>24</v>
      </c>
    </row>
    <row r="488" spans="2:6" x14ac:dyDescent="0.3">
      <c r="B488" s="2">
        <v>486</v>
      </c>
      <c r="C488" s="5" t="s">
        <v>11</v>
      </c>
      <c r="D488" s="5" t="s">
        <v>494</v>
      </c>
      <c r="E488">
        <v>25</v>
      </c>
      <c r="F488" s="2">
        <v>35</v>
      </c>
    </row>
    <row r="489" spans="2:6" x14ac:dyDescent="0.3">
      <c r="B489" s="2">
        <v>487</v>
      </c>
      <c r="C489" s="5" t="s">
        <v>9</v>
      </c>
      <c r="D489" s="5" t="s">
        <v>495</v>
      </c>
      <c r="E489">
        <v>2000</v>
      </c>
      <c r="F489" s="2">
        <v>44</v>
      </c>
    </row>
    <row r="490" spans="2:6" x14ac:dyDescent="0.3">
      <c r="B490" s="2">
        <v>488</v>
      </c>
      <c r="C490" s="5" t="s">
        <v>11</v>
      </c>
      <c r="D490" s="5" t="s">
        <v>496</v>
      </c>
      <c r="E490">
        <v>900</v>
      </c>
      <c r="F490" s="2">
        <v>51</v>
      </c>
    </row>
    <row r="491" spans="2:6" x14ac:dyDescent="0.3">
      <c r="B491" s="2">
        <v>489</v>
      </c>
      <c r="C491" s="5" t="s">
        <v>11</v>
      </c>
      <c r="D491" s="5" t="s">
        <v>497</v>
      </c>
      <c r="E491">
        <v>30</v>
      </c>
      <c r="F491" s="2">
        <v>44</v>
      </c>
    </row>
    <row r="492" spans="2:6" x14ac:dyDescent="0.3">
      <c r="B492" s="2">
        <v>490</v>
      </c>
      <c r="C492" s="5" t="s">
        <v>9</v>
      </c>
      <c r="D492" s="5" t="s">
        <v>498</v>
      </c>
      <c r="E492">
        <v>150</v>
      </c>
      <c r="F492" s="2">
        <v>34</v>
      </c>
    </row>
    <row r="493" spans="2:6" x14ac:dyDescent="0.3">
      <c r="B493" s="2">
        <v>491</v>
      </c>
      <c r="C493" s="5" t="s">
        <v>11</v>
      </c>
      <c r="D493" s="5" t="s">
        <v>499</v>
      </c>
      <c r="E493">
        <v>900</v>
      </c>
      <c r="F493" s="2">
        <v>60</v>
      </c>
    </row>
    <row r="494" spans="2:6" x14ac:dyDescent="0.3">
      <c r="B494" s="2">
        <v>492</v>
      </c>
      <c r="C494" s="5" t="s">
        <v>6</v>
      </c>
      <c r="D494" s="5" t="s">
        <v>500</v>
      </c>
      <c r="E494">
        <v>100</v>
      </c>
      <c r="F494" s="2">
        <v>61</v>
      </c>
    </row>
    <row r="495" spans="2:6" x14ac:dyDescent="0.3">
      <c r="B495" s="2">
        <v>493</v>
      </c>
      <c r="C495" s="5" t="s">
        <v>6</v>
      </c>
      <c r="D495" s="5" t="s">
        <v>501</v>
      </c>
      <c r="E495">
        <v>50</v>
      </c>
      <c r="F495" s="2">
        <v>41</v>
      </c>
    </row>
    <row r="496" spans="2:6" x14ac:dyDescent="0.3">
      <c r="B496" s="2">
        <v>494</v>
      </c>
      <c r="C496" s="5" t="s">
        <v>6</v>
      </c>
      <c r="D496" s="5" t="s">
        <v>502</v>
      </c>
      <c r="E496">
        <v>200</v>
      </c>
      <c r="F496" s="2">
        <v>42</v>
      </c>
    </row>
    <row r="497" spans="2:6" x14ac:dyDescent="0.3">
      <c r="B497" s="2">
        <v>495</v>
      </c>
      <c r="C497" s="5" t="s">
        <v>6</v>
      </c>
      <c r="D497" s="5" t="s">
        <v>503</v>
      </c>
      <c r="E497">
        <v>60</v>
      </c>
      <c r="F497" s="2">
        <v>24</v>
      </c>
    </row>
    <row r="498" spans="2:6" x14ac:dyDescent="0.3">
      <c r="B498" s="2">
        <v>496</v>
      </c>
      <c r="C498" s="5" t="s">
        <v>9</v>
      </c>
      <c r="D498" s="5" t="s">
        <v>504</v>
      </c>
      <c r="E498">
        <v>600</v>
      </c>
      <c r="F498" s="2">
        <v>23</v>
      </c>
    </row>
    <row r="499" spans="2:6" x14ac:dyDescent="0.3">
      <c r="B499" s="2">
        <v>497</v>
      </c>
      <c r="C499" s="5" t="s">
        <v>9</v>
      </c>
      <c r="D499" s="5" t="s">
        <v>505</v>
      </c>
      <c r="E499">
        <v>120</v>
      </c>
      <c r="F499" s="2">
        <v>41</v>
      </c>
    </row>
    <row r="500" spans="2:6" x14ac:dyDescent="0.3">
      <c r="B500" s="2">
        <v>498</v>
      </c>
      <c r="C500" s="5" t="s">
        <v>9</v>
      </c>
      <c r="D500" s="5" t="s">
        <v>506</v>
      </c>
      <c r="E500">
        <v>100</v>
      </c>
      <c r="F500" s="2">
        <v>50</v>
      </c>
    </row>
    <row r="501" spans="2:6" x14ac:dyDescent="0.3">
      <c r="B501" s="2">
        <v>499</v>
      </c>
      <c r="C501" s="5" t="s">
        <v>6</v>
      </c>
      <c r="D501" s="5" t="s">
        <v>507</v>
      </c>
      <c r="E501">
        <v>60</v>
      </c>
      <c r="F501" s="2">
        <v>46</v>
      </c>
    </row>
    <row r="502" spans="2:6" x14ac:dyDescent="0.3">
      <c r="B502" s="2">
        <v>500</v>
      </c>
      <c r="C502" s="5" t="s">
        <v>6</v>
      </c>
      <c r="D502" s="5" t="s">
        <v>508</v>
      </c>
      <c r="E502">
        <v>100</v>
      </c>
      <c r="F502" s="2">
        <v>60</v>
      </c>
    </row>
    <row r="503" spans="2:6" x14ac:dyDescent="0.3">
      <c r="B503" s="2">
        <v>501</v>
      </c>
      <c r="C503" s="5" t="s">
        <v>11</v>
      </c>
      <c r="D503" s="5" t="s">
        <v>509</v>
      </c>
      <c r="E503">
        <v>60</v>
      </c>
      <c r="F503" s="2">
        <v>39</v>
      </c>
    </row>
    <row r="504" spans="2:6" x14ac:dyDescent="0.3">
      <c r="B504" s="2">
        <v>502</v>
      </c>
      <c r="C504" s="5" t="s">
        <v>11</v>
      </c>
      <c r="D504" s="5" t="s">
        <v>510</v>
      </c>
      <c r="E504">
        <v>150</v>
      </c>
      <c r="F504" s="2">
        <v>43</v>
      </c>
    </row>
    <row r="505" spans="2:6" x14ac:dyDescent="0.3">
      <c r="B505" s="2">
        <v>503</v>
      </c>
      <c r="C505" s="5" t="s">
        <v>6</v>
      </c>
      <c r="D505" s="5" t="s">
        <v>511</v>
      </c>
      <c r="E505">
        <v>2000</v>
      </c>
      <c r="F505" s="2">
        <v>45</v>
      </c>
    </row>
    <row r="506" spans="2:6" x14ac:dyDescent="0.3">
      <c r="B506" s="2">
        <v>504</v>
      </c>
      <c r="C506" s="5" t="s">
        <v>6</v>
      </c>
      <c r="D506" s="5" t="s">
        <v>512</v>
      </c>
      <c r="E506">
        <v>150</v>
      </c>
      <c r="F506" s="2">
        <v>38</v>
      </c>
    </row>
    <row r="507" spans="2:6" x14ac:dyDescent="0.3">
      <c r="B507" s="2">
        <v>505</v>
      </c>
      <c r="C507" s="5" t="s">
        <v>6</v>
      </c>
      <c r="D507" s="5" t="s">
        <v>513</v>
      </c>
      <c r="E507">
        <v>50</v>
      </c>
      <c r="F507" s="2">
        <v>24</v>
      </c>
    </row>
    <row r="508" spans="2:6" x14ac:dyDescent="0.3">
      <c r="B508" s="2">
        <v>506</v>
      </c>
      <c r="C508" s="5" t="s">
        <v>6</v>
      </c>
      <c r="D508" s="5" t="s">
        <v>514</v>
      </c>
      <c r="E508">
        <v>1500</v>
      </c>
      <c r="F508" s="2">
        <v>34</v>
      </c>
    </row>
    <row r="509" spans="2:6" x14ac:dyDescent="0.3">
      <c r="B509" s="2">
        <v>507</v>
      </c>
      <c r="C509" s="5" t="s">
        <v>11</v>
      </c>
      <c r="D509" s="5" t="s">
        <v>515</v>
      </c>
      <c r="E509">
        <v>1500</v>
      </c>
      <c r="F509" s="2">
        <v>37</v>
      </c>
    </row>
    <row r="510" spans="2:6" x14ac:dyDescent="0.3">
      <c r="B510" s="2">
        <v>508</v>
      </c>
      <c r="C510" s="5" t="s">
        <v>6</v>
      </c>
      <c r="D510" s="5" t="s">
        <v>516</v>
      </c>
      <c r="E510">
        <v>600</v>
      </c>
      <c r="F510" s="2">
        <v>58</v>
      </c>
    </row>
    <row r="511" spans="2:6" x14ac:dyDescent="0.3">
      <c r="B511" s="2">
        <v>509</v>
      </c>
      <c r="C511" s="5" t="s">
        <v>11</v>
      </c>
      <c r="D511" s="5" t="s">
        <v>517</v>
      </c>
      <c r="E511">
        <v>900</v>
      </c>
      <c r="F511" s="2">
        <v>37</v>
      </c>
    </row>
    <row r="512" spans="2:6" x14ac:dyDescent="0.3">
      <c r="B512" s="2">
        <v>510</v>
      </c>
      <c r="C512" s="5" t="s">
        <v>6</v>
      </c>
      <c r="D512" s="5" t="s">
        <v>518</v>
      </c>
      <c r="E512">
        <v>200</v>
      </c>
      <c r="F512" s="2">
        <v>39</v>
      </c>
    </row>
    <row r="513" spans="2:6" x14ac:dyDescent="0.3">
      <c r="B513" s="2">
        <v>511</v>
      </c>
      <c r="C513" s="5" t="s">
        <v>6</v>
      </c>
      <c r="D513" s="5" t="s">
        <v>519</v>
      </c>
      <c r="E513">
        <v>100</v>
      </c>
      <c r="F513" s="2">
        <v>45</v>
      </c>
    </row>
    <row r="514" spans="2:6" x14ac:dyDescent="0.3">
      <c r="B514" s="2">
        <v>512</v>
      </c>
      <c r="C514" s="5" t="s">
        <v>6</v>
      </c>
      <c r="D514" s="5" t="s">
        <v>520</v>
      </c>
      <c r="E514">
        <v>25</v>
      </c>
      <c r="F514" s="2">
        <v>57</v>
      </c>
    </row>
    <row r="515" spans="2:6" x14ac:dyDescent="0.3">
      <c r="B515" s="2">
        <v>513</v>
      </c>
      <c r="C515" s="5" t="s">
        <v>11</v>
      </c>
      <c r="D515" s="5" t="s">
        <v>521</v>
      </c>
      <c r="E515">
        <v>100</v>
      </c>
      <c r="F515" s="2">
        <v>24</v>
      </c>
    </row>
    <row r="516" spans="2:6" x14ac:dyDescent="0.3">
      <c r="B516" s="2">
        <v>514</v>
      </c>
      <c r="C516" s="5" t="s">
        <v>11</v>
      </c>
      <c r="D516" s="5" t="s">
        <v>522</v>
      </c>
      <c r="E516">
        <v>300</v>
      </c>
      <c r="F516" s="2">
        <v>18</v>
      </c>
    </row>
    <row r="517" spans="2:6" x14ac:dyDescent="0.3">
      <c r="B517" s="2">
        <v>515</v>
      </c>
      <c r="C517" s="5" t="s">
        <v>9</v>
      </c>
      <c r="D517" s="5" t="s">
        <v>523</v>
      </c>
      <c r="E517">
        <v>900</v>
      </c>
      <c r="F517" s="2">
        <v>49</v>
      </c>
    </row>
    <row r="518" spans="2:6" x14ac:dyDescent="0.3">
      <c r="B518" s="2">
        <v>516</v>
      </c>
      <c r="C518" s="5" t="s">
        <v>6</v>
      </c>
      <c r="D518" s="5" t="s">
        <v>524</v>
      </c>
      <c r="E518">
        <v>100</v>
      </c>
      <c r="F518" s="2">
        <v>30</v>
      </c>
    </row>
    <row r="519" spans="2:6" x14ac:dyDescent="0.3">
      <c r="B519" s="2">
        <v>517</v>
      </c>
      <c r="C519" s="5" t="s">
        <v>9</v>
      </c>
      <c r="D519" s="5" t="s">
        <v>525</v>
      </c>
      <c r="E519">
        <v>100</v>
      </c>
      <c r="F519" s="2">
        <v>47</v>
      </c>
    </row>
    <row r="520" spans="2:6" x14ac:dyDescent="0.3">
      <c r="B520" s="2">
        <v>518</v>
      </c>
      <c r="C520" s="5" t="s">
        <v>9</v>
      </c>
      <c r="D520" s="5" t="s">
        <v>526</v>
      </c>
      <c r="E520">
        <v>30</v>
      </c>
      <c r="F520" s="2">
        <v>40</v>
      </c>
    </row>
    <row r="521" spans="2:6" x14ac:dyDescent="0.3">
      <c r="B521" s="2">
        <v>519</v>
      </c>
      <c r="C521" s="5" t="s">
        <v>11</v>
      </c>
      <c r="D521" s="5" t="s">
        <v>527</v>
      </c>
      <c r="E521">
        <v>120</v>
      </c>
      <c r="F521" s="2">
        <v>36</v>
      </c>
    </row>
    <row r="522" spans="2:6" x14ac:dyDescent="0.3">
      <c r="B522" s="2">
        <v>520</v>
      </c>
      <c r="C522" s="5" t="s">
        <v>11</v>
      </c>
      <c r="D522" s="5" t="s">
        <v>528</v>
      </c>
      <c r="E522">
        <v>100</v>
      </c>
      <c r="F522" s="2">
        <v>49</v>
      </c>
    </row>
    <row r="523" spans="2:6" x14ac:dyDescent="0.3">
      <c r="B523" s="2">
        <v>521</v>
      </c>
      <c r="C523" s="5" t="s">
        <v>9</v>
      </c>
      <c r="D523" s="5" t="s">
        <v>529</v>
      </c>
      <c r="E523">
        <v>120</v>
      </c>
      <c r="F523" s="2">
        <v>47</v>
      </c>
    </row>
    <row r="524" spans="2:6" x14ac:dyDescent="0.3">
      <c r="B524" s="2">
        <v>522</v>
      </c>
      <c r="C524" s="5" t="s">
        <v>6</v>
      </c>
      <c r="D524" s="5" t="s">
        <v>530</v>
      </c>
      <c r="E524">
        <v>1500</v>
      </c>
      <c r="F524" s="2">
        <v>46</v>
      </c>
    </row>
    <row r="525" spans="2:6" x14ac:dyDescent="0.3">
      <c r="B525" s="2">
        <v>523</v>
      </c>
      <c r="C525" s="5" t="s">
        <v>11</v>
      </c>
      <c r="D525" s="5" t="s">
        <v>531</v>
      </c>
      <c r="E525">
        <v>300</v>
      </c>
      <c r="F525" s="2">
        <v>62</v>
      </c>
    </row>
    <row r="526" spans="2:6" x14ac:dyDescent="0.3">
      <c r="B526" s="2">
        <v>524</v>
      </c>
      <c r="C526" s="5" t="s">
        <v>6</v>
      </c>
      <c r="D526" s="5" t="s">
        <v>532</v>
      </c>
      <c r="E526">
        <v>1200</v>
      </c>
      <c r="F526" s="2">
        <v>46</v>
      </c>
    </row>
    <row r="527" spans="2:6" x14ac:dyDescent="0.3">
      <c r="B527" s="2">
        <v>525</v>
      </c>
      <c r="C527" s="5" t="s">
        <v>6</v>
      </c>
      <c r="D527" s="5" t="s">
        <v>533</v>
      </c>
      <c r="E527">
        <v>50</v>
      </c>
      <c r="F527" s="2">
        <v>47</v>
      </c>
    </row>
    <row r="528" spans="2:6" x14ac:dyDescent="0.3">
      <c r="B528" s="2">
        <v>526</v>
      </c>
      <c r="C528" s="5" t="s">
        <v>9</v>
      </c>
      <c r="D528" s="5" t="s">
        <v>534</v>
      </c>
      <c r="E528">
        <v>100</v>
      </c>
      <c r="F528" s="2">
        <v>33</v>
      </c>
    </row>
    <row r="529" spans="2:6" x14ac:dyDescent="0.3">
      <c r="B529" s="2">
        <v>527</v>
      </c>
      <c r="C529" s="5" t="s">
        <v>9</v>
      </c>
      <c r="D529" s="5" t="s">
        <v>535</v>
      </c>
      <c r="E529">
        <v>50</v>
      </c>
      <c r="F529" s="2">
        <v>57</v>
      </c>
    </row>
    <row r="530" spans="2:6" x14ac:dyDescent="0.3">
      <c r="B530" s="2">
        <v>528</v>
      </c>
      <c r="C530" s="5" t="s">
        <v>9</v>
      </c>
      <c r="D530" s="5" t="s">
        <v>536</v>
      </c>
      <c r="E530">
        <v>60</v>
      </c>
      <c r="F530" s="2">
        <v>36</v>
      </c>
    </row>
    <row r="531" spans="2:6" x14ac:dyDescent="0.3">
      <c r="B531" s="2">
        <v>529</v>
      </c>
      <c r="C531" s="5" t="s">
        <v>9</v>
      </c>
      <c r="D531" s="5" t="s">
        <v>537</v>
      </c>
      <c r="E531">
        <v>150</v>
      </c>
      <c r="F531" s="2">
        <v>35</v>
      </c>
    </row>
    <row r="532" spans="2:6" x14ac:dyDescent="0.3">
      <c r="B532" s="2">
        <v>530</v>
      </c>
      <c r="C532" s="5" t="s">
        <v>11</v>
      </c>
      <c r="D532" s="5" t="s">
        <v>538</v>
      </c>
      <c r="E532">
        <v>120</v>
      </c>
      <c r="F532" s="2">
        <v>18</v>
      </c>
    </row>
    <row r="533" spans="2:6" x14ac:dyDescent="0.3">
      <c r="B533" s="2">
        <v>531</v>
      </c>
      <c r="C533" s="5" t="s">
        <v>11</v>
      </c>
      <c r="D533" s="5" t="s">
        <v>539</v>
      </c>
      <c r="E533">
        <v>500</v>
      </c>
      <c r="F533" s="2">
        <v>31</v>
      </c>
    </row>
    <row r="534" spans="2:6" x14ac:dyDescent="0.3">
      <c r="B534" s="2">
        <v>532</v>
      </c>
      <c r="C534" s="5" t="s">
        <v>9</v>
      </c>
      <c r="D534" s="5" t="s">
        <v>540</v>
      </c>
      <c r="E534">
        <v>120</v>
      </c>
      <c r="F534" s="2">
        <v>64</v>
      </c>
    </row>
    <row r="535" spans="2:6" x14ac:dyDescent="0.3">
      <c r="B535" s="2">
        <v>533</v>
      </c>
      <c r="C535" s="5" t="s">
        <v>11</v>
      </c>
      <c r="D535" s="5" t="s">
        <v>541</v>
      </c>
      <c r="E535">
        <v>1500</v>
      </c>
      <c r="F535" s="2">
        <v>19</v>
      </c>
    </row>
    <row r="536" spans="2:6" x14ac:dyDescent="0.3">
      <c r="B536" s="2">
        <v>534</v>
      </c>
      <c r="C536" s="5" t="s">
        <v>9</v>
      </c>
      <c r="D536" s="5" t="s">
        <v>542</v>
      </c>
      <c r="E536">
        <v>1000</v>
      </c>
      <c r="F536" s="2">
        <v>45</v>
      </c>
    </row>
    <row r="537" spans="2:6" x14ac:dyDescent="0.3">
      <c r="B537" s="2">
        <v>535</v>
      </c>
      <c r="C537" s="5" t="s">
        <v>6</v>
      </c>
      <c r="D537" s="5" t="s">
        <v>543</v>
      </c>
      <c r="E537">
        <v>90</v>
      </c>
      <c r="F537" s="2">
        <v>47</v>
      </c>
    </row>
    <row r="538" spans="2:6" x14ac:dyDescent="0.3">
      <c r="B538" s="2">
        <v>536</v>
      </c>
      <c r="C538" s="5" t="s">
        <v>6</v>
      </c>
      <c r="D538" s="5" t="s">
        <v>544</v>
      </c>
      <c r="E538">
        <v>120</v>
      </c>
      <c r="F538" s="2">
        <v>55</v>
      </c>
    </row>
    <row r="539" spans="2:6" x14ac:dyDescent="0.3">
      <c r="B539" s="2">
        <v>537</v>
      </c>
      <c r="C539" s="5" t="s">
        <v>6</v>
      </c>
      <c r="D539" s="5" t="s">
        <v>545</v>
      </c>
      <c r="E539">
        <v>500</v>
      </c>
      <c r="F539" s="2">
        <v>21</v>
      </c>
    </row>
    <row r="540" spans="2:6" x14ac:dyDescent="0.3">
      <c r="B540" s="2">
        <v>538</v>
      </c>
      <c r="C540" s="5" t="s">
        <v>9</v>
      </c>
      <c r="D540" s="5" t="s">
        <v>546</v>
      </c>
      <c r="E540">
        <v>150</v>
      </c>
      <c r="F540" s="2">
        <v>18</v>
      </c>
    </row>
    <row r="541" spans="2:6" x14ac:dyDescent="0.3">
      <c r="B541" s="2">
        <v>539</v>
      </c>
      <c r="C541" s="5" t="s">
        <v>6</v>
      </c>
      <c r="D541" s="5" t="s">
        <v>547</v>
      </c>
      <c r="E541">
        <v>500</v>
      </c>
      <c r="F541" s="2">
        <v>25</v>
      </c>
    </row>
    <row r="542" spans="2:6" x14ac:dyDescent="0.3">
      <c r="B542" s="2">
        <v>540</v>
      </c>
      <c r="C542" s="5" t="s">
        <v>11</v>
      </c>
      <c r="D542" s="5" t="s">
        <v>548</v>
      </c>
      <c r="E542">
        <v>900</v>
      </c>
      <c r="F542" s="2">
        <v>46</v>
      </c>
    </row>
    <row r="543" spans="2:6" x14ac:dyDescent="0.3">
      <c r="B543" s="2">
        <v>541</v>
      </c>
      <c r="C543" s="5" t="s">
        <v>6</v>
      </c>
      <c r="D543" s="5" t="s">
        <v>549</v>
      </c>
      <c r="E543">
        <v>500</v>
      </c>
      <c r="F543" s="2">
        <v>56</v>
      </c>
    </row>
    <row r="544" spans="2:6" x14ac:dyDescent="0.3">
      <c r="B544" s="2">
        <v>542</v>
      </c>
      <c r="C544" s="5" t="s">
        <v>6</v>
      </c>
      <c r="D544" s="5" t="s">
        <v>550</v>
      </c>
      <c r="E544">
        <v>50</v>
      </c>
      <c r="F544" s="2">
        <v>20</v>
      </c>
    </row>
    <row r="545" spans="2:6" x14ac:dyDescent="0.3">
      <c r="B545" s="2">
        <v>543</v>
      </c>
      <c r="C545" s="5" t="s">
        <v>6</v>
      </c>
      <c r="D545" s="5" t="s">
        <v>551</v>
      </c>
      <c r="E545">
        <v>600</v>
      </c>
      <c r="F545" s="2">
        <v>49</v>
      </c>
    </row>
    <row r="546" spans="2:6" x14ac:dyDescent="0.3">
      <c r="B546" s="2">
        <v>544</v>
      </c>
      <c r="C546" s="5" t="s">
        <v>11</v>
      </c>
      <c r="D546" s="5" t="s">
        <v>552</v>
      </c>
      <c r="E546">
        <v>25</v>
      </c>
      <c r="F546" s="2">
        <v>27</v>
      </c>
    </row>
    <row r="547" spans="2:6" x14ac:dyDescent="0.3">
      <c r="B547" s="2">
        <v>545</v>
      </c>
      <c r="C547" s="5" t="s">
        <v>9</v>
      </c>
      <c r="D547" s="5" t="s">
        <v>553</v>
      </c>
      <c r="E547">
        <v>50</v>
      </c>
      <c r="F547" s="2">
        <v>27</v>
      </c>
    </row>
    <row r="548" spans="2:6" x14ac:dyDescent="0.3">
      <c r="B548" s="2">
        <v>546</v>
      </c>
      <c r="C548" s="5" t="s">
        <v>11</v>
      </c>
      <c r="D548" s="5" t="s">
        <v>554</v>
      </c>
      <c r="E548">
        <v>200</v>
      </c>
      <c r="F548" s="2">
        <v>36</v>
      </c>
    </row>
    <row r="549" spans="2:6" x14ac:dyDescent="0.3">
      <c r="B549" s="2">
        <v>547</v>
      </c>
      <c r="C549" s="5" t="s">
        <v>9</v>
      </c>
      <c r="D549" s="5" t="s">
        <v>555</v>
      </c>
      <c r="E549">
        <v>2000</v>
      </c>
      <c r="F549" s="2">
        <v>63</v>
      </c>
    </row>
    <row r="550" spans="2:6" x14ac:dyDescent="0.3">
      <c r="B550" s="2">
        <v>548</v>
      </c>
      <c r="C550" s="5" t="s">
        <v>9</v>
      </c>
      <c r="D550" s="5" t="s">
        <v>556</v>
      </c>
      <c r="E550">
        <v>60</v>
      </c>
      <c r="F550" s="2">
        <v>51</v>
      </c>
    </row>
    <row r="551" spans="2:6" x14ac:dyDescent="0.3">
      <c r="B551" s="2">
        <v>549</v>
      </c>
      <c r="C551" s="5" t="s">
        <v>6</v>
      </c>
      <c r="D551" s="5" t="s">
        <v>557</v>
      </c>
      <c r="E551">
        <v>100</v>
      </c>
      <c r="F551" s="2">
        <v>50</v>
      </c>
    </row>
    <row r="552" spans="2:6" x14ac:dyDescent="0.3">
      <c r="B552" s="2">
        <v>550</v>
      </c>
      <c r="C552" s="5" t="s">
        <v>9</v>
      </c>
      <c r="D552" s="5" t="s">
        <v>558</v>
      </c>
      <c r="E552">
        <v>900</v>
      </c>
      <c r="F552" s="2">
        <v>40</v>
      </c>
    </row>
    <row r="553" spans="2:6" x14ac:dyDescent="0.3">
      <c r="B553" s="2">
        <v>551</v>
      </c>
      <c r="C553" s="5" t="s">
        <v>11</v>
      </c>
      <c r="D553" s="5" t="s">
        <v>559</v>
      </c>
      <c r="E553">
        <v>900</v>
      </c>
      <c r="F553" s="2">
        <v>45</v>
      </c>
    </row>
    <row r="554" spans="2:6" x14ac:dyDescent="0.3">
      <c r="B554" s="2">
        <v>552</v>
      </c>
      <c r="C554" s="5" t="s">
        <v>11</v>
      </c>
      <c r="D554" s="5" t="s">
        <v>560</v>
      </c>
      <c r="E554">
        <v>75</v>
      </c>
      <c r="F554" s="2">
        <v>49</v>
      </c>
    </row>
    <row r="555" spans="2:6" x14ac:dyDescent="0.3">
      <c r="B555" s="2">
        <v>553</v>
      </c>
      <c r="C555" s="5" t="s">
        <v>9</v>
      </c>
      <c r="D555" s="5" t="s">
        <v>561</v>
      </c>
      <c r="E555">
        <v>1200</v>
      </c>
      <c r="F555" s="2">
        <v>24</v>
      </c>
    </row>
    <row r="556" spans="2:6" x14ac:dyDescent="0.3">
      <c r="B556" s="2">
        <v>554</v>
      </c>
      <c r="C556" s="5" t="s">
        <v>6</v>
      </c>
      <c r="D556" s="5" t="s">
        <v>562</v>
      </c>
      <c r="E556">
        <v>150</v>
      </c>
      <c r="F556" s="2">
        <v>46</v>
      </c>
    </row>
    <row r="557" spans="2:6" x14ac:dyDescent="0.3">
      <c r="B557" s="2">
        <v>555</v>
      </c>
      <c r="C557" s="5" t="s">
        <v>6</v>
      </c>
      <c r="D557" s="5" t="s">
        <v>563</v>
      </c>
      <c r="E557">
        <v>300</v>
      </c>
      <c r="F557" s="2">
        <v>25</v>
      </c>
    </row>
    <row r="558" spans="2:6" x14ac:dyDescent="0.3">
      <c r="B558" s="2">
        <v>556</v>
      </c>
      <c r="C558" s="5" t="s">
        <v>11</v>
      </c>
      <c r="D558" s="5" t="s">
        <v>564</v>
      </c>
      <c r="E558">
        <v>50</v>
      </c>
      <c r="F558" s="2">
        <v>18</v>
      </c>
    </row>
    <row r="559" spans="2:6" x14ac:dyDescent="0.3">
      <c r="B559" s="2">
        <v>557</v>
      </c>
      <c r="C559" s="5" t="s">
        <v>6</v>
      </c>
      <c r="D559" s="5" t="s">
        <v>565</v>
      </c>
      <c r="E559">
        <v>90</v>
      </c>
      <c r="F559" s="2">
        <v>20</v>
      </c>
    </row>
    <row r="560" spans="2:6" x14ac:dyDescent="0.3">
      <c r="B560" s="2">
        <v>558</v>
      </c>
      <c r="C560" s="5" t="s">
        <v>9</v>
      </c>
      <c r="D560" s="5" t="s">
        <v>566</v>
      </c>
      <c r="E560">
        <v>25</v>
      </c>
      <c r="F560" s="2">
        <v>41</v>
      </c>
    </row>
    <row r="561" spans="2:6" x14ac:dyDescent="0.3">
      <c r="B561" s="2">
        <v>559</v>
      </c>
      <c r="C561" s="5" t="s">
        <v>9</v>
      </c>
      <c r="D561" s="5" t="s">
        <v>567</v>
      </c>
      <c r="E561">
        <v>1200</v>
      </c>
      <c r="F561" s="2">
        <v>40</v>
      </c>
    </row>
    <row r="562" spans="2:6" x14ac:dyDescent="0.3">
      <c r="B562" s="2">
        <v>560</v>
      </c>
      <c r="C562" s="5" t="s">
        <v>11</v>
      </c>
      <c r="D562" s="5" t="s">
        <v>568</v>
      </c>
      <c r="E562">
        <v>50</v>
      </c>
      <c r="F562" s="2">
        <v>25</v>
      </c>
    </row>
    <row r="563" spans="2:6" x14ac:dyDescent="0.3">
      <c r="B563" s="2">
        <v>561</v>
      </c>
      <c r="C563" s="5" t="s">
        <v>9</v>
      </c>
      <c r="D563" s="5" t="s">
        <v>569</v>
      </c>
      <c r="E563">
        <v>2000</v>
      </c>
      <c r="F563" s="2">
        <v>64</v>
      </c>
    </row>
    <row r="564" spans="2:6" x14ac:dyDescent="0.3">
      <c r="B564" s="2">
        <v>562</v>
      </c>
      <c r="C564" s="5" t="s">
        <v>11</v>
      </c>
      <c r="D564" s="5" t="s">
        <v>570</v>
      </c>
      <c r="E564">
        <v>50</v>
      </c>
      <c r="F564" s="2">
        <v>54</v>
      </c>
    </row>
    <row r="565" spans="2:6" x14ac:dyDescent="0.3">
      <c r="B565" s="2">
        <v>563</v>
      </c>
      <c r="C565" s="5" t="s">
        <v>9</v>
      </c>
      <c r="D565" s="5" t="s">
        <v>571</v>
      </c>
      <c r="E565">
        <v>60</v>
      </c>
      <c r="F565" s="2">
        <v>20</v>
      </c>
    </row>
    <row r="566" spans="2:6" x14ac:dyDescent="0.3">
      <c r="B566" s="2">
        <v>564</v>
      </c>
      <c r="C566" s="5" t="s">
        <v>11</v>
      </c>
      <c r="D566" s="5" t="s">
        <v>572</v>
      </c>
      <c r="E566">
        <v>100</v>
      </c>
      <c r="F566" s="2">
        <v>50</v>
      </c>
    </row>
    <row r="567" spans="2:6" x14ac:dyDescent="0.3">
      <c r="B567" s="2">
        <v>565</v>
      </c>
      <c r="C567" s="5" t="s">
        <v>6</v>
      </c>
      <c r="D567" s="5" t="s">
        <v>573</v>
      </c>
      <c r="E567">
        <v>60</v>
      </c>
      <c r="F567" s="2">
        <v>45</v>
      </c>
    </row>
    <row r="568" spans="2:6" x14ac:dyDescent="0.3">
      <c r="B568" s="2">
        <v>566</v>
      </c>
      <c r="C568" s="5" t="s">
        <v>9</v>
      </c>
      <c r="D568" s="5" t="s">
        <v>574</v>
      </c>
      <c r="E568">
        <v>30</v>
      </c>
      <c r="F568" s="2">
        <v>64</v>
      </c>
    </row>
    <row r="569" spans="2:6" x14ac:dyDescent="0.3">
      <c r="B569" s="2">
        <v>567</v>
      </c>
      <c r="C569" s="5" t="s">
        <v>9</v>
      </c>
      <c r="D569" s="5" t="s">
        <v>575</v>
      </c>
      <c r="E569">
        <v>900</v>
      </c>
      <c r="F569" s="2">
        <v>25</v>
      </c>
    </row>
    <row r="570" spans="2:6" x14ac:dyDescent="0.3">
      <c r="B570" s="2">
        <v>568</v>
      </c>
      <c r="C570" s="5" t="s">
        <v>11</v>
      </c>
      <c r="D570" s="5" t="s">
        <v>576</v>
      </c>
      <c r="E570">
        <v>300</v>
      </c>
      <c r="F570" s="2">
        <v>51</v>
      </c>
    </row>
    <row r="571" spans="2:6" x14ac:dyDescent="0.3">
      <c r="B571" s="2">
        <v>569</v>
      </c>
      <c r="C571" s="5" t="s">
        <v>11</v>
      </c>
      <c r="D571" s="5" t="s">
        <v>577</v>
      </c>
      <c r="E571">
        <v>200</v>
      </c>
      <c r="F571" s="2">
        <v>52</v>
      </c>
    </row>
    <row r="572" spans="2:6" x14ac:dyDescent="0.3">
      <c r="B572" s="2">
        <v>570</v>
      </c>
      <c r="C572" s="5" t="s">
        <v>9</v>
      </c>
      <c r="D572" s="5" t="s">
        <v>578</v>
      </c>
      <c r="E572">
        <v>500</v>
      </c>
      <c r="F572" s="2">
        <v>49</v>
      </c>
    </row>
    <row r="573" spans="2:6" x14ac:dyDescent="0.3">
      <c r="B573" s="2">
        <v>571</v>
      </c>
      <c r="C573" s="5" t="s">
        <v>11</v>
      </c>
      <c r="D573" s="5" t="s">
        <v>579</v>
      </c>
      <c r="E573">
        <v>50</v>
      </c>
      <c r="F573" s="2">
        <v>41</v>
      </c>
    </row>
    <row r="574" spans="2:6" x14ac:dyDescent="0.3">
      <c r="B574" s="2">
        <v>572</v>
      </c>
      <c r="C574" s="5" t="s">
        <v>9</v>
      </c>
      <c r="D574" s="5" t="s">
        <v>580</v>
      </c>
      <c r="E574">
        <v>2000</v>
      </c>
      <c r="F574" s="2">
        <v>31</v>
      </c>
    </row>
    <row r="575" spans="2:6" x14ac:dyDescent="0.3">
      <c r="B575" s="2">
        <v>573</v>
      </c>
      <c r="C575" s="5" t="s">
        <v>6</v>
      </c>
      <c r="D575" s="5" t="s">
        <v>581</v>
      </c>
      <c r="E575">
        <v>60</v>
      </c>
      <c r="F575" s="2">
        <v>49</v>
      </c>
    </row>
    <row r="576" spans="2:6" x14ac:dyDescent="0.3">
      <c r="B576" s="2">
        <v>574</v>
      </c>
      <c r="C576" s="5" t="s">
        <v>11</v>
      </c>
      <c r="D576" s="5" t="s">
        <v>582</v>
      </c>
      <c r="E576">
        <v>50</v>
      </c>
      <c r="F576" s="2">
        <v>63</v>
      </c>
    </row>
    <row r="577" spans="2:6" x14ac:dyDescent="0.3">
      <c r="B577" s="2">
        <v>575</v>
      </c>
      <c r="C577" s="5" t="s">
        <v>9</v>
      </c>
      <c r="D577" s="5" t="s">
        <v>583</v>
      </c>
      <c r="E577">
        <v>100</v>
      </c>
      <c r="F577" s="2">
        <v>60</v>
      </c>
    </row>
    <row r="578" spans="2:6" x14ac:dyDescent="0.3">
      <c r="B578" s="2">
        <v>576</v>
      </c>
      <c r="C578" s="5" t="s">
        <v>6</v>
      </c>
      <c r="D578" s="5" t="s">
        <v>584</v>
      </c>
      <c r="E578">
        <v>150</v>
      </c>
      <c r="F578" s="2">
        <v>33</v>
      </c>
    </row>
    <row r="579" spans="2:6" x14ac:dyDescent="0.3">
      <c r="B579" s="2">
        <v>577</v>
      </c>
      <c r="C579" s="5" t="s">
        <v>6</v>
      </c>
      <c r="D579" s="5" t="s">
        <v>585</v>
      </c>
      <c r="E579">
        <v>2000</v>
      </c>
      <c r="F579" s="2">
        <v>21</v>
      </c>
    </row>
    <row r="580" spans="2:6" x14ac:dyDescent="0.3">
      <c r="B580" s="2">
        <v>578</v>
      </c>
      <c r="C580" s="5" t="s">
        <v>9</v>
      </c>
      <c r="D580" s="5" t="s">
        <v>586</v>
      </c>
      <c r="E580">
        <v>120</v>
      </c>
      <c r="F580" s="2">
        <v>54</v>
      </c>
    </row>
    <row r="581" spans="2:6" x14ac:dyDescent="0.3">
      <c r="B581" s="2">
        <v>579</v>
      </c>
      <c r="C581" s="5" t="s">
        <v>11</v>
      </c>
      <c r="D581" s="5" t="s">
        <v>587</v>
      </c>
      <c r="E581">
        <v>30</v>
      </c>
      <c r="F581" s="2">
        <v>38</v>
      </c>
    </row>
    <row r="582" spans="2:6" x14ac:dyDescent="0.3">
      <c r="B582" s="2">
        <v>580</v>
      </c>
      <c r="C582" s="5" t="s">
        <v>9</v>
      </c>
      <c r="D582" s="5" t="s">
        <v>588</v>
      </c>
      <c r="E582">
        <v>1500</v>
      </c>
      <c r="F582" s="2">
        <v>31</v>
      </c>
    </row>
    <row r="583" spans="2:6" x14ac:dyDescent="0.3">
      <c r="B583" s="2">
        <v>581</v>
      </c>
      <c r="C583" s="5" t="s">
        <v>6</v>
      </c>
      <c r="D583" s="5" t="s">
        <v>589</v>
      </c>
      <c r="E583">
        <v>60</v>
      </c>
      <c r="F583" s="2">
        <v>48</v>
      </c>
    </row>
    <row r="584" spans="2:6" x14ac:dyDescent="0.3">
      <c r="B584" s="2">
        <v>582</v>
      </c>
      <c r="C584" s="5" t="s">
        <v>9</v>
      </c>
      <c r="D584" s="5" t="s">
        <v>590</v>
      </c>
      <c r="E584">
        <v>900</v>
      </c>
      <c r="F584" s="2">
        <v>35</v>
      </c>
    </row>
    <row r="585" spans="2:6" x14ac:dyDescent="0.3">
      <c r="B585" s="2">
        <v>583</v>
      </c>
      <c r="C585" s="5" t="s">
        <v>11</v>
      </c>
      <c r="D585" s="5" t="s">
        <v>591</v>
      </c>
      <c r="E585">
        <v>100</v>
      </c>
      <c r="F585" s="2">
        <v>24</v>
      </c>
    </row>
    <row r="586" spans="2:6" x14ac:dyDescent="0.3">
      <c r="B586" s="2">
        <v>584</v>
      </c>
      <c r="C586" s="5" t="s">
        <v>6</v>
      </c>
      <c r="D586" s="5" t="s">
        <v>592</v>
      </c>
      <c r="E586">
        <v>200</v>
      </c>
      <c r="F586" s="2">
        <v>27</v>
      </c>
    </row>
    <row r="587" spans="2:6" x14ac:dyDescent="0.3">
      <c r="B587" s="2">
        <v>585</v>
      </c>
      <c r="C587" s="5" t="s">
        <v>9</v>
      </c>
      <c r="D587" s="5" t="s">
        <v>593</v>
      </c>
      <c r="E587">
        <v>25</v>
      </c>
      <c r="F587" s="2">
        <v>24</v>
      </c>
    </row>
    <row r="588" spans="2:6" x14ac:dyDescent="0.3">
      <c r="B588" s="2">
        <v>586</v>
      </c>
      <c r="C588" s="5" t="s">
        <v>11</v>
      </c>
      <c r="D588" s="5" t="s">
        <v>594</v>
      </c>
      <c r="E588">
        <v>50</v>
      </c>
      <c r="F588" s="2">
        <v>50</v>
      </c>
    </row>
    <row r="589" spans="2:6" x14ac:dyDescent="0.3">
      <c r="B589" s="2">
        <v>587</v>
      </c>
      <c r="C589" s="5" t="s">
        <v>6</v>
      </c>
      <c r="D589" s="5" t="s">
        <v>595</v>
      </c>
      <c r="E589">
        <v>1200</v>
      </c>
      <c r="F589" s="2">
        <v>40</v>
      </c>
    </row>
    <row r="590" spans="2:6" x14ac:dyDescent="0.3">
      <c r="B590" s="2">
        <v>588</v>
      </c>
      <c r="C590" s="5" t="s">
        <v>11</v>
      </c>
      <c r="D590" s="5" t="s">
        <v>596</v>
      </c>
      <c r="E590">
        <v>60</v>
      </c>
      <c r="F590" s="2">
        <v>38</v>
      </c>
    </row>
    <row r="591" spans="2:6" x14ac:dyDescent="0.3">
      <c r="B591" s="2">
        <v>589</v>
      </c>
      <c r="C591" s="5" t="s">
        <v>6</v>
      </c>
      <c r="D591" s="5" t="s">
        <v>597</v>
      </c>
      <c r="E591">
        <v>1000</v>
      </c>
      <c r="F591" s="2">
        <v>36</v>
      </c>
    </row>
    <row r="592" spans="2:6" x14ac:dyDescent="0.3">
      <c r="B592" s="2">
        <v>590</v>
      </c>
      <c r="C592" s="5" t="s">
        <v>9</v>
      </c>
      <c r="D592" s="5" t="s">
        <v>598</v>
      </c>
      <c r="E592">
        <v>900</v>
      </c>
      <c r="F592" s="2">
        <v>36</v>
      </c>
    </row>
    <row r="593" spans="2:6" x14ac:dyDescent="0.3">
      <c r="B593" s="2">
        <v>591</v>
      </c>
      <c r="C593" s="5" t="s">
        <v>11</v>
      </c>
      <c r="D593" s="5" t="s">
        <v>599</v>
      </c>
      <c r="E593">
        <v>100</v>
      </c>
      <c r="F593" s="2">
        <v>53</v>
      </c>
    </row>
    <row r="594" spans="2:6" x14ac:dyDescent="0.3">
      <c r="B594" s="2">
        <v>592</v>
      </c>
      <c r="C594" s="5" t="s">
        <v>6</v>
      </c>
      <c r="D594" s="5" t="s">
        <v>600</v>
      </c>
      <c r="E594">
        <v>2000</v>
      </c>
      <c r="F594" s="2">
        <v>46</v>
      </c>
    </row>
    <row r="595" spans="2:6" x14ac:dyDescent="0.3">
      <c r="B595" s="2">
        <v>593</v>
      </c>
      <c r="C595" s="5" t="s">
        <v>11</v>
      </c>
      <c r="D595" s="5" t="s">
        <v>601</v>
      </c>
      <c r="E595">
        <v>60</v>
      </c>
      <c r="F595" s="2">
        <v>35</v>
      </c>
    </row>
    <row r="596" spans="2:6" x14ac:dyDescent="0.3">
      <c r="B596" s="2">
        <v>594</v>
      </c>
      <c r="C596" s="5" t="s">
        <v>11</v>
      </c>
      <c r="D596" s="5" t="s">
        <v>602</v>
      </c>
      <c r="E596">
        <v>600</v>
      </c>
      <c r="F596" s="2">
        <v>19</v>
      </c>
    </row>
    <row r="597" spans="2:6" x14ac:dyDescent="0.3">
      <c r="B597" s="2">
        <v>595</v>
      </c>
      <c r="C597" s="5" t="s">
        <v>9</v>
      </c>
      <c r="D597" s="5" t="s">
        <v>603</v>
      </c>
      <c r="E597">
        <v>2000</v>
      </c>
      <c r="F597" s="2">
        <v>18</v>
      </c>
    </row>
    <row r="598" spans="2:6" x14ac:dyDescent="0.3">
      <c r="B598" s="2">
        <v>596</v>
      </c>
      <c r="C598" s="5" t="s">
        <v>11</v>
      </c>
      <c r="D598" s="5" t="s">
        <v>604</v>
      </c>
      <c r="E598">
        <v>300</v>
      </c>
      <c r="F598" s="2">
        <v>64</v>
      </c>
    </row>
    <row r="599" spans="2:6" x14ac:dyDescent="0.3">
      <c r="B599" s="2">
        <v>597</v>
      </c>
      <c r="C599" s="5" t="s">
        <v>6</v>
      </c>
      <c r="D599" s="5" t="s">
        <v>605</v>
      </c>
      <c r="E599">
        <v>1200</v>
      </c>
      <c r="F599" s="2">
        <v>22</v>
      </c>
    </row>
    <row r="600" spans="2:6" x14ac:dyDescent="0.3">
      <c r="B600" s="2">
        <v>598</v>
      </c>
      <c r="C600" s="5" t="s">
        <v>6</v>
      </c>
      <c r="D600" s="5" t="s">
        <v>606</v>
      </c>
      <c r="E600">
        <v>120</v>
      </c>
      <c r="F600" s="2">
        <v>37</v>
      </c>
    </row>
    <row r="601" spans="2:6" x14ac:dyDescent="0.3">
      <c r="B601" s="2">
        <v>599</v>
      </c>
      <c r="C601" s="5" t="s">
        <v>6</v>
      </c>
      <c r="D601" s="5" t="s">
        <v>607</v>
      </c>
      <c r="E601">
        <v>100</v>
      </c>
      <c r="F601" s="2">
        <v>28</v>
      </c>
    </row>
    <row r="602" spans="2:6" x14ac:dyDescent="0.3">
      <c r="B602" s="2">
        <v>600</v>
      </c>
      <c r="C602" s="5" t="s">
        <v>6</v>
      </c>
      <c r="D602" s="5" t="s">
        <v>608</v>
      </c>
      <c r="E602">
        <v>1000</v>
      </c>
      <c r="F602" s="2">
        <v>59</v>
      </c>
    </row>
    <row r="603" spans="2:6" x14ac:dyDescent="0.3">
      <c r="B603" s="2">
        <v>601</v>
      </c>
      <c r="C603" s="5" t="s">
        <v>9</v>
      </c>
      <c r="D603" s="5" t="s">
        <v>609</v>
      </c>
      <c r="E603">
        <v>30</v>
      </c>
      <c r="F603" s="2">
        <v>19</v>
      </c>
    </row>
    <row r="604" spans="2:6" x14ac:dyDescent="0.3">
      <c r="B604" s="2">
        <v>602</v>
      </c>
      <c r="C604" s="5" t="s">
        <v>11</v>
      </c>
      <c r="D604" s="5" t="s">
        <v>610</v>
      </c>
      <c r="E604">
        <v>300</v>
      </c>
      <c r="F604" s="2">
        <v>20</v>
      </c>
    </row>
    <row r="605" spans="2:6" x14ac:dyDescent="0.3">
      <c r="B605" s="2">
        <v>603</v>
      </c>
      <c r="C605" s="5" t="s">
        <v>9</v>
      </c>
      <c r="D605" s="5" t="s">
        <v>611</v>
      </c>
      <c r="E605">
        <v>90</v>
      </c>
      <c r="F605" s="2">
        <v>40</v>
      </c>
    </row>
    <row r="606" spans="2:6" x14ac:dyDescent="0.3">
      <c r="B606" s="2">
        <v>604</v>
      </c>
      <c r="C606" s="5" t="s">
        <v>11</v>
      </c>
      <c r="D606" s="5" t="s">
        <v>612</v>
      </c>
      <c r="E606">
        <v>200</v>
      </c>
      <c r="F606" s="2">
        <v>29</v>
      </c>
    </row>
    <row r="607" spans="2:6" x14ac:dyDescent="0.3">
      <c r="B607" s="2">
        <v>605</v>
      </c>
      <c r="C607" s="5" t="s">
        <v>11</v>
      </c>
      <c r="D607" s="5" t="s">
        <v>613</v>
      </c>
      <c r="E607">
        <v>1000</v>
      </c>
      <c r="F607" s="2">
        <v>37</v>
      </c>
    </row>
    <row r="608" spans="2:6" x14ac:dyDescent="0.3">
      <c r="B608" s="2">
        <v>606</v>
      </c>
      <c r="C608" s="5" t="s">
        <v>11</v>
      </c>
      <c r="D608" s="5" t="s">
        <v>614</v>
      </c>
      <c r="E608">
        <v>50</v>
      </c>
      <c r="F608" s="2">
        <v>22</v>
      </c>
    </row>
    <row r="609" spans="2:6" x14ac:dyDescent="0.3">
      <c r="B609" s="2">
        <v>607</v>
      </c>
      <c r="C609" s="5" t="s">
        <v>9</v>
      </c>
      <c r="D609" s="5" t="s">
        <v>615</v>
      </c>
      <c r="E609">
        <v>75</v>
      </c>
      <c r="F609" s="2">
        <v>54</v>
      </c>
    </row>
    <row r="610" spans="2:6" x14ac:dyDescent="0.3">
      <c r="B610" s="2">
        <v>608</v>
      </c>
      <c r="C610" s="5" t="s">
        <v>11</v>
      </c>
      <c r="D610" s="5" t="s">
        <v>616</v>
      </c>
      <c r="E610">
        <v>1500</v>
      </c>
      <c r="F610" s="2">
        <v>55</v>
      </c>
    </row>
    <row r="611" spans="2:6" x14ac:dyDescent="0.3">
      <c r="B611" s="2">
        <v>609</v>
      </c>
      <c r="C611" s="5" t="s">
        <v>9</v>
      </c>
      <c r="D611" s="5" t="s">
        <v>617</v>
      </c>
      <c r="E611">
        <v>100</v>
      </c>
      <c r="F611" s="2">
        <v>47</v>
      </c>
    </row>
    <row r="612" spans="2:6" x14ac:dyDescent="0.3">
      <c r="B612" s="2">
        <v>610</v>
      </c>
      <c r="C612" s="5" t="s">
        <v>6</v>
      </c>
      <c r="D612" s="5" t="s">
        <v>618</v>
      </c>
      <c r="E612">
        <v>600</v>
      </c>
      <c r="F612" s="2">
        <v>26</v>
      </c>
    </row>
    <row r="613" spans="2:6" x14ac:dyDescent="0.3">
      <c r="B613" s="2">
        <v>611</v>
      </c>
      <c r="C613" s="5" t="s">
        <v>6</v>
      </c>
      <c r="D613" s="5" t="s">
        <v>619</v>
      </c>
      <c r="E613">
        <v>1500</v>
      </c>
      <c r="F613" s="2">
        <v>51</v>
      </c>
    </row>
    <row r="614" spans="2:6" x14ac:dyDescent="0.3">
      <c r="B614" s="2">
        <v>612</v>
      </c>
      <c r="C614" s="5" t="s">
        <v>11</v>
      </c>
      <c r="D614" s="5" t="s">
        <v>620</v>
      </c>
      <c r="E614">
        <v>500</v>
      </c>
      <c r="F614" s="2">
        <v>61</v>
      </c>
    </row>
    <row r="615" spans="2:6" x14ac:dyDescent="0.3">
      <c r="B615" s="2">
        <v>613</v>
      </c>
      <c r="C615" s="5" t="s">
        <v>9</v>
      </c>
      <c r="D615" s="5" t="s">
        <v>621</v>
      </c>
      <c r="E615">
        <v>90</v>
      </c>
      <c r="F615" s="2">
        <v>52</v>
      </c>
    </row>
    <row r="616" spans="2:6" x14ac:dyDescent="0.3">
      <c r="B616" s="2">
        <v>614</v>
      </c>
      <c r="C616" s="5" t="s">
        <v>6</v>
      </c>
      <c r="D616" s="5" t="s">
        <v>622</v>
      </c>
      <c r="E616">
        <v>1200</v>
      </c>
      <c r="F616" s="2">
        <v>39</v>
      </c>
    </row>
    <row r="617" spans="2:6" x14ac:dyDescent="0.3">
      <c r="B617" s="2">
        <v>615</v>
      </c>
      <c r="C617" s="5" t="s">
        <v>9</v>
      </c>
      <c r="D617" s="5" t="s">
        <v>623</v>
      </c>
      <c r="E617">
        <v>100</v>
      </c>
      <c r="F617" s="2">
        <v>61</v>
      </c>
    </row>
    <row r="618" spans="2:6" x14ac:dyDescent="0.3">
      <c r="B618" s="2">
        <v>616</v>
      </c>
      <c r="C618" s="5" t="s">
        <v>9</v>
      </c>
      <c r="D618" s="5" t="s">
        <v>624</v>
      </c>
      <c r="E618">
        <v>100</v>
      </c>
      <c r="F618" s="2">
        <v>41</v>
      </c>
    </row>
    <row r="619" spans="2:6" x14ac:dyDescent="0.3">
      <c r="B619" s="2">
        <v>617</v>
      </c>
      <c r="C619" s="5" t="s">
        <v>11</v>
      </c>
      <c r="D619" s="5" t="s">
        <v>625</v>
      </c>
      <c r="E619">
        <v>30</v>
      </c>
      <c r="F619" s="2">
        <v>34</v>
      </c>
    </row>
    <row r="620" spans="2:6" x14ac:dyDescent="0.3">
      <c r="B620" s="2">
        <v>618</v>
      </c>
      <c r="C620" s="5" t="s">
        <v>6</v>
      </c>
      <c r="D620" s="5" t="s">
        <v>626</v>
      </c>
      <c r="E620">
        <v>50</v>
      </c>
      <c r="F620" s="2">
        <v>27</v>
      </c>
    </row>
    <row r="621" spans="2:6" x14ac:dyDescent="0.3">
      <c r="B621" s="2">
        <v>619</v>
      </c>
      <c r="C621" s="5" t="s">
        <v>11</v>
      </c>
      <c r="D621" s="5" t="s">
        <v>627</v>
      </c>
      <c r="E621">
        <v>100</v>
      </c>
      <c r="F621" s="2">
        <v>47</v>
      </c>
    </row>
    <row r="622" spans="2:6" x14ac:dyDescent="0.3">
      <c r="B622" s="2">
        <v>620</v>
      </c>
      <c r="C622" s="5" t="s">
        <v>11</v>
      </c>
      <c r="D622" s="5" t="s">
        <v>628</v>
      </c>
      <c r="E622">
        <v>75</v>
      </c>
      <c r="F622" s="2">
        <v>63</v>
      </c>
    </row>
    <row r="623" spans="2:6" x14ac:dyDescent="0.3">
      <c r="B623" s="2">
        <v>621</v>
      </c>
      <c r="C623" s="5" t="s">
        <v>6</v>
      </c>
      <c r="D623" s="5" t="s">
        <v>629</v>
      </c>
      <c r="E623">
        <v>1000</v>
      </c>
      <c r="F623" s="2">
        <v>40</v>
      </c>
    </row>
    <row r="624" spans="2:6" x14ac:dyDescent="0.3">
      <c r="B624" s="2">
        <v>622</v>
      </c>
      <c r="C624" s="5" t="s">
        <v>6</v>
      </c>
      <c r="D624" s="5" t="s">
        <v>630</v>
      </c>
      <c r="E624">
        <v>75</v>
      </c>
      <c r="F624" s="2">
        <v>49</v>
      </c>
    </row>
    <row r="625" spans="2:6" x14ac:dyDescent="0.3">
      <c r="B625" s="2">
        <v>623</v>
      </c>
      <c r="C625" s="5" t="s">
        <v>9</v>
      </c>
      <c r="D625" s="5" t="s">
        <v>631</v>
      </c>
      <c r="E625">
        <v>150</v>
      </c>
      <c r="F625" s="2">
        <v>34</v>
      </c>
    </row>
    <row r="626" spans="2:6" x14ac:dyDescent="0.3">
      <c r="B626" s="2">
        <v>624</v>
      </c>
      <c r="C626" s="5" t="s">
        <v>6</v>
      </c>
      <c r="D626" s="5" t="s">
        <v>632</v>
      </c>
      <c r="E626">
        <v>900</v>
      </c>
      <c r="F626" s="2">
        <v>34</v>
      </c>
    </row>
    <row r="627" spans="2:6" x14ac:dyDescent="0.3">
      <c r="B627" s="2">
        <v>625</v>
      </c>
      <c r="C627" s="5" t="s">
        <v>9</v>
      </c>
      <c r="D627" s="5" t="s">
        <v>633</v>
      </c>
      <c r="E627">
        <v>300</v>
      </c>
      <c r="F627" s="2">
        <v>31</v>
      </c>
    </row>
    <row r="628" spans="2:6" x14ac:dyDescent="0.3">
      <c r="B628" s="2">
        <v>626</v>
      </c>
      <c r="C628" s="5" t="s">
        <v>9</v>
      </c>
      <c r="D628" s="5" t="s">
        <v>634</v>
      </c>
      <c r="E628">
        <v>2000</v>
      </c>
      <c r="F628" s="2">
        <v>26</v>
      </c>
    </row>
    <row r="629" spans="2:6" x14ac:dyDescent="0.3">
      <c r="B629" s="2">
        <v>627</v>
      </c>
      <c r="C629" s="5" t="s">
        <v>9</v>
      </c>
      <c r="D629" s="5" t="s">
        <v>635</v>
      </c>
      <c r="E629">
        <v>50</v>
      </c>
      <c r="F629" s="2">
        <v>57</v>
      </c>
    </row>
    <row r="630" spans="2:6" x14ac:dyDescent="0.3">
      <c r="B630" s="2">
        <v>628</v>
      </c>
      <c r="C630" s="5" t="s">
        <v>6</v>
      </c>
      <c r="D630" s="5" t="s">
        <v>636</v>
      </c>
      <c r="E630">
        <v>200</v>
      </c>
      <c r="F630" s="2">
        <v>19</v>
      </c>
    </row>
    <row r="631" spans="2:6" x14ac:dyDescent="0.3">
      <c r="B631" s="2">
        <v>629</v>
      </c>
      <c r="C631" s="5" t="s">
        <v>11</v>
      </c>
      <c r="D631" s="5" t="s">
        <v>637</v>
      </c>
      <c r="E631">
        <v>50</v>
      </c>
      <c r="F631" s="2">
        <v>62</v>
      </c>
    </row>
    <row r="632" spans="2:6" x14ac:dyDescent="0.3">
      <c r="B632" s="2">
        <v>630</v>
      </c>
      <c r="C632" s="5" t="s">
        <v>9</v>
      </c>
      <c r="D632" s="5" t="s">
        <v>638</v>
      </c>
      <c r="E632">
        <v>100</v>
      </c>
      <c r="F632" s="2">
        <v>42</v>
      </c>
    </row>
    <row r="633" spans="2:6" x14ac:dyDescent="0.3">
      <c r="B633" s="2">
        <v>631</v>
      </c>
      <c r="C633" s="5" t="s">
        <v>11</v>
      </c>
      <c r="D633" s="5" t="s">
        <v>639</v>
      </c>
      <c r="E633">
        <v>90</v>
      </c>
      <c r="F633" s="2">
        <v>56</v>
      </c>
    </row>
    <row r="634" spans="2:6" x14ac:dyDescent="0.3">
      <c r="B634" s="2">
        <v>632</v>
      </c>
      <c r="C634" s="5" t="s">
        <v>11</v>
      </c>
      <c r="D634" s="5" t="s">
        <v>640</v>
      </c>
      <c r="E634">
        <v>100</v>
      </c>
      <c r="F634" s="2">
        <v>26</v>
      </c>
    </row>
    <row r="635" spans="2:6" x14ac:dyDescent="0.3">
      <c r="B635" s="2">
        <v>633</v>
      </c>
      <c r="C635" s="5" t="s">
        <v>6</v>
      </c>
      <c r="D635" s="5" t="s">
        <v>641</v>
      </c>
      <c r="E635">
        <v>120</v>
      </c>
      <c r="F635" s="2">
        <v>39</v>
      </c>
    </row>
    <row r="636" spans="2:6" x14ac:dyDescent="0.3">
      <c r="B636" s="2">
        <v>634</v>
      </c>
      <c r="C636" s="5" t="s">
        <v>11</v>
      </c>
      <c r="D636" s="5" t="s">
        <v>642</v>
      </c>
      <c r="E636">
        <v>2000</v>
      </c>
      <c r="F636" s="2">
        <v>60</v>
      </c>
    </row>
    <row r="637" spans="2:6" x14ac:dyDescent="0.3">
      <c r="B637" s="2">
        <v>635</v>
      </c>
      <c r="C637" s="5" t="s">
        <v>11</v>
      </c>
      <c r="D637" s="5" t="s">
        <v>643</v>
      </c>
      <c r="E637">
        <v>900</v>
      </c>
      <c r="F637" s="2">
        <v>63</v>
      </c>
    </row>
    <row r="638" spans="2:6" x14ac:dyDescent="0.3">
      <c r="B638" s="2">
        <v>636</v>
      </c>
      <c r="C638" s="5" t="s">
        <v>6</v>
      </c>
      <c r="D638" s="5" t="s">
        <v>644</v>
      </c>
      <c r="E638">
        <v>1500</v>
      </c>
      <c r="F638" s="2">
        <v>21</v>
      </c>
    </row>
    <row r="639" spans="2:6" x14ac:dyDescent="0.3">
      <c r="B639" s="2">
        <v>637</v>
      </c>
      <c r="C639" s="5" t="s">
        <v>9</v>
      </c>
      <c r="D639" s="5" t="s">
        <v>645</v>
      </c>
      <c r="E639">
        <v>600</v>
      </c>
      <c r="F639" s="2">
        <v>43</v>
      </c>
    </row>
    <row r="640" spans="2:6" x14ac:dyDescent="0.3">
      <c r="B640" s="2">
        <v>638</v>
      </c>
      <c r="C640" s="5" t="s">
        <v>11</v>
      </c>
      <c r="D640" s="5" t="s">
        <v>646</v>
      </c>
      <c r="E640">
        <v>500</v>
      </c>
      <c r="F640" s="2">
        <v>46</v>
      </c>
    </row>
    <row r="641" spans="2:6" x14ac:dyDescent="0.3">
      <c r="B641" s="2">
        <v>639</v>
      </c>
      <c r="C641" s="5" t="s">
        <v>6</v>
      </c>
      <c r="D641" s="5" t="s">
        <v>647</v>
      </c>
      <c r="E641">
        <v>200</v>
      </c>
      <c r="F641" s="2">
        <v>62</v>
      </c>
    </row>
    <row r="642" spans="2:6" x14ac:dyDescent="0.3">
      <c r="B642" s="2">
        <v>640</v>
      </c>
      <c r="C642" s="5" t="s">
        <v>11</v>
      </c>
      <c r="D642" s="5" t="s">
        <v>648</v>
      </c>
      <c r="E642">
        <v>120</v>
      </c>
      <c r="F642" s="2">
        <v>51</v>
      </c>
    </row>
    <row r="643" spans="2:6" x14ac:dyDescent="0.3">
      <c r="B643" s="2">
        <v>641</v>
      </c>
      <c r="C643" s="5" t="s">
        <v>11</v>
      </c>
      <c r="D643" s="5" t="s">
        <v>649</v>
      </c>
      <c r="E643">
        <v>300</v>
      </c>
      <c r="F643" s="2">
        <v>40</v>
      </c>
    </row>
    <row r="644" spans="2:6" x14ac:dyDescent="0.3">
      <c r="B644" s="2">
        <v>642</v>
      </c>
      <c r="C644" s="5" t="s">
        <v>9</v>
      </c>
      <c r="D644" s="5" t="s">
        <v>650</v>
      </c>
      <c r="E644">
        <v>100</v>
      </c>
      <c r="F644" s="2">
        <v>54</v>
      </c>
    </row>
    <row r="645" spans="2:6" x14ac:dyDescent="0.3">
      <c r="B645" s="2">
        <v>643</v>
      </c>
      <c r="C645" s="5" t="s">
        <v>11</v>
      </c>
      <c r="D645" s="5" t="s">
        <v>651</v>
      </c>
      <c r="E645">
        <v>90</v>
      </c>
      <c r="F645" s="2">
        <v>28</v>
      </c>
    </row>
    <row r="646" spans="2:6" x14ac:dyDescent="0.3">
      <c r="B646" s="2">
        <v>644</v>
      </c>
      <c r="C646" s="5" t="s">
        <v>6</v>
      </c>
      <c r="D646" s="5" t="s">
        <v>652</v>
      </c>
      <c r="E646">
        <v>75</v>
      </c>
      <c r="F646" s="2">
        <v>23</v>
      </c>
    </row>
    <row r="647" spans="2:6" x14ac:dyDescent="0.3">
      <c r="B647" s="2">
        <v>645</v>
      </c>
      <c r="C647" s="5" t="s">
        <v>11</v>
      </c>
      <c r="D647" s="5" t="s">
        <v>653</v>
      </c>
      <c r="E647">
        <v>120</v>
      </c>
      <c r="F647" s="2">
        <v>35</v>
      </c>
    </row>
    <row r="648" spans="2:6" x14ac:dyDescent="0.3">
      <c r="B648" s="2">
        <v>646</v>
      </c>
      <c r="C648" s="5" t="s">
        <v>9</v>
      </c>
      <c r="D648" s="5" t="s">
        <v>654</v>
      </c>
      <c r="E648">
        <v>90</v>
      </c>
      <c r="F648" s="2">
        <v>38</v>
      </c>
    </row>
    <row r="649" spans="2:6" x14ac:dyDescent="0.3">
      <c r="B649" s="2">
        <v>647</v>
      </c>
      <c r="C649" s="5" t="s">
        <v>9</v>
      </c>
      <c r="D649" s="5" t="s">
        <v>655</v>
      </c>
      <c r="E649">
        <v>1500</v>
      </c>
      <c r="F649" s="2">
        <v>59</v>
      </c>
    </row>
    <row r="650" spans="2:6" x14ac:dyDescent="0.3">
      <c r="B650" s="2">
        <v>648</v>
      </c>
      <c r="C650" s="5" t="s">
        <v>6</v>
      </c>
      <c r="D650" s="5" t="s">
        <v>656</v>
      </c>
      <c r="E650">
        <v>1200</v>
      </c>
      <c r="F650" s="2">
        <v>53</v>
      </c>
    </row>
    <row r="651" spans="2:6" x14ac:dyDescent="0.3">
      <c r="B651" s="2">
        <v>649</v>
      </c>
      <c r="C651" s="5" t="s">
        <v>9</v>
      </c>
      <c r="D651" s="5" t="s">
        <v>657</v>
      </c>
      <c r="E651">
        <v>600</v>
      </c>
      <c r="F651" s="2">
        <v>58</v>
      </c>
    </row>
    <row r="652" spans="2:6" x14ac:dyDescent="0.3">
      <c r="B652" s="2">
        <v>650</v>
      </c>
      <c r="C652" s="5" t="s">
        <v>11</v>
      </c>
      <c r="D652" s="5" t="s">
        <v>658</v>
      </c>
      <c r="E652">
        <v>30</v>
      </c>
      <c r="F652" s="2">
        <v>55</v>
      </c>
    </row>
    <row r="653" spans="2:6" x14ac:dyDescent="0.3">
      <c r="B653" s="2">
        <v>651</v>
      </c>
      <c r="C653" s="5" t="s">
        <v>9</v>
      </c>
      <c r="D653" s="5" t="s">
        <v>659</v>
      </c>
      <c r="E653">
        <v>150</v>
      </c>
      <c r="F653" s="2">
        <v>51</v>
      </c>
    </row>
    <row r="654" spans="2:6" x14ac:dyDescent="0.3">
      <c r="B654" s="2">
        <v>652</v>
      </c>
      <c r="C654" s="5" t="s">
        <v>6</v>
      </c>
      <c r="D654" s="5" t="s">
        <v>660</v>
      </c>
      <c r="E654">
        <v>100</v>
      </c>
      <c r="F654" s="2">
        <v>34</v>
      </c>
    </row>
    <row r="655" spans="2:6" x14ac:dyDescent="0.3">
      <c r="B655" s="2">
        <v>653</v>
      </c>
      <c r="C655" s="5" t="s">
        <v>9</v>
      </c>
      <c r="D655" s="5" t="s">
        <v>661</v>
      </c>
      <c r="E655">
        <v>75</v>
      </c>
      <c r="F655" s="2">
        <v>54</v>
      </c>
    </row>
    <row r="656" spans="2:6" x14ac:dyDescent="0.3">
      <c r="B656" s="2">
        <v>654</v>
      </c>
      <c r="C656" s="5" t="s">
        <v>9</v>
      </c>
      <c r="D656" s="5" t="s">
        <v>662</v>
      </c>
      <c r="E656">
        <v>75</v>
      </c>
      <c r="F656" s="2">
        <v>42</v>
      </c>
    </row>
    <row r="657" spans="2:6" x14ac:dyDescent="0.3">
      <c r="B657" s="2">
        <v>655</v>
      </c>
      <c r="C657" s="5" t="s">
        <v>9</v>
      </c>
      <c r="D657" s="5" t="s">
        <v>663</v>
      </c>
      <c r="E657">
        <v>500</v>
      </c>
      <c r="F657" s="2">
        <v>55</v>
      </c>
    </row>
    <row r="658" spans="2:6" x14ac:dyDescent="0.3">
      <c r="B658" s="2">
        <v>656</v>
      </c>
      <c r="C658" s="5" t="s">
        <v>6</v>
      </c>
      <c r="D658" s="5" t="s">
        <v>664</v>
      </c>
      <c r="E658">
        <v>90</v>
      </c>
      <c r="F658" s="2">
        <v>29</v>
      </c>
    </row>
    <row r="659" spans="2:6" x14ac:dyDescent="0.3">
      <c r="B659" s="2">
        <v>657</v>
      </c>
      <c r="C659" s="5" t="s">
        <v>9</v>
      </c>
      <c r="D659" s="5" t="s">
        <v>665</v>
      </c>
      <c r="E659">
        <v>25</v>
      </c>
      <c r="F659" s="2">
        <v>40</v>
      </c>
    </row>
    <row r="660" spans="2:6" x14ac:dyDescent="0.3">
      <c r="B660" s="2">
        <v>658</v>
      </c>
      <c r="C660" s="5" t="s">
        <v>9</v>
      </c>
      <c r="D660" s="5" t="s">
        <v>666</v>
      </c>
      <c r="E660">
        <v>25</v>
      </c>
      <c r="F660" s="2">
        <v>59</v>
      </c>
    </row>
    <row r="661" spans="2:6" x14ac:dyDescent="0.3">
      <c r="B661" s="2">
        <v>659</v>
      </c>
      <c r="C661" s="5" t="s">
        <v>11</v>
      </c>
      <c r="D661" s="5" t="s">
        <v>667</v>
      </c>
      <c r="E661">
        <v>30</v>
      </c>
      <c r="F661" s="2">
        <v>39</v>
      </c>
    </row>
    <row r="662" spans="2:6" x14ac:dyDescent="0.3">
      <c r="B662" s="2">
        <v>660</v>
      </c>
      <c r="C662" s="5" t="s">
        <v>6</v>
      </c>
      <c r="D662" s="5" t="s">
        <v>668</v>
      </c>
      <c r="E662">
        <v>1000</v>
      </c>
      <c r="F662" s="2">
        <v>38</v>
      </c>
    </row>
    <row r="663" spans="2:6" x14ac:dyDescent="0.3">
      <c r="B663" s="2">
        <v>661</v>
      </c>
      <c r="C663" s="5" t="s">
        <v>9</v>
      </c>
      <c r="D663" s="5" t="s">
        <v>669</v>
      </c>
      <c r="E663">
        <v>100</v>
      </c>
      <c r="F663" s="2">
        <v>44</v>
      </c>
    </row>
    <row r="664" spans="2:6" x14ac:dyDescent="0.3">
      <c r="B664" s="2">
        <v>662</v>
      </c>
      <c r="C664" s="5" t="s">
        <v>6</v>
      </c>
      <c r="D664" s="5" t="s">
        <v>670</v>
      </c>
      <c r="E664">
        <v>1000</v>
      </c>
      <c r="F664" s="2">
        <v>48</v>
      </c>
    </row>
    <row r="665" spans="2:6" x14ac:dyDescent="0.3">
      <c r="B665" s="2">
        <v>663</v>
      </c>
      <c r="C665" s="5" t="s">
        <v>9</v>
      </c>
      <c r="D665" s="5" t="s">
        <v>671</v>
      </c>
      <c r="E665">
        <v>1200</v>
      </c>
      <c r="F665" s="2">
        <v>23</v>
      </c>
    </row>
    <row r="666" spans="2:6" x14ac:dyDescent="0.3">
      <c r="B666" s="2">
        <v>664</v>
      </c>
      <c r="C666" s="5" t="s">
        <v>9</v>
      </c>
      <c r="D666" s="5" t="s">
        <v>672</v>
      </c>
      <c r="E666">
        <v>2000</v>
      </c>
      <c r="F666" s="2">
        <v>44</v>
      </c>
    </row>
    <row r="667" spans="2:6" x14ac:dyDescent="0.3">
      <c r="B667" s="2">
        <v>665</v>
      </c>
      <c r="C667" s="5" t="s">
        <v>9</v>
      </c>
      <c r="D667" s="5" t="s">
        <v>673</v>
      </c>
      <c r="E667">
        <v>50</v>
      </c>
      <c r="F667" s="2">
        <v>57</v>
      </c>
    </row>
    <row r="668" spans="2:6" x14ac:dyDescent="0.3">
      <c r="B668" s="2">
        <v>666</v>
      </c>
      <c r="C668" s="5" t="s">
        <v>11</v>
      </c>
      <c r="D668" s="5" t="s">
        <v>674</v>
      </c>
      <c r="E668">
        <v>150</v>
      </c>
      <c r="F668" s="2">
        <v>51</v>
      </c>
    </row>
    <row r="669" spans="2:6" x14ac:dyDescent="0.3">
      <c r="B669" s="2">
        <v>667</v>
      </c>
      <c r="C669" s="5" t="s">
        <v>11</v>
      </c>
      <c r="D669" s="5" t="s">
        <v>675</v>
      </c>
      <c r="E669">
        <v>500</v>
      </c>
      <c r="F669" s="2">
        <v>29</v>
      </c>
    </row>
    <row r="670" spans="2:6" x14ac:dyDescent="0.3">
      <c r="B670" s="2">
        <v>668</v>
      </c>
      <c r="C670" s="5" t="s">
        <v>11</v>
      </c>
      <c r="D670" s="5" t="s">
        <v>676</v>
      </c>
      <c r="E670">
        <v>150</v>
      </c>
      <c r="F670" s="2">
        <v>62</v>
      </c>
    </row>
    <row r="671" spans="2:6" x14ac:dyDescent="0.3">
      <c r="B671" s="2">
        <v>669</v>
      </c>
      <c r="C671" s="5" t="s">
        <v>6</v>
      </c>
      <c r="D671" s="5" t="s">
        <v>677</v>
      </c>
      <c r="E671">
        <v>1200</v>
      </c>
      <c r="F671" s="2">
        <v>24</v>
      </c>
    </row>
    <row r="672" spans="2:6" x14ac:dyDescent="0.3">
      <c r="B672" s="2">
        <v>670</v>
      </c>
      <c r="C672" s="5" t="s">
        <v>6</v>
      </c>
      <c r="D672" s="5" t="s">
        <v>678</v>
      </c>
      <c r="E672">
        <v>30</v>
      </c>
      <c r="F672" s="2">
        <v>27</v>
      </c>
    </row>
    <row r="673" spans="2:6" x14ac:dyDescent="0.3">
      <c r="B673" s="2">
        <v>671</v>
      </c>
      <c r="C673" s="5" t="s">
        <v>11</v>
      </c>
      <c r="D673" s="5" t="s">
        <v>679</v>
      </c>
      <c r="E673">
        <v>150</v>
      </c>
      <c r="F673" s="2">
        <v>62</v>
      </c>
    </row>
    <row r="674" spans="2:6" x14ac:dyDescent="0.3">
      <c r="B674" s="2">
        <v>672</v>
      </c>
      <c r="C674" s="5" t="s">
        <v>6</v>
      </c>
      <c r="D674" s="5" t="s">
        <v>680</v>
      </c>
      <c r="E674">
        <v>100</v>
      </c>
      <c r="F674" s="2">
        <v>34</v>
      </c>
    </row>
    <row r="675" spans="2:6" x14ac:dyDescent="0.3">
      <c r="B675" s="2">
        <v>673</v>
      </c>
      <c r="C675" s="5" t="s">
        <v>9</v>
      </c>
      <c r="D675" s="5" t="s">
        <v>681</v>
      </c>
      <c r="E675">
        <v>1500</v>
      </c>
      <c r="F675" s="2">
        <v>43</v>
      </c>
    </row>
    <row r="676" spans="2:6" x14ac:dyDescent="0.3">
      <c r="B676" s="2">
        <v>674</v>
      </c>
      <c r="C676" s="5" t="s">
        <v>9</v>
      </c>
      <c r="D676" s="5" t="s">
        <v>682</v>
      </c>
      <c r="E676">
        <v>300</v>
      </c>
      <c r="F676" s="2">
        <v>38</v>
      </c>
    </row>
    <row r="677" spans="2:6" x14ac:dyDescent="0.3">
      <c r="B677" s="2">
        <v>675</v>
      </c>
      <c r="C677" s="5" t="s">
        <v>9</v>
      </c>
      <c r="D677" s="5" t="s">
        <v>683</v>
      </c>
      <c r="E677">
        <v>60</v>
      </c>
      <c r="F677" s="2">
        <v>45</v>
      </c>
    </row>
    <row r="678" spans="2:6" x14ac:dyDescent="0.3">
      <c r="B678" s="2">
        <v>676</v>
      </c>
      <c r="C678" s="5" t="s">
        <v>11</v>
      </c>
      <c r="D678" s="5" t="s">
        <v>684</v>
      </c>
      <c r="E678">
        <v>1500</v>
      </c>
      <c r="F678" s="2">
        <v>63</v>
      </c>
    </row>
    <row r="679" spans="2:6" x14ac:dyDescent="0.3">
      <c r="B679" s="2">
        <v>677</v>
      </c>
      <c r="C679" s="5" t="s">
        <v>6</v>
      </c>
      <c r="D679" s="5" t="s">
        <v>685</v>
      </c>
      <c r="E679">
        <v>1500</v>
      </c>
      <c r="F679" s="2">
        <v>19</v>
      </c>
    </row>
    <row r="680" spans="2:6" x14ac:dyDescent="0.3">
      <c r="B680" s="2">
        <v>678</v>
      </c>
      <c r="C680" s="5" t="s">
        <v>11</v>
      </c>
      <c r="D680" s="5" t="s">
        <v>686</v>
      </c>
      <c r="E680">
        <v>900</v>
      </c>
      <c r="F680" s="2">
        <v>60</v>
      </c>
    </row>
    <row r="681" spans="2:6" x14ac:dyDescent="0.3">
      <c r="B681" s="2">
        <v>679</v>
      </c>
      <c r="C681" s="5" t="s">
        <v>6</v>
      </c>
      <c r="D681" s="5" t="s">
        <v>687</v>
      </c>
      <c r="E681">
        <v>90</v>
      </c>
      <c r="F681" s="2">
        <v>18</v>
      </c>
    </row>
    <row r="682" spans="2:6" x14ac:dyDescent="0.3">
      <c r="B682" s="2">
        <v>680</v>
      </c>
      <c r="C682" s="5" t="s">
        <v>9</v>
      </c>
      <c r="D682" s="5" t="s">
        <v>688</v>
      </c>
      <c r="E682">
        <v>900</v>
      </c>
      <c r="F682" s="2">
        <v>53</v>
      </c>
    </row>
    <row r="683" spans="2:6" x14ac:dyDescent="0.3">
      <c r="B683" s="2">
        <v>681</v>
      </c>
      <c r="C683" s="5" t="s">
        <v>11</v>
      </c>
      <c r="D683" s="5" t="s">
        <v>689</v>
      </c>
      <c r="E683">
        <v>60</v>
      </c>
      <c r="F683" s="2">
        <v>43</v>
      </c>
    </row>
    <row r="684" spans="2:6" x14ac:dyDescent="0.3">
      <c r="B684" s="2">
        <v>682</v>
      </c>
      <c r="C684" s="5" t="s">
        <v>6</v>
      </c>
      <c r="D684" s="5" t="s">
        <v>690</v>
      </c>
      <c r="E684">
        <v>1200</v>
      </c>
      <c r="F684" s="2">
        <v>46</v>
      </c>
    </row>
    <row r="685" spans="2:6" x14ac:dyDescent="0.3">
      <c r="B685" s="2">
        <v>683</v>
      </c>
      <c r="C685" s="5" t="s">
        <v>6</v>
      </c>
      <c r="D685" s="5" t="s">
        <v>691</v>
      </c>
      <c r="E685">
        <v>1000</v>
      </c>
      <c r="F685" s="2">
        <v>38</v>
      </c>
    </row>
    <row r="686" spans="2:6" x14ac:dyDescent="0.3">
      <c r="B686" s="2">
        <v>684</v>
      </c>
      <c r="C686" s="5" t="s">
        <v>9</v>
      </c>
      <c r="D686" s="5" t="s">
        <v>692</v>
      </c>
      <c r="E686">
        <v>1000</v>
      </c>
      <c r="F686" s="2">
        <v>28</v>
      </c>
    </row>
    <row r="687" spans="2:6" x14ac:dyDescent="0.3">
      <c r="B687" s="2">
        <v>685</v>
      </c>
      <c r="C687" s="5" t="s">
        <v>11</v>
      </c>
      <c r="D687" s="5" t="s">
        <v>693</v>
      </c>
      <c r="E687">
        <v>50</v>
      </c>
      <c r="F687" s="2">
        <v>57</v>
      </c>
    </row>
    <row r="688" spans="2:6" x14ac:dyDescent="0.3">
      <c r="B688" s="2">
        <v>686</v>
      </c>
      <c r="C688" s="5" t="s">
        <v>11</v>
      </c>
      <c r="D688" s="5" t="s">
        <v>694</v>
      </c>
      <c r="E688">
        <v>200</v>
      </c>
      <c r="F688" s="2">
        <v>28</v>
      </c>
    </row>
    <row r="689" spans="2:6" x14ac:dyDescent="0.3">
      <c r="B689" s="2">
        <v>687</v>
      </c>
      <c r="C689" s="5" t="s">
        <v>11</v>
      </c>
      <c r="D689" s="5" t="s">
        <v>695</v>
      </c>
      <c r="E689">
        <v>300</v>
      </c>
      <c r="F689" s="2">
        <v>53</v>
      </c>
    </row>
    <row r="690" spans="2:6" x14ac:dyDescent="0.3">
      <c r="B690" s="2">
        <v>688</v>
      </c>
      <c r="C690" s="5" t="s">
        <v>9</v>
      </c>
      <c r="D690" s="5" t="s">
        <v>696</v>
      </c>
      <c r="E690">
        <v>100</v>
      </c>
      <c r="F690" s="2">
        <v>56</v>
      </c>
    </row>
    <row r="691" spans="2:6" x14ac:dyDescent="0.3">
      <c r="B691" s="2">
        <v>689</v>
      </c>
      <c r="C691" s="5" t="s">
        <v>11</v>
      </c>
      <c r="D691" s="5" t="s">
        <v>697</v>
      </c>
      <c r="E691">
        <v>100</v>
      </c>
      <c r="F691" s="2">
        <v>57</v>
      </c>
    </row>
    <row r="692" spans="2:6" x14ac:dyDescent="0.3">
      <c r="B692" s="2">
        <v>690</v>
      </c>
      <c r="C692" s="5" t="s">
        <v>9</v>
      </c>
      <c r="D692" s="5" t="s">
        <v>698</v>
      </c>
      <c r="E692">
        <v>900</v>
      </c>
      <c r="F692" s="2">
        <v>52</v>
      </c>
    </row>
    <row r="693" spans="2:6" x14ac:dyDescent="0.3">
      <c r="B693" s="2">
        <v>691</v>
      </c>
      <c r="C693" s="5" t="s">
        <v>9</v>
      </c>
      <c r="D693" s="5" t="s">
        <v>699</v>
      </c>
      <c r="E693">
        <v>90</v>
      </c>
      <c r="F693" s="2">
        <v>51</v>
      </c>
    </row>
    <row r="694" spans="2:6" x14ac:dyDescent="0.3">
      <c r="B694" s="2">
        <v>692</v>
      </c>
      <c r="C694" s="5" t="s">
        <v>9</v>
      </c>
      <c r="D694" s="5" t="s">
        <v>700</v>
      </c>
      <c r="E694">
        <v>100</v>
      </c>
      <c r="F694" s="2">
        <v>64</v>
      </c>
    </row>
    <row r="695" spans="2:6" x14ac:dyDescent="0.3">
      <c r="B695" s="2">
        <v>693</v>
      </c>
      <c r="C695" s="5" t="s">
        <v>6</v>
      </c>
      <c r="D695" s="5" t="s">
        <v>701</v>
      </c>
      <c r="E695">
        <v>1500</v>
      </c>
      <c r="F695" s="2">
        <v>41</v>
      </c>
    </row>
    <row r="696" spans="2:6" x14ac:dyDescent="0.3">
      <c r="B696" s="2">
        <v>694</v>
      </c>
      <c r="C696" s="5" t="s">
        <v>11</v>
      </c>
      <c r="D696" s="5" t="s">
        <v>702</v>
      </c>
      <c r="E696">
        <v>50</v>
      </c>
      <c r="F696" s="2">
        <v>39</v>
      </c>
    </row>
    <row r="697" spans="2:6" x14ac:dyDescent="0.3">
      <c r="B697" s="2">
        <v>695</v>
      </c>
      <c r="C697" s="5" t="s">
        <v>11</v>
      </c>
      <c r="D697" s="5" t="s">
        <v>703</v>
      </c>
      <c r="E697">
        <v>150</v>
      </c>
      <c r="F697" s="2">
        <v>22</v>
      </c>
    </row>
    <row r="698" spans="2:6" x14ac:dyDescent="0.3">
      <c r="B698" s="2">
        <v>696</v>
      </c>
      <c r="C698" s="5" t="s">
        <v>9</v>
      </c>
      <c r="D698" s="5" t="s">
        <v>704</v>
      </c>
      <c r="E698">
        <v>200</v>
      </c>
      <c r="F698" s="2">
        <v>50</v>
      </c>
    </row>
    <row r="699" spans="2:6" x14ac:dyDescent="0.3">
      <c r="B699" s="2">
        <v>697</v>
      </c>
      <c r="C699" s="5" t="s">
        <v>9</v>
      </c>
      <c r="D699" s="5" t="s">
        <v>705</v>
      </c>
      <c r="E699">
        <v>500</v>
      </c>
      <c r="F699" s="2">
        <v>53</v>
      </c>
    </row>
    <row r="700" spans="2:6" x14ac:dyDescent="0.3">
      <c r="B700" s="2">
        <v>698</v>
      </c>
      <c r="C700" s="5" t="s">
        <v>11</v>
      </c>
      <c r="D700" s="5" t="s">
        <v>706</v>
      </c>
      <c r="E700">
        <v>300</v>
      </c>
      <c r="F700" s="2">
        <v>64</v>
      </c>
    </row>
    <row r="701" spans="2:6" x14ac:dyDescent="0.3">
      <c r="B701" s="2">
        <v>699</v>
      </c>
      <c r="C701" s="5" t="s">
        <v>9</v>
      </c>
      <c r="D701" s="5" t="s">
        <v>707</v>
      </c>
      <c r="E701">
        <v>120</v>
      </c>
      <c r="F701" s="2">
        <v>37</v>
      </c>
    </row>
    <row r="702" spans="2:6" x14ac:dyDescent="0.3">
      <c r="B702" s="2">
        <v>700</v>
      </c>
      <c r="C702" s="5" t="s">
        <v>11</v>
      </c>
      <c r="D702" s="5" t="s">
        <v>708</v>
      </c>
      <c r="E702">
        <v>2000</v>
      </c>
      <c r="F702" s="2">
        <v>36</v>
      </c>
    </row>
    <row r="703" spans="2:6" x14ac:dyDescent="0.3">
      <c r="B703" s="2">
        <v>701</v>
      </c>
      <c r="C703" s="5" t="s">
        <v>6</v>
      </c>
      <c r="D703" s="5" t="s">
        <v>709</v>
      </c>
      <c r="E703">
        <v>60</v>
      </c>
      <c r="F703" s="2">
        <v>52</v>
      </c>
    </row>
    <row r="704" spans="2:6" x14ac:dyDescent="0.3">
      <c r="B704" s="2">
        <v>702</v>
      </c>
      <c r="C704" s="5" t="s">
        <v>9</v>
      </c>
      <c r="D704" s="5" t="s">
        <v>710</v>
      </c>
      <c r="E704">
        <v>600</v>
      </c>
      <c r="F704" s="2">
        <v>60</v>
      </c>
    </row>
    <row r="705" spans="2:6" x14ac:dyDescent="0.3">
      <c r="B705" s="2">
        <v>703</v>
      </c>
      <c r="C705" s="5" t="s">
        <v>11</v>
      </c>
      <c r="D705" s="5" t="s">
        <v>711</v>
      </c>
      <c r="E705">
        <v>100</v>
      </c>
      <c r="F705" s="2">
        <v>34</v>
      </c>
    </row>
    <row r="706" spans="2:6" x14ac:dyDescent="0.3">
      <c r="B706" s="2">
        <v>704</v>
      </c>
      <c r="C706" s="5" t="s">
        <v>9</v>
      </c>
      <c r="D706" s="5" t="s">
        <v>712</v>
      </c>
      <c r="E706">
        <v>90</v>
      </c>
      <c r="F706" s="2">
        <v>62</v>
      </c>
    </row>
    <row r="707" spans="2:6" x14ac:dyDescent="0.3">
      <c r="B707" s="2">
        <v>705</v>
      </c>
      <c r="C707" s="5" t="s">
        <v>11</v>
      </c>
      <c r="D707" s="5" t="s">
        <v>713</v>
      </c>
      <c r="E707">
        <v>50</v>
      </c>
      <c r="F707" s="2">
        <v>60</v>
      </c>
    </row>
    <row r="708" spans="2:6" x14ac:dyDescent="0.3">
      <c r="B708" s="2">
        <v>706</v>
      </c>
      <c r="C708" s="5" t="s">
        <v>11</v>
      </c>
      <c r="D708" s="5" t="s">
        <v>714</v>
      </c>
      <c r="E708">
        <v>100</v>
      </c>
      <c r="F708" s="2">
        <v>51</v>
      </c>
    </row>
    <row r="709" spans="2:6" x14ac:dyDescent="0.3">
      <c r="B709" s="2">
        <v>707</v>
      </c>
      <c r="C709" s="5" t="s">
        <v>9</v>
      </c>
      <c r="D709" s="5" t="s">
        <v>715</v>
      </c>
      <c r="E709">
        <v>500</v>
      </c>
      <c r="F709" s="2">
        <v>26</v>
      </c>
    </row>
    <row r="710" spans="2:6" x14ac:dyDescent="0.3">
      <c r="B710" s="2">
        <v>708</v>
      </c>
      <c r="C710" s="5" t="s">
        <v>6</v>
      </c>
      <c r="D710" s="5" t="s">
        <v>716</v>
      </c>
      <c r="E710">
        <v>900</v>
      </c>
      <c r="F710" s="2">
        <v>43</v>
      </c>
    </row>
    <row r="711" spans="2:6" x14ac:dyDescent="0.3">
      <c r="B711" s="2">
        <v>709</v>
      </c>
      <c r="C711" s="5" t="s">
        <v>11</v>
      </c>
      <c r="D711" s="5" t="s">
        <v>717</v>
      </c>
      <c r="E711">
        <v>1000</v>
      </c>
      <c r="F711" s="2">
        <v>19</v>
      </c>
    </row>
    <row r="712" spans="2:6" x14ac:dyDescent="0.3">
      <c r="B712" s="2">
        <v>710</v>
      </c>
      <c r="C712" s="5" t="s">
        <v>11</v>
      </c>
      <c r="D712" s="5" t="s">
        <v>718</v>
      </c>
      <c r="E712">
        <v>1500</v>
      </c>
      <c r="F712" s="2">
        <v>26</v>
      </c>
    </row>
    <row r="713" spans="2:6" x14ac:dyDescent="0.3">
      <c r="B713" s="2">
        <v>711</v>
      </c>
      <c r="C713" s="5" t="s">
        <v>11</v>
      </c>
      <c r="D713" s="5" t="s">
        <v>719</v>
      </c>
      <c r="E713">
        <v>1500</v>
      </c>
      <c r="F713" s="2">
        <v>26</v>
      </c>
    </row>
    <row r="714" spans="2:6" x14ac:dyDescent="0.3">
      <c r="B714" s="2">
        <v>712</v>
      </c>
      <c r="C714" s="5" t="s">
        <v>6</v>
      </c>
      <c r="D714" s="5" t="s">
        <v>720</v>
      </c>
      <c r="E714">
        <v>50</v>
      </c>
      <c r="F714" s="2">
        <v>57</v>
      </c>
    </row>
    <row r="715" spans="2:6" x14ac:dyDescent="0.3">
      <c r="B715" s="2">
        <v>713</v>
      </c>
      <c r="C715" s="5" t="s">
        <v>6</v>
      </c>
      <c r="D715" s="5" t="s">
        <v>721</v>
      </c>
      <c r="E715">
        <v>75</v>
      </c>
      <c r="F715" s="2">
        <v>34</v>
      </c>
    </row>
    <row r="716" spans="2:6" x14ac:dyDescent="0.3">
      <c r="B716" s="2">
        <v>714</v>
      </c>
      <c r="C716" s="5" t="s">
        <v>9</v>
      </c>
      <c r="D716" s="5" t="s">
        <v>722</v>
      </c>
      <c r="E716">
        <v>500</v>
      </c>
      <c r="F716" s="2">
        <v>18</v>
      </c>
    </row>
    <row r="717" spans="2:6" x14ac:dyDescent="0.3">
      <c r="B717" s="2">
        <v>715</v>
      </c>
      <c r="C717" s="5" t="s">
        <v>6</v>
      </c>
      <c r="D717" s="5" t="s">
        <v>723</v>
      </c>
      <c r="E717">
        <v>100</v>
      </c>
      <c r="F717" s="2">
        <v>42</v>
      </c>
    </row>
    <row r="718" spans="2:6" x14ac:dyDescent="0.3">
      <c r="B718" s="2">
        <v>716</v>
      </c>
      <c r="C718" s="5" t="s">
        <v>9</v>
      </c>
      <c r="D718" s="5" t="s">
        <v>724</v>
      </c>
      <c r="E718">
        <v>1200</v>
      </c>
      <c r="F718" s="2">
        <v>60</v>
      </c>
    </row>
    <row r="719" spans="2:6" x14ac:dyDescent="0.3">
      <c r="B719" s="2">
        <v>717</v>
      </c>
      <c r="C719" s="5" t="s">
        <v>9</v>
      </c>
      <c r="D719" s="5" t="s">
        <v>725</v>
      </c>
      <c r="E719">
        <v>500</v>
      </c>
      <c r="F719" s="2">
        <v>57</v>
      </c>
    </row>
    <row r="720" spans="2:6" x14ac:dyDescent="0.3">
      <c r="B720" s="2">
        <v>718</v>
      </c>
      <c r="C720" s="5" t="s">
        <v>6</v>
      </c>
      <c r="D720" s="5" t="s">
        <v>726</v>
      </c>
      <c r="E720">
        <v>75</v>
      </c>
      <c r="F720" s="2">
        <v>59</v>
      </c>
    </row>
    <row r="721" spans="2:6" x14ac:dyDescent="0.3">
      <c r="B721" s="2">
        <v>719</v>
      </c>
      <c r="C721" s="5" t="s">
        <v>9</v>
      </c>
      <c r="D721" s="5" t="s">
        <v>727</v>
      </c>
      <c r="E721">
        <v>60</v>
      </c>
      <c r="F721" s="2">
        <v>42</v>
      </c>
    </row>
    <row r="722" spans="2:6" x14ac:dyDescent="0.3">
      <c r="B722" s="2">
        <v>720</v>
      </c>
      <c r="C722" s="5" t="s">
        <v>6</v>
      </c>
      <c r="D722" s="5" t="s">
        <v>728</v>
      </c>
      <c r="E722">
        <v>1500</v>
      </c>
      <c r="F722" s="2">
        <v>56</v>
      </c>
    </row>
    <row r="723" spans="2:6" x14ac:dyDescent="0.3">
      <c r="B723" s="2">
        <v>721</v>
      </c>
      <c r="C723" s="5" t="s">
        <v>9</v>
      </c>
      <c r="D723" s="5" t="s">
        <v>729</v>
      </c>
      <c r="E723">
        <v>500</v>
      </c>
      <c r="F723" s="2">
        <v>52</v>
      </c>
    </row>
    <row r="724" spans="2:6" x14ac:dyDescent="0.3">
      <c r="B724" s="2">
        <v>722</v>
      </c>
      <c r="C724" s="5" t="s">
        <v>6</v>
      </c>
      <c r="D724" s="5" t="s">
        <v>730</v>
      </c>
      <c r="E724">
        <v>900</v>
      </c>
      <c r="F724" s="2">
        <v>20</v>
      </c>
    </row>
    <row r="725" spans="2:6" x14ac:dyDescent="0.3">
      <c r="B725" s="2">
        <v>723</v>
      </c>
      <c r="C725" s="5" t="s">
        <v>6</v>
      </c>
      <c r="D725" s="5" t="s">
        <v>731</v>
      </c>
      <c r="E725">
        <v>200</v>
      </c>
      <c r="F725" s="2">
        <v>54</v>
      </c>
    </row>
    <row r="726" spans="2:6" x14ac:dyDescent="0.3">
      <c r="B726" s="2">
        <v>724</v>
      </c>
      <c r="C726" s="5" t="s">
        <v>9</v>
      </c>
      <c r="D726" s="5" t="s">
        <v>732</v>
      </c>
      <c r="E726">
        <v>150</v>
      </c>
      <c r="F726" s="2">
        <v>61</v>
      </c>
    </row>
    <row r="727" spans="2:6" x14ac:dyDescent="0.3">
      <c r="B727" s="2">
        <v>725</v>
      </c>
      <c r="C727" s="5" t="s">
        <v>11</v>
      </c>
      <c r="D727" s="5" t="s">
        <v>733</v>
      </c>
      <c r="E727">
        <v>300</v>
      </c>
      <c r="F727" s="2">
        <v>61</v>
      </c>
    </row>
    <row r="728" spans="2:6" x14ac:dyDescent="0.3">
      <c r="B728" s="2">
        <v>726</v>
      </c>
      <c r="C728" s="5" t="s">
        <v>9</v>
      </c>
      <c r="D728" s="5" t="s">
        <v>734</v>
      </c>
      <c r="E728">
        <v>1200</v>
      </c>
      <c r="F728" s="2">
        <v>47</v>
      </c>
    </row>
    <row r="729" spans="2:6" x14ac:dyDescent="0.3">
      <c r="B729" s="2">
        <v>727</v>
      </c>
      <c r="C729" s="5" t="s">
        <v>6</v>
      </c>
      <c r="D729" s="5" t="s">
        <v>735</v>
      </c>
      <c r="E729">
        <v>900</v>
      </c>
      <c r="F729" s="2">
        <v>55</v>
      </c>
    </row>
    <row r="730" spans="2:6" x14ac:dyDescent="0.3">
      <c r="B730" s="2">
        <v>728</v>
      </c>
      <c r="C730" s="5" t="s">
        <v>11</v>
      </c>
      <c r="D730" s="5" t="s">
        <v>736</v>
      </c>
      <c r="E730">
        <v>150</v>
      </c>
      <c r="F730" s="2">
        <v>51</v>
      </c>
    </row>
    <row r="731" spans="2:6" x14ac:dyDescent="0.3">
      <c r="B731" s="2">
        <v>729</v>
      </c>
      <c r="C731" s="5" t="s">
        <v>9</v>
      </c>
      <c r="D731" s="5" t="s">
        <v>737</v>
      </c>
      <c r="E731">
        <v>1200</v>
      </c>
      <c r="F731" s="2">
        <v>29</v>
      </c>
    </row>
    <row r="732" spans="2:6" x14ac:dyDescent="0.3">
      <c r="B732" s="2">
        <v>730</v>
      </c>
      <c r="C732" s="5" t="s">
        <v>9</v>
      </c>
      <c r="D732" s="5" t="s">
        <v>738</v>
      </c>
      <c r="E732">
        <v>50</v>
      </c>
      <c r="F732" s="2">
        <v>36</v>
      </c>
    </row>
    <row r="733" spans="2:6" x14ac:dyDescent="0.3">
      <c r="B733" s="2">
        <v>731</v>
      </c>
      <c r="C733" s="5" t="s">
        <v>9</v>
      </c>
      <c r="D733" s="5" t="s">
        <v>739</v>
      </c>
      <c r="E733">
        <v>2000</v>
      </c>
      <c r="F733" s="2">
        <v>54</v>
      </c>
    </row>
    <row r="734" spans="2:6" x14ac:dyDescent="0.3">
      <c r="B734" s="2">
        <v>732</v>
      </c>
      <c r="C734" s="5" t="s">
        <v>11</v>
      </c>
      <c r="D734" s="5" t="s">
        <v>740</v>
      </c>
      <c r="E734">
        <v>1000</v>
      </c>
      <c r="F734" s="2">
        <v>61</v>
      </c>
    </row>
    <row r="735" spans="2:6" x14ac:dyDescent="0.3">
      <c r="B735" s="2">
        <v>733</v>
      </c>
      <c r="C735" s="5" t="s">
        <v>6</v>
      </c>
      <c r="D735" s="5" t="s">
        <v>741</v>
      </c>
      <c r="E735">
        <v>30</v>
      </c>
      <c r="F735" s="2">
        <v>34</v>
      </c>
    </row>
    <row r="736" spans="2:6" x14ac:dyDescent="0.3">
      <c r="B736" s="2">
        <v>734</v>
      </c>
      <c r="C736" s="5" t="s">
        <v>9</v>
      </c>
      <c r="D736" s="5" t="s">
        <v>742</v>
      </c>
      <c r="E736">
        <v>30</v>
      </c>
      <c r="F736" s="2">
        <v>27</v>
      </c>
    </row>
    <row r="737" spans="2:6" x14ac:dyDescent="0.3">
      <c r="B737" s="2">
        <v>735</v>
      </c>
      <c r="C737" s="5" t="s">
        <v>9</v>
      </c>
      <c r="D737" s="5" t="s">
        <v>743</v>
      </c>
      <c r="E737">
        <v>2000</v>
      </c>
      <c r="F737" s="2">
        <v>64</v>
      </c>
    </row>
    <row r="738" spans="2:6" x14ac:dyDescent="0.3">
      <c r="B738" s="2">
        <v>736</v>
      </c>
      <c r="C738" s="5" t="s">
        <v>9</v>
      </c>
      <c r="D738" s="5" t="s">
        <v>744</v>
      </c>
      <c r="E738">
        <v>100</v>
      </c>
      <c r="F738" s="2">
        <v>29</v>
      </c>
    </row>
    <row r="739" spans="2:6" x14ac:dyDescent="0.3">
      <c r="B739" s="2">
        <v>737</v>
      </c>
      <c r="C739" s="5" t="s">
        <v>9</v>
      </c>
      <c r="D739" s="5" t="s">
        <v>745</v>
      </c>
      <c r="E739">
        <v>50</v>
      </c>
      <c r="F739" s="2">
        <v>33</v>
      </c>
    </row>
    <row r="740" spans="2:6" x14ac:dyDescent="0.3">
      <c r="B740" s="2">
        <v>738</v>
      </c>
      <c r="C740" s="5" t="s">
        <v>9</v>
      </c>
      <c r="D740" s="5" t="s">
        <v>746</v>
      </c>
      <c r="E740">
        <v>100</v>
      </c>
      <c r="F740" s="2">
        <v>41</v>
      </c>
    </row>
    <row r="741" spans="2:6" x14ac:dyDescent="0.3">
      <c r="B741" s="2">
        <v>739</v>
      </c>
      <c r="C741" s="5" t="s">
        <v>6</v>
      </c>
      <c r="D741" s="5" t="s">
        <v>747</v>
      </c>
      <c r="E741">
        <v>25</v>
      </c>
      <c r="F741" s="2">
        <v>36</v>
      </c>
    </row>
    <row r="742" spans="2:6" x14ac:dyDescent="0.3">
      <c r="B742" s="2">
        <v>740</v>
      </c>
      <c r="C742" s="5" t="s">
        <v>6</v>
      </c>
      <c r="D742" s="5" t="s">
        <v>748</v>
      </c>
      <c r="E742">
        <v>200</v>
      </c>
      <c r="F742" s="2">
        <v>25</v>
      </c>
    </row>
    <row r="743" spans="2:6" x14ac:dyDescent="0.3">
      <c r="B743" s="2">
        <v>741</v>
      </c>
      <c r="C743" s="5" t="s">
        <v>9</v>
      </c>
      <c r="D743" s="5" t="s">
        <v>749</v>
      </c>
      <c r="E743">
        <v>300</v>
      </c>
      <c r="F743" s="2">
        <v>48</v>
      </c>
    </row>
    <row r="744" spans="2:6" x14ac:dyDescent="0.3">
      <c r="B744" s="2">
        <v>742</v>
      </c>
      <c r="C744" s="5" t="s">
        <v>11</v>
      </c>
      <c r="D744" s="5" t="s">
        <v>750</v>
      </c>
      <c r="E744">
        <v>2000</v>
      </c>
      <c r="F744" s="2">
        <v>38</v>
      </c>
    </row>
    <row r="745" spans="2:6" x14ac:dyDescent="0.3">
      <c r="B745" s="2">
        <v>743</v>
      </c>
      <c r="C745" s="5" t="s">
        <v>6</v>
      </c>
      <c r="D745" s="5" t="s">
        <v>751</v>
      </c>
      <c r="E745">
        <v>2000</v>
      </c>
      <c r="F745" s="2">
        <v>34</v>
      </c>
    </row>
    <row r="746" spans="2:6" x14ac:dyDescent="0.3">
      <c r="B746" s="2">
        <v>744</v>
      </c>
      <c r="C746" s="5" t="s">
        <v>11</v>
      </c>
      <c r="D746" s="5" t="s">
        <v>752</v>
      </c>
      <c r="E746">
        <v>25</v>
      </c>
      <c r="F746" s="2">
        <v>40</v>
      </c>
    </row>
    <row r="747" spans="2:6" x14ac:dyDescent="0.3">
      <c r="B747" s="2">
        <v>745</v>
      </c>
      <c r="C747" s="5" t="s">
        <v>6</v>
      </c>
      <c r="D747" s="5" t="s">
        <v>753</v>
      </c>
      <c r="E747">
        <v>100</v>
      </c>
      <c r="F747" s="2">
        <v>54</v>
      </c>
    </row>
    <row r="748" spans="2:6" x14ac:dyDescent="0.3">
      <c r="B748" s="2">
        <v>746</v>
      </c>
      <c r="C748" s="5" t="s">
        <v>9</v>
      </c>
      <c r="D748" s="5" t="s">
        <v>754</v>
      </c>
      <c r="E748">
        <v>90</v>
      </c>
      <c r="F748" s="2">
        <v>33</v>
      </c>
    </row>
    <row r="749" spans="2:6" x14ac:dyDescent="0.3">
      <c r="B749" s="2">
        <v>747</v>
      </c>
      <c r="C749" s="5" t="s">
        <v>6</v>
      </c>
      <c r="D749" s="5" t="s">
        <v>755</v>
      </c>
      <c r="E749">
        <v>30</v>
      </c>
      <c r="F749" s="2">
        <v>23</v>
      </c>
    </row>
    <row r="750" spans="2:6" x14ac:dyDescent="0.3">
      <c r="B750" s="2">
        <v>748</v>
      </c>
      <c r="C750" s="5" t="s">
        <v>9</v>
      </c>
      <c r="D750" s="5" t="s">
        <v>756</v>
      </c>
      <c r="E750">
        <v>150</v>
      </c>
      <c r="F750" s="2">
        <v>25</v>
      </c>
    </row>
    <row r="751" spans="2:6" x14ac:dyDescent="0.3">
      <c r="B751" s="2">
        <v>749</v>
      </c>
      <c r="C751" s="5" t="s">
        <v>6</v>
      </c>
      <c r="D751" s="5" t="s">
        <v>757</v>
      </c>
      <c r="E751">
        <v>30</v>
      </c>
      <c r="F751" s="2">
        <v>42</v>
      </c>
    </row>
    <row r="752" spans="2:6" x14ac:dyDescent="0.3">
      <c r="B752" s="2">
        <v>750</v>
      </c>
      <c r="C752" s="5" t="s">
        <v>9</v>
      </c>
      <c r="D752" s="5" t="s">
        <v>758</v>
      </c>
      <c r="E752">
        <v>75</v>
      </c>
      <c r="F752" s="2">
        <v>35</v>
      </c>
    </row>
    <row r="753" spans="2:6" x14ac:dyDescent="0.3">
      <c r="B753" s="2">
        <v>751</v>
      </c>
      <c r="C753" s="5" t="s">
        <v>9</v>
      </c>
      <c r="D753" s="5" t="s">
        <v>759</v>
      </c>
      <c r="E753">
        <v>50</v>
      </c>
      <c r="F753" s="2">
        <v>42</v>
      </c>
    </row>
    <row r="754" spans="2:6" x14ac:dyDescent="0.3">
      <c r="B754" s="2">
        <v>752</v>
      </c>
      <c r="C754" s="5" t="s">
        <v>9</v>
      </c>
      <c r="D754" s="5" t="s">
        <v>760</v>
      </c>
      <c r="E754">
        <v>100</v>
      </c>
      <c r="F754" s="2">
        <v>29</v>
      </c>
    </row>
    <row r="755" spans="2:6" x14ac:dyDescent="0.3">
      <c r="B755" s="2">
        <v>753</v>
      </c>
      <c r="C755" s="5" t="s">
        <v>9</v>
      </c>
      <c r="D755" s="5" t="s">
        <v>761</v>
      </c>
      <c r="E755">
        <v>30</v>
      </c>
      <c r="F755" s="2">
        <v>32</v>
      </c>
    </row>
    <row r="756" spans="2:6" x14ac:dyDescent="0.3">
      <c r="B756" s="2">
        <v>754</v>
      </c>
      <c r="C756" s="5" t="s">
        <v>11</v>
      </c>
      <c r="D756" s="5" t="s">
        <v>762</v>
      </c>
      <c r="E756">
        <v>100</v>
      </c>
      <c r="F756" s="2">
        <v>43</v>
      </c>
    </row>
    <row r="757" spans="2:6" x14ac:dyDescent="0.3">
      <c r="B757" s="2">
        <v>755</v>
      </c>
      <c r="C757" s="5" t="s">
        <v>9</v>
      </c>
      <c r="D757" s="5" t="s">
        <v>763</v>
      </c>
      <c r="E757">
        <v>75</v>
      </c>
      <c r="F757" s="2">
        <v>58</v>
      </c>
    </row>
    <row r="758" spans="2:6" x14ac:dyDescent="0.3">
      <c r="B758" s="2">
        <v>756</v>
      </c>
      <c r="C758" s="5" t="s">
        <v>11</v>
      </c>
      <c r="D758" s="5" t="s">
        <v>764</v>
      </c>
      <c r="E758">
        <v>1200</v>
      </c>
      <c r="F758" s="2">
        <v>62</v>
      </c>
    </row>
    <row r="759" spans="2:6" x14ac:dyDescent="0.3">
      <c r="B759" s="2">
        <v>757</v>
      </c>
      <c r="C759" s="5" t="s">
        <v>11</v>
      </c>
      <c r="D759" s="5" t="s">
        <v>765</v>
      </c>
      <c r="E759">
        <v>1200</v>
      </c>
      <c r="F759" s="2">
        <v>43</v>
      </c>
    </row>
    <row r="760" spans="2:6" x14ac:dyDescent="0.3">
      <c r="B760" s="2">
        <v>758</v>
      </c>
      <c r="C760" s="5" t="s">
        <v>9</v>
      </c>
      <c r="D760" s="5" t="s">
        <v>766</v>
      </c>
      <c r="E760">
        <v>100</v>
      </c>
      <c r="F760" s="2">
        <v>64</v>
      </c>
    </row>
    <row r="761" spans="2:6" x14ac:dyDescent="0.3">
      <c r="B761" s="2">
        <v>759</v>
      </c>
      <c r="C761" s="5" t="s">
        <v>11</v>
      </c>
      <c r="D761" s="5" t="s">
        <v>767</v>
      </c>
      <c r="E761">
        <v>100</v>
      </c>
      <c r="F761" s="2">
        <v>49</v>
      </c>
    </row>
    <row r="762" spans="2:6" x14ac:dyDescent="0.3">
      <c r="B762" s="2">
        <v>760</v>
      </c>
      <c r="C762" s="5" t="s">
        <v>6</v>
      </c>
      <c r="D762" s="5" t="s">
        <v>768</v>
      </c>
      <c r="E762">
        <v>500</v>
      </c>
      <c r="F762" s="2">
        <v>27</v>
      </c>
    </row>
    <row r="763" spans="2:6" x14ac:dyDescent="0.3">
      <c r="B763" s="2">
        <v>761</v>
      </c>
      <c r="C763" s="5" t="s">
        <v>9</v>
      </c>
      <c r="D763" s="5" t="s">
        <v>769</v>
      </c>
      <c r="E763">
        <v>500</v>
      </c>
      <c r="F763" s="2">
        <v>33</v>
      </c>
    </row>
    <row r="764" spans="2:6" x14ac:dyDescent="0.3">
      <c r="B764" s="2">
        <v>762</v>
      </c>
      <c r="C764" s="5" t="s">
        <v>11</v>
      </c>
      <c r="D764" s="5" t="s">
        <v>770</v>
      </c>
      <c r="E764">
        <v>50</v>
      </c>
      <c r="F764" s="2">
        <v>24</v>
      </c>
    </row>
    <row r="765" spans="2:6" x14ac:dyDescent="0.3">
      <c r="B765" s="2">
        <v>763</v>
      </c>
      <c r="C765" s="5" t="s">
        <v>9</v>
      </c>
      <c r="D765" s="5" t="s">
        <v>771</v>
      </c>
      <c r="E765">
        <v>50</v>
      </c>
      <c r="F765" s="2">
        <v>34</v>
      </c>
    </row>
    <row r="766" spans="2:6" x14ac:dyDescent="0.3">
      <c r="B766" s="2">
        <v>764</v>
      </c>
      <c r="C766" s="5" t="s">
        <v>9</v>
      </c>
      <c r="D766" s="5" t="s">
        <v>772</v>
      </c>
      <c r="E766">
        <v>25</v>
      </c>
      <c r="F766" s="2">
        <v>40</v>
      </c>
    </row>
    <row r="767" spans="2:6" x14ac:dyDescent="0.3">
      <c r="B767" s="2">
        <v>765</v>
      </c>
      <c r="C767" s="5" t="s">
        <v>9</v>
      </c>
      <c r="D767" s="5" t="s">
        <v>773</v>
      </c>
      <c r="E767">
        <v>200</v>
      </c>
      <c r="F767" s="2">
        <v>43</v>
      </c>
    </row>
    <row r="768" spans="2:6" x14ac:dyDescent="0.3">
      <c r="B768" s="2">
        <v>766</v>
      </c>
      <c r="C768" s="5" t="s">
        <v>11</v>
      </c>
      <c r="D768" s="5" t="s">
        <v>774</v>
      </c>
      <c r="E768">
        <v>900</v>
      </c>
      <c r="F768" s="2">
        <v>38</v>
      </c>
    </row>
    <row r="769" spans="2:6" x14ac:dyDescent="0.3">
      <c r="B769" s="2">
        <v>767</v>
      </c>
      <c r="C769" s="5" t="s">
        <v>6</v>
      </c>
      <c r="D769" s="5" t="s">
        <v>775</v>
      </c>
      <c r="E769">
        <v>75</v>
      </c>
      <c r="F769" s="2">
        <v>39</v>
      </c>
    </row>
    <row r="770" spans="2:6" x14ac:dyDescent="0.3">
      <c r="B770" s="2">
        <v>768</v>
      </c>
      <c r="C770" s="5" t="s">
        <v>6</v>
      </c>
      <c r="D770" s="5" t="s">
        <v>776</v>
      </c>
      <c r="E770">
        <v>75</v>
      </c>
      <c r="F770" s="2">
        <v>24</v>
      </c>
    </row>
    <row r="771" spans="2:6" x14ac:dyDescent="0.3">
      <c r="B771" s="2">
        <v>769</v>
      </c>
      <c r="C771" s="5" t="s">
        <v>11</v>
      </c>
      <c r="D771" s="5" t="s">
        <v>777</v>
      </c>
      <c r="E771">
        <v>120</v>
      </c>
      <c r="F771" s="2">
        <v>31</v>
      </c>
    </row>
    <row r="772" spans="2:6" x14ac:dyDescent="0.3">
      <c r="B772" s="2">
        <v>770</v>
      </c>
      <c r="C772" s="5" t="s">
        <v>9</v>
      </c>
      <c r="D772" s="5" t="s">
        <v>778</v>
      </c>
      <c r="E772">
        <v>50</v>
      </c>
      <c r="F772" s="2">
        <v>32</v>
      </c>
    </row>
    <row r="773" spans="2:6" x14ac:dyDescent="0.3">
      <c r="B773" s="2">
        <v>771</v>
      </c>
      <c r="C773" s="5" t="s">
        <v>11</v>
      </c>
      <c r="D773" s="5" t="s">
        <v>779</v>
      </c>
      <c r="E773">
        <v>50</v>
      </c>
      <c r="F773" s="2">
        <v>24</v>
      </c>
    </row>
    <row r="774" spans="2:6" x14ac:dyDescent="0.3">
      <c r="B774" s="2">
        <v>772</v>
      </c>
      <c r="C774" s="5" t="s">
        <v>11</v>
      </c>
      <c r="D774" s="5" t="s">
        <v>780</v>
      </c>
      <c r="E774">
        <v>30</v>
      </c>
      <c r="F774" s="2">
        <v>26</v>
      </c>
    </row>
    <row r="775" spans="2:6" x14ac:dyDescent="0.3">
      <c r="B775" s="2">
        <v>773</v>
      </c>
      <c r="C775" s="5" t="s">
        <v>11</v>
      </c>
      <c r="D775" s="5" t="s">
        <v>781</v>
      </c>
      <c r="E775">
        <v>2000</v>
      </c>
      <c r="F775" s="2">
        <v>25</v>
      </c>
    </row>
    <row r="776" spans="2:6" x14ac:dyDescent="0.3">
      <c r="B776" s="2">
        <v>774</v>
      </c>
      <c r="C776" s="5" t="s">
        <v>9</v>
      </c>
      <c r="D776" s="5" t="s">
        <v>782</v>
      </c>
      <c r="E776">
        <v>50</v>
      </c>
      <c r="F776" s="2">
        <v>40</v>
      </c>
    </row>
    <row r="777" spans="2:6" x14ac:dyDescent="0.3">
      <c r="B777" s="2">
        <v>775</v>
      </c>
      <c r="C777" s="5" t="s">
        <v>11</v>
      </c>
      <c r="D777" s="5" t="s">
        <v>783</v>
      </c>
      <c r="E777">
        <v>100</v>
      </c>
      <c r="F777" s="2">
        <v>46</v>
      </c>
    </row>
    <row r="778" spans="2:6" x14ac:dyDescent="0.3">
      <c r="B778" s="2">
        <v>776</v>
      </c>
      <c r="C778" s="5" t="s">
        <v>9</v>
      </c>
      <c r="D778" s="5" t="s">
        <v>784</v>
      </c>
      <c r="E778">
        <v>90</v>
      </c>
      <c r="F778" s="2">
        <v>35</v>
      </c>
    </row>
    <row r="779" spans="2:6" x14ac:dyDescent="0.3">
      <c r="B779" s="2">
        <v>777</v>
      </c>
      <c r="C779" s="5" t="s">
        <v>11</v>
      </c>
      <c r="D779" s="5" t="s">
        <v>785</v>
      </c>
      <c r="E779">
        <v>150</v>
      </c>
      <c r="F779" s="2">
        <v>48</v>
      </c>
    </row>
    <row r="780" spans="2:6" x14ac:dyDescent="0.3">
      <c r="B780" s="2">
        <v>778</v>
      </c>
      <c r="C780" s="5" t="s">
        <v>6</v>
      </c>
      <c r="D780" s="5" t="s">
        <v>786</v>
      </c>
      <c r="E780">
        <v>100</v>
      </c>
      <c r="F780" s="2">
        <v>47</v>
      </c>
    </row>
    <row r="781" spans="2:6" x14ac:dyDescent="0.3">
      <c r="B781" s="2">
        <v>779</v>
      </c>
      <c r="C781" s="5" t="s">
        <v>11</v>
      </c>
      <c r="D781" s="5" t="s">
        <v>787</v>
      </c>
      <c r="E781">
        <v>1000</v>
      </c>
      <c r="F781" s="2">
        <v>56</v>
      </c>
    </row>
    <row r="782" spans="2:6" x14ac:dyDescent="0.3">
      <c r="B782" s="2">
        <v>780</v>
      </c>
      <c r="C782" s="5" t="s">
        <v>11</v>
      </c>
      <c r="D782" s="5" t="s">
        <v>788</v>
      </c>
      <c r="E782">
        <v>50</v>
      </c>
      <c r="F782" s="2">
        <v>52</v>
      </c>
    </row>
    <row r="783" spans="2:6" x14ac:dyDescent="0.3">
      <c r="B783" s="2">
        <v>781</v>
      </c>
      <c r="C783" s="5" t="s">
        <v>6</v>
      </c>
      <c r="D783" s="5" t="s">
        <v>789</v>
      </c>
      <c r="E783">
        <v>500</v>
      </c>
      <c r="F783" s="2">
        <v>35</v>
      </c>
    </row>
    <row r="784" spans="2:6" x14ac:dyDescent="0.3">
      <c r="B784" s="2">
        <v>782</v>
      </c>
      <c r="C784" s="5" t="s">
        <v>9</v>
      </c>
      <c r="D784" s="5" t="s">
        <v>790</v>
      </c>
      <c r="E784">
        <v>900</v>
      </c>
      <c r="F784" s="2">
        <v>59</v>
      </c>
    </row>
    <row r="785" spans="2:6" x14ac:dyDescent="0.3">
      <c r="B785" s="2">
        <v>783</v>
      </c>
      <c r="C785" s="5" t="s">
        <v>9</v>
      </c>
      <c r="D785" s="5" t="s">
        <v>791</v>
      </c>
      <c r="E785">
        <v>300</v>
      </c>
      <c r="F785" s="2">
        <v>56</v>
      </c>
    </row>
    <row r="786" spans="2:6" x14ac:dyDescent="0.3">
      <c r="B786" s="2">
        <v>784</v>
      </c>
      <c r="C786" s="5" t="s">
        <v>11</v>
      </c>
      <c r="D786" s="5" t="s">
        <v>792</v>
      </c>
      <c r="E786">
        <v>500</v>
      </c>
      <c r="F786" s="2">
        <v>34</v>
      </c>
    </row>
    <row r="787" spans="2:6" x14ac:dyDescent="0.3">
      <c r="B787" s="2">
        <v>785</v>
      </c>
      <c r="C787" s="5" t="s">
        <v>6</v>
      </c>
      <c r="D787" s="5" t="s">
        <v>793</v>
      </c>
      <c r="E787">
        <v>200</v>
      </c>
      <c r="F787" s="2">
        <v>31</v>
      </c>
    </row>
    <row r="788" spans="2:6" x14ac:dyDescent="0.3">
      <c r="B788" s="2">
        <v>786</v>
      </c>
      <c r="C788" s="5" t="s">
        <v>9</v>
      </c>
      <c r="D788" s="5" t="s">
        <v>794</v>
      </c>
      <c r="E788">
        <v>100</v>
      </c>
      <c r="F788" s="2">
        <v>48</v>
      </c>
    </row>
    <row r="789" spans="2:6" x14ac:dyDescent="0.3">
      <c r="B789" s="2">
        <v>787</v>
      </c>
      <c r="C789" s="5" t="s">
        <v>11</v>
      </c>
      <c r="D789" s="5" t="s">
        <v>795</v>
      </c>
      <c r="E789">
        <v>25</v>
      </c>
      <c r="F789" s="2">
        <v>41</v>
      </c>
    </row>
    <row r="790" spans="2:6" x14ac:dyDescent="0.3">
      <c r="B790" s="2">
        <v>788</v>
      </c>
      <c r="C790" s="5" t="s">
        <v>6</v>
      </c>
      <c r="D790" s="5" t="s">
        <v>796</v>
      </c>
      <c r="E790">
        <v>900</v>
      </c>
      <c r="F790" s="2">
        <v>52</v>
      </c>
    </row>
    <row r="791" spans="2:6" x14ac:dyDescent="0.3">
      <c r="B791" s="2">
        <v>789</v>
      </c>
      <c r="C791" s="5" t="s">
        <v>9</v>
      </c>
      <c r="D791" s="5" t="s">
        <v>797</v>
      </c>
      <c r="E791">
        <v>2000</v>
      </c>
      <c r="F791" s="2">
        <v>61</v>
      </c>
    </row>
    <row r="792" spans="2:6" x14ac:dyDescent="0.3">
      <c r="B792" s="2">
        <v>790</v>
      </c>
      <c r="C792" s="5" t="s">
        <v>9</v>
      </c>
      <c r="D792" s="5" t="s">
        <v>798</v>
      </c>
      <c r="E792">
        <v>25</v>
      </c>
      <c r="F792" s="2">
        <v>62</v>
      </c>
    </row>
    <row r="793" spans="2:6" x14ac:dyDescent="0.3">
      <c r="B793" s="2">
        <v>791</v>
      </c>
      <c r="C793" s="5" t="s">
        <v>6</v>
      </c>
      <c r="D793" s="5" t="s">
        <v>799</v>
      </c>
      <c r="E793">
        <v>25</v>
      </c>
      <c r="F793" s="2">
        <v>51</v>
      </c>
    </row>
    <row r="794" spans="2:6" x14ac:dyDescent="0.3">
      <c r="B794" s="2">
        <v>792</v>
      </c>
      <c r="C794" s="5" t="s">
        <v>6</v>
      </c>
      <c r="D794" s="5" t="s">
        <v>800</v>
      </c>
      <c r="E794">
        <v>50</v>
      </c>
      <c r="F794" s="2">
        <v>20</v>
      </c>
    </row>
    <row r="795" spans="2:6" x14ac:dyDescent="0.3">
      <c r="B795" s="2">
        <v>793</v>
      </c>
      <c r="C795" s="5" t="s">
        <v>6</v>
      </c>
      <c r="D795" s="5" t="s">
        <v>801</v>
      </c>
      <c r="E795">
        <v>30</v>
      </c>
      <c r="F795" s="2">
        <v>54</v>
      </c>
    </row>
    <row r="796" spans="2:6" x14ac:dyDescent="0.3">
      <c r="B796" s="2">
        <v>794</v>
      </c>
      <c r="C796" s="5" t="s">
        <v>6</v>
      </c>
      <c r="D796" s="5" t="s">
        <v>802</v>
      </c>
      <c r="E796">
        <v>300</v>
      </c>
      <c r="F796" s="2">
        <v>60</v>
      </c>
    </row>
    <row r="797" spans="2:6" x14ac:dyDescent="0.3">
      <c r="B797" s="2">
        <v>795</v>
      </c>
      <c r="C797" s="5" t="s">
        <v>11</v>
      </c>
      <c r="D797" s="5" t="s">
        <v>803</v>
      </c>
      <c r="E797">
        <v>300</v>
      </c>
      <c r="F797" s="2">
        <v>57</v>
      </c>
    </row>
    <row r="798" spans="2:6" x14ac:dyDescent="0.3">
      <c r="B798" s="2">
        <v>796</v>
      </c>
      <c r="C798" s="5" t="s">
        <v>6</v>
      </c>
      <c r="D798" s="5" t="s">
        <v>804</v>
      </c>
      <c r="E798">
        <v>120</v>
      </c>
      <c r="F798" s="2">
        <v>43</v>
      </c>
    </row>
    <row r="799" spans="2:6" x14ac:dyDescent="0.3">
      <c r="B799" s="2">
        <v>797</v>
      </c>
      <c r="C799" s="5" t="s">
        <v>9</v>
      </c>
      <c r="D799" s="5" t="s">
        <v>805</v>
      </c>
      <c r="E799">
        <v>75</v>
      </c>
      <c r="F799" s="2">
        <v>40</v>
      </c>
    </row>
    <row r="800" spans="2:6" x14ac:dyDescent="0.3">
      <c r="B800" s="2">
        <v>798</v>
      </c>
      <c r="C800" s="5" t="s">
        <v>9</v>
      </c>
      <c r="D800" s="5" t="s">
        <v>806</v>
      </c>
      <c r="E800">
        <v>50</v>
      </c>
      <c r="F800" s="2">
        <v>61</v>
      </c>
    </row>
    <row r="801" spans="2:6" x14ac:dyDescent="0.3">
      <c r="B801" s="2">
        <v>799</v>
      </c>
      <c r="C801" s="5" t="s">
        <v>11</v>
      </c>
      <c r="D801" s="5" t="s">
        <v>807</v>
      </c>
      <c r="E801">
        <v>100</v>
      </c>
      <c r="F801" s="2">
        <v>56</v>
      </c>
    </row>
    <row r="802" spans="2:6" x14ac:dyDescent="0.3">
      <c r="B802" s="2">
        <v>800</v>
      </c>
      <c r="C802" s="5" t="s">
        <v>9</v>
      </c>
      <c r="D802" s="5" t="s">
        <v>808</v>
      </c>
      <c r="E802">
        <v>1200</v>
      </c>
      <c r="F802" s="2">
        <v>32</v>
      </c>
    </row>
    <row r="803" spans="2:6" x14ac:dyDescent="0.3">
      <c r="B803" s="2">
        <v>801</v>
      </c>
      <c r="C803" s="5" t="s">
        <v>9</v>
      </c>
      <c r="D803" s="5" t="s">
        <v>809</v>
      </c>
      <c r="E803">
        <v>200</v>
      </c>
      <c r="F803" s="2">
        <v>21</v>
      </c>
    </row>
    <row r="804" spans="2:6" x14ac:dyDescent="0.3">
      <c r="B804" s="2">
        <v>802</v>
      </c>
      <c r="C804" s="5" t="s">
        <v>6</v>
      </c>
      <c r="D804" s="5" t="s">
        <v>810</v>
      </c>
      <c r="E804">
        <v>30</v>
      </c>
      <c r="F804" s="2">
        <v>46</v>
      </c>
    </row>
    <row r="805" spans="2:6" x14ac:dyDescent="0.3">
      <c r="B805" s="2">
        <v>803</v>
      </c>
      <c r="C805" s="5" t="s">
        <v>9</v>
      </c>
      <c r="D805" s="5" t="s">
        <v>811</v>
      </c>
      <c r="E805">
        <v>100</v>
      </c>
      <c r="F805" s="2">
        <v>39</v>
      </c>
    </row>
    <row r="806" spans="2:6" x14ac:dyDescent="0.3">
      <c r="B806" s="2">
        <v>804</v>
      </c>
      <c r="C806" s="5" t="s">
        <v>11</v>
      </c>
      <c r="D806" s="5" t="s">
        <v>812</v>
      </c>
      <c r="E806">
        <v>30</v>
      </c>
      <c r="F806" s="2">
        <v>42</v>
      </c>
    </row>
    <row r="807" spans="2:6" x14ac:dyDescent="0.3">
      <c r="B807" s="2">
        <v>805</v>
      </c>
      <c r="C807" s="5" t="s">
        <v>6</v>
      </c>
      <c r="D807" s="5" t="s">
        <v>813</v>
      </c>
      <c r="E807">
        <v>1500</v>
      </c>
      <c r="F807" s="2">
        <v>30</v>
      </c>
    </row>
    <row r="808" spans="2:6" x14ac:dyDescent="0.3">
      <c r="B808" s="2">
        <v>806</v>
      </c>
      <c r="C808" s="5" t="s">
        <v>6</v>
      </c>
      <c r="D808" s="5" t="s">
        <v>814</v>
      </c>
      <c r="E808">
        <v>900</v>
      </c>
      <c r="F808" s="2">
        <v>35</v>
      </c>
    </row>
    <row r="809" spans="2:6" x14ac:dyDescent="0.3">
      <c r="B809" s="2">
        <v>807</v>
      </c>
      <c r="C809" s="5" t="s">
        <v>11</v>
      </c>
      <c r="D809" s="5" t="s">
        <v>815</v>
      </c>
      <c r="E809">
        <v>200</v>
      </c>
      <c r="F809" s="2">
        <v>50</v>
      </c>
    </row>
    <row r="810" spans="2:6" x14ac:dyDescent="0.3">
      <c r="B810" s="2">
        <v>808</v>
      </c>
      <c r="C810" s="5" t="s">
        <v>6</v>
      </c>
      <c r="D810" s="5" t="s">
        <v>816</v>
      </c>
      <c r="E810">
        <v>2000</v>
      </c>
      <c r="F810" s="2">
        <v>33</v>
      </c>
    </row>
    <row r="811" spans="2:6" x14ac:dyDescent="0.3">
      <c r="B811" s="2">
        <v>809</v>
      </c>
      <c r="C811" s="5" t="s">
        <v>6</v>
      </c>
      <c r="D811" s="5" t="s">
        <v>817</v>
      </c>
      <c r="E811">
        <v>100</v>
      </c>
      <c r="F811" s="2">
        <v>62</v>
      </c>
    </row>
    <row r="812" spans="2:6" x14ac:dyDescent="0.3">
      <c r="B812" s="2">
        <v>810</v>
      </c>
      <c r="C812" s="5" t="s">
        <v>11</v>
      </c>
      <c r="D812" s="5" t="s">
        <v>818</v>
      </c>
      <c r="E812">
        <v>100</v>
      </c>
      <c r="F812" s="2">
        <v>59</v>
      </c>
    </row>
    <row r="813" spans="2:6" x14ac:dyDescent="0.3">
      <c r="B813" s="2">
        <v>811</v>
      </c>
      <c r="C813" s="5" t="s">
        <v>6</v>
      </c>
      <c r="D813" s="5" t="s">
        <v>819</v>
      </c>
      <c r="E813">
        <v>50</v>
      </c>
      <c r="F813" s="2">
        <v>61</v>
      </c>
    </row>
    <row r="814" spans="2:6" x14ac:dyDescent="0.3">
      <c r="B814" s="2">
        <v>812</v>
      </c>
      <c r="C814" s="5" t="s">
        <v>11</v>
      </c>
      <c r="D814" s="5" t="s">
        <v>820</v>
      </c>
      <c r="E814">
        <v>75</v>
      </c>
      <c r="F814" s="2">
        <v>19</v>
      </c>
    </row>
    <row r="815" spans="2:6" x14ac:dyDescent="0.3">
      <c r="B815" s="2">
        <v>813</v>
      </c>
      <c r="C815" s="5" t="s">
        <v>11</v>
      </c>
      <c r="D815" s="5" t="s">
        <v>821</v>
      </c>
      <c r="E815">
        <v>150</v>
      </c>
      <c r="F815" s="2">
        <v>52</v>
      </c>
    </row>
    <row r="816" spans="2:6" x14ac:dyDescent="0.3">
      <c r="B816" s="2">
        <v>814</v>
      </c>
      <c r="C816" s="5" t="s">
        <v>9</v>
      </c>
      <c r="D816" s="5" t="s">
        <v>822</v>
      </c>
      <c r="E816">
        <v>500</v>
      </c>
      <c r="F816" s="2">
        <v>59</v>
      </c>
    </row>
    <row r="817" spans="2:6" x14ac:dyDescent="0.3">
      <c r="B817" s="2">
        <v>815</v>
      </c>
      <c r="C817" s="5" t="s">
        <v>9</v>
      </c>
      <c r="D817" s="5" t="s">
        <v>823</v>
      </c>
      <c r="E817">
        <v>75</v>
      </c>
      <c r="F817" s="2">
        <v>51</v>
      </c>
    </row>
    <row r="818" spans="2:6" x14ac:dyDescent="0.3">
      <c r="B818" s="2">
        <v>816</v>
      </c>
      <c r="C818" s="5" t="s">
        <v>6</v>
      </c>
      <c r="D818" s="5" t="s">
        <v>824</v>
      </c>
      <c r="E818">
        <v>1000</v>
      </c>
      <c r="F818" s="2">
        <v>47</v>
      </c>
    </row>
    <row r="819" spans="2:6" x14ac:dyDescent="0.3">
      <c r="B819" s="2">
        <v>817</v>
      </c>
      <c r="C819" s="5" t="s">
        <v>6</v>
      </c>
      <c r="D819" s="5" t="s">
        <v>825</v>
      </c>
      <c r="E819">
        <v>200</v>
      </c>
      <c r="F819" s="2">
        <v>30</v>
      </c>
    </row>
    <row r="820" spans="2:6" x14ac:dyDescent="0.3">
      <c r="B820" s="2">
        <v>818</v>
      </c>
      <c r="C820" s="5" t="s">
        <v>11</v>
      </c>
      <c r="D820" s="5" t="s">
        <v>826</v>
      </c>
      <c r="E820">
        <v>500</v>
      </c>
      <c r="F820" s="2">
        <v>30</v>
      </c>
    </row>
    <row r="821" spans="2:6" x14ac:dyDescent="0.3">
      <c r="B821" s="2">
        <v>819</v>
      </c>
      <c r="C821" s="5" t="s">
        <v>6</v>
      </c>
      <c r="D821" s="5" t="s">
        <v>827</v>
      </c>
      <c r="E821">
        <v>100</v>
      </c>
      <c r="F821" s="2">
        <v>35</v>
      </c>
    </row>
    <row r="822" spans="2:6" x14ac:dyDescent="0.3">
      <c r="B822" s="2">
        <v>820</v>
      </c>
      <c r="C822" s="5" t="s">
        <v>11</v>
      </c>
      <c r="D822" s="5" t="s">
        <v>828</v>
      </c>
      <c r="E822">
        <v>200</v>
      </c>
      <c r="F822" s="2">
        <v>49</v>
      </c>
    </row>
    <row r="823" spans="2:6" x14ac:dyDescent="0.3">
      <c r="B823" s="2">
        <v>821</v>
      </c>
      <c r="C823" s="5" t="s">
        <v>11</v>
      </c>
      <c r="D823" s="5" t="s">
        <v>829</v>
      </c>
      <c r="E823">
        <v>300</v>
      </c>
      <c r="F823" s="2">
        <v>49</v>
      </c>
    </row>
    <row r="824" spans="2:6" x14ac:dyDescent="0.3">
      <c r="B824" s="2">
        <v>822</v>
      </c>
      <c r="C824" s="5" t="s">
        <v>6</v>
      </c>
      <c r="D824" s="5" t="s">
        <v>830</v>
      </c>
      <c r="E824">
        <v>150</v>
      </c>
      <c r="F824" s="2">
        <v>52</v>
      </c>
    </row>
    <row r="825" spans="2:6" x14ac:dyDescent="0.3">
      <c r="B825" s="2">
        <v>823</v>
      </c>
      <c r="C825" s="5" t="s">
        <v>11</v>
      </c>
      <c r="D825" s="5" t="s">
        <v>831</v>
      </c>
      <c r="E825">
        <v>100</v>
      </c>
      <c r="F825" s="2">
        <v>56</v>
      </c>
    </row>
    <row r="826" spans="2:6" x14ac:dyDescent="0.3">
      <c r="B826" s="2">
        <v>824</v>
      </c>
      <c r="C826" s="5" t="s">
        <v>9</v>
      </c>
      <c r="D826" s="5" t="s">
        <v>832</v>
      </c>
      <c r="E826">
        <v>120</v>
      </c>
      <c r="F826" s="2">
        <v>63</v>
      </c>
    </row>
    <row r="827" spans="2:6" x14ac:dyDescent="0.3">
      <c r="B827" s="2">
        <v>825</v>
      </c>
      <c r="C827" s="5" t="s">
        <v>6</v>
      </c>
      <c r="D827" s="5" t="s">
        <v>833</v>
      </c>
      <c r="E827">
        <v>25</v>
      </c>
      <c r="F827" s="2">
        <v>46</v>
      </c>
    </row>
    <row r="828" spans="2:6" x14ac:dyDescent="0.3">
      <c r="B828" s="2">
        <v>826</v>
      </c>
      <c r="C828" s="5" t="s">
        <v>9</v>
      </c>
      <c r="D828" s="5" t="s">
        <v>834</v>
      </c>
      <c r="E828">
        <v>300</v>
      </c>
      <c r="F828" s="2">
        <v>46</v>
      </c>
    </row>
    <row r="829" spans="2:6" x14ac:dyDescent="0.3">
      <c r="B829" s="2">
        <v>827</v>
      </c>
      <c r="C829" s="5" t="s">
        <v>6</v>
      </c>
      <c r="D829" s="5" t="s">
        <v>835</v>
      </c>
      <c r="E829">
        <v>900</v>
      </c>
      <c r="F829" s="2">
        <v>61</v>
      </c>
    </row>
    <row r="830" spans="2:6" x14ac:dyDescent="0.3">
      <c r="B830" s="2">
        <v>828</v>
      </c>
      <c r="C830" s="5" t="s">
        <v>11</v>
      </c>
      <c r="D830" s="5" t="s">
        <v>836</v>
      </c>
      <c r="E830">
        <v>1200</v>
      </c>
      <c r="F830" s="2">
        <v>33</v>
      </c>
    </row>
    <row r="831" spans="2:6" x14ac:dyDescent="0.3">
      <c r="B831" s="2">
        <v>829</v>
      </c>
      <c r="C831" s="5" t="s">
        <v>6</v>
      </c>
      <c r="D831" s="5" t="s">
        <v>837</v>
      </c>
      <c r="E831">
        <v>90</v>
      </c>
      <c r="F831" s="2">
        <v>61</v>
      </c>
    </row>
    <row r="832" spans="2:6" x14ac:dyDescent="0.3">
      <c r="B832" s="2">
        <v>830</v>
      </c>
      <c r="C832" s="5" t="s">
        <v>9</v>
      </c>
      <c r="D832" s="5" t="s">
        <v>838</v>
      </c>
      <c r="E832">
        <v>150</v>
      </c>
      <c r="F832" s="2">
        <v>64</v>
      </c>
    </row>
    <row r="833" spans="2:6" x14ac:dyDescent="0.3">
      <c r="B833" s="2">
        <v>831</v>
      </c>
      <c r="C833" s="5" t="s">
        <v>11</v>
      </c>
      <c r="D833" s="5" t="s">
        <v>839</v>
      </c>
      <c r="E833">
        <v>100</v>
      </c>
      <c r="F833" s="2">
        <v>27</v>
      </c>
    </row>
    <row r="834" spans="2:6" x14ac:dyDescent="0.3">
      <c r="B834" s="2">
        <v>832</v>
      </c>
      <c r="C834" s="5" t="s">
        <v>6</v>
      </c>
      <c r="D834" s="5" t="s">
        <v>840</v>
      </c>
      <c r="E834">
        <v>2000</v>
      </c>
      <c r="F834" s="2">
        <v>47</v>
      </c>
    </row>
    <row r="835" spans="2:6" x14ac:dyDescent="0.3">
      <c r="B835" s="2">
        <v>833</v>
      </c>
      <c r="C835" s="5" t="s">
        <v>6</v>
      </c>
      <c r="D835" s="5" t="s">
        <v>841</v>
      </c>
      <c r="E835">
        <v>200</v>
      </c>
      <c r="F835" s="2">
        <v>42</v>
      </c>
    </row>
    <row r="836" spans="2:6" x14ac:dyDescent="0.3">
      <c r="B836" s="2">
        <v>834</v>
      </c>
      <c r="C836" s="5" t="s">
        <v>6</v>
      </c>
      <c r="D836" s="5" t="s">
        <v>842</v>
      </c>
      <c r="E836">
        <v>60</v>
      </c>
      <c r="F836" s="2">
        <v>56</v>
      </c>
    </row>
    <row r="837" spans="2:6" x14ac:dyDescent="0.3">
      <c r="B837" s="2">
        <v>835</v>
      </c>
      <c r="C837" s="5" t="s">
        <v>9</v>
      </c>
      <c r="D837" s="5" t="s">
        <v>843</v>
      </c>
      <c r="E837">
        <v>200</v>
      </c>
      <c r="F837" s="2">
        <v>37</v>
      </c>
    </row>
    <row r="838" spans="2:6" x14ac:dyDescent="0.3">
      <c r="B838" s="2">
        <v>836</v>
      </c>
      <c r="C838" s="5" t="s">
        <v>9</v>
      </c>
      <c r="D838" s="5" t="s">
        <v>844</v>
      </c>
      <c r="E838">
        <v>50</v>
      </c>
      <c r="F838" s="2">
        <v>22</v>
      </c>
    </row>
    <row r="839" spans="2:6" x14ac:dyDescent="0.3">
      <c r="B839" s="2">
        <v>837</v>
      </c>
      <c r="C839" s="5" t="s">
        <v>6</v>
      </c>
      <c r="D839" s="5" t="s">
        <v>845</v>
      </c>
      <c r="E839">
        <v>90</v>
      </c>
      <c r="F839" s="2">
        <v>18</v>
      </c>
    </row>
    <row r="840" spans="2:6" x14ac:dyDescent="0.3">
      <c r="B840" s="2">
        <v>838</v>
      </c>
      <c r="C840" s="5" t="s">
        <v>11</v>
      </c>
      <c r="D840" s="5" t="s">
        <v>846</v>
      </c>
      <c r="E840">
        <v>600</v>
      </c>
      <c r="F840" s="2">
        <v>47</v>
      </c>
    </row>
    <row r="841" spans="2:6" x14ac:dyDescent="0.3">
      <c r="B841" s="2">
        <v>839</v>
      </c>
      <c r="C841" s="5" t="s">
        <v>11</v>
      </c>
      <c r="D841" s="5" t="s">
        <v>847</v>
      </c>
      <c r="E841">
        <v>1200</v>
      </c>
      <c r="F841" s="2">
        <v>20</v>
      </c>
    </row>
    <row r="842" spans="2:6" x14ac:dyDescent="0.3">
      <c r="B842" s="2">
        <v>840</v>
      </c>
      <c r="C842" s="5" t="s">
        <v>9</v>
      </c>
      <c r="D842" s="5" t="s">
        <v>848</v>
      </c>
      <c r="E842">
        <v>50</v>
      </c>
      <c r="F842" s="2">
        <v>62</v>
      </c>
    </row>
    <row r="843" spans="2:6" x14ac:dyDescent="0.3">
      <c r="B843" s="2">
        <v>841</v>
      </c>
      <c r="C843" s="5" t="s">
        <v>11</v>
      </c>
      <c r="D843" s="5" t="s">
        <v>849</v>
      </c>
      <c r="E843">
        <v>100</v>
      </c>
      <c r="F843" s="2">
        <v>31</v>
      </c>
    </row>
    <row r="844" spans="2:6" x14ac:dyDescent="0.3">
      <c r="B844" s="2">
        <v>842</v>
      </c>
      <c r="C844" s="5" t="s">
        <v>9</v>
      </c>
      <c r="D844" s="5" t="s">
        <v>850</v>
      </c>
      <c r="E844">
        <v>600</v>
      </c>
      <c r="F844" s="2">
        <v>47</v>
      </c>
    </row>
    <row r="845" spans="2:6" x14ac:dyDescent="0.3">
      <c r="B845" s="2">
        <v>843</v>
      </c>
      <c r="C845" s="5" t="s">
        <v>6</v>
      </c>
      <c r="D845" s="5" t="s">
        <v>851</v>
      </c>
      <c r="E845">
        <v>1500</v>
      </c>
      <c r="F845" s="2">
        <v>21</v>
      </c>
    </row>
    <row r="846" spans="2:6" x14ac:dyDescent="0.3">
      <c r="B846" s="2">
        <v>844</v>
      </c>
      <c r="C846" s="5" t="s">
        <v>9</v>
      </c>
      <c r="D846" s="5" t="s">
        <v>852</v>
      </c>
      <c r="E846">
        <v>150</v>
      </c>
      <c r="F846" s="2">
        <v>35</v>
      </c>
    </row>
    <row r="847" spans="2:6" x14ac:dyDescent="0.3">
      <c r="B847" s="2">
        <v>845</v>
      </c>
      <c r="C847" s="5" t="s">
        <v>9</v>
      </c>
      <c r="D847" s="5" t="s">
        <v>853</v>
      </c>
      <c r="E847">
        <v>500</v>
      </c>
      <c r="F847" s="2">
        <v>54</v>
      </c>
    </row>
    <row r="848" spans="2:6" x14ac:dyDescent="0.3">
      <c r="B848" s="2">
        <v>846</v>
      </c>
      <c r="C848" s="5" t="s">
        <v>6</v>
      </c>
      <c r="D848" s="5" t="s">
        <v>854</v>
      </c>
      <c r="E848">
        <v>50</v>
      </c>
      <c r="F848" s="2">
        <v>42</v>
      </c>
    </row>
    <row r="849" spans="2:6" x14ac:dyDescent="0.3">
      <c r="B849" s="2">
        <v>847</v>
      </c>
      <c r="C849" s="5" t="s">
        <v>11</v>
      </c>
      <c r="D849" s="5" t="s">
        <v>855</v>
      </c>
      <c r="E849">
        <v>1200</v>
      </c>
      <c r="F849" s="2">
        <v>18</v>
      </c>
    </row>
    <row r="850" spans="2:6" x14ac:dyDescent="0.3">
      <c r="B850" s="2">
        <v>848</v>
      </c>
      <c r="C850" s="5" t="s">
        <v>9</v>
      </c>
      <c r="D850" s="5" t="s">
        <v>856</v>
      </c>
      <c r="E850">
        <v>75</v>
      </c>
      <c r="F850" s="2">
        <v>63</v>
      </c>
    </row>
    <row r="851" spans="2:6" x14ac:dyDescent="0.3">
      <c r="B851" s="2">
        <v>849</v>
      </c>
      <c r="C851" s="5" t="s">
        <v>9</v>
      </c>
      <c r="D851" s="5" t="s">
        <v>857</v>
      </c>
      <c r="E851">
        <v>50</v>
      </c>
      <c r="F851" s="2">
        <v>32</v>
      </c>
    </row>
    <row r="852" spans="2:6" x14ac:dyDescent="0.3">
      <c r="B852" s="2">
        <v>850</v>
      </c>
      <c r="C852" s="5" t="s">
        <v>6</v>
      </c>
      <c r="D852" s="5" t="s">
        <v>858</v>
      </c>
      <c r="E852">
        <v>1000</v>
      </c>
      <c r="F852" s="2">
        <v>26</v>
      </c>
    </row>
    <row r="853" spans="2:6" x14ac:dyDescent="0.3">
      <c r="B853" s="2">
        <v>851</v>
      </c>
      <c r="C853" s="5" t="s">
        <v>11</v>
      </c>
      <c r="D853" s="5" t="s">
        <v>859</v>
      </c>
      <c r="E853">
        <v>50</v>
      </c>
      <c r="F853" s="2">
        <v>32</v>
      </c>
    </row>
    <row r="854" spans="2:6" x14ac:dyDescent="0.3">
      <c r="B854" s="2">
        <v>852</v>
      </c>
      <c r="C854" s="5" t="s">
        <v>9</v>
      </c>
      <c r="D854" s="5" t="s">
        <v>860</v>
      </c>
      <c r="E854">
        <v>300</v>
      </c>
      <c r="F854" s="2">
        <v>41</v>
      </c>
    </row>
    <row r="855" spans="2:6" x14ac:dyDescent="0.3">
      <c r="B855" s="2">
        <v>853</v>
      </c>
      <c r="C855" s="5" t="s">
        <v>6</v>
      </c>
      <c r="D855" s="5" t="s">
        <v>861</v>
      </c>
      <c r="E855">
        <v>1000</v>
      </c>
      <c r="F855" s="2">
        <v>21</v>
      </c>
    </row>
    <row r="856" spans="2:6" x14ac:dyDescent="0.3">
      <c r="B856" s="2">
        <v>854</v>
      </c>
      <c r="C856" s="5" t="s">
        <v>9</v>
      </c>
      <c r="D856" s="5" t="s">
        <v>862</v>
      </c>
      <c r="E856">
        <v>50</v>
      </c>
      <c r="F856" s="2">
        <v>29</v>
      </c>
    </row>
    <row r="857" spans="2:6" x14ac:dyDescent="0.3">
      <c r="B857" s="2">
        <v>855</v>
      </c>
      <c r="C857" s="5" t="s">
        <v>6</v>
      </c>
      <c r="D857" s="5" t="s">
        <v>863</v>
      </c>
      <c r="E857">
        <v>25</v>
      </c>
      <c r="F857" s="2">
        <v>54</v>
      </c>
    </row>
    <row r="858" spans="2:6" x14ac:dyDescent="0.3">
      <c r="B858" s="2">
        <v>856</v>
      </c>
      <c r="C858" s="5" t="s">
        <v>11</v>
      </c>
      <c r="D858" s="5" t="s">
        <v>864</v>
      </c>
      <c r="E858">
        <v>120</v>
      </c>
      <c r="F858" s="2">
        <v>54</v>
      </c>
    </row>
    <row r="859" spans="2:6" x14ac:dyDescent="0.3">
      <c r="B859" s="2">
        <v>857</v>
      </c>
      <c r="C859" s="5" t="s">
        <v>11</v>
      </c>
      <c r="D859" s="5" t="s">
        <v>865</v>
      </c>
      <c r="E859">
        <v>50</v>
      </c>
      <c r="F859" s="2">
        <v>60</v>
      </c>
    </row>
    <row r="860" spans="2:6" x14ac:dyDescent="0.3">
      <c r="B860" s="2">
        <v>858</v>
      </c>
      <c r="C860" s="5" t="s">
        <v>11</v>
      </c>
      <c r="D860" s="5" t="s">
        <v>866</v>
      </c>
      <c r="E860">
        <v>100</v>
      </c>
      <c r="F860" s="2">
        <v>23</v>
      </c>
    </row>
    <row r="861" spans="2:6" x14ac:dyDescent="0.3">
      <c r="B861" s="2">
        <v>859</v>
      </c>
      <c r="C861" s="5" t="s">
        <v>11</v>
      </c>
      <c r="D861" s="5" t="s">
        <v>867</v>
      </c>
      <c r="E861">
        <v>1500</v>
      </c>
      <c r="F861" s="2">
        <v>56</v>
      </c>
    </row>
    <row r="862" spans="2:6" x14ac:dyDescent="0.3">
      <c r="B862" s="2">
        <v>860</v>
      </c>
      <c r="C862" s="5" t="s">
        <v>9</v>
      </c>
      <c r="D862" s="5" t="s">
        <v>868</v>
      </c>
      <c r="E862">
        <v>200</v>
      </c>
      <c r="F862" s="2">
        <v>63</v>
      </c>
    </row>
    <row r="863" spans="2:6" x14ac:dyDescent="0.3">
      <c r="B863" s="2">
        <v>861</v>
      </c>
      <c r="C863" s="5" t="s">
        <v>9</v>
      </c>
      <c r="D863" s="5" t="s">
        <v>869</v>
      </c>
      <c r="E863">
        <v>90</v>
      </c>
      <c r="F863" s="2">
        <v>41</v>
      </c>
    </row>
    <row r="864" spans="2:6" x14ac:dyDescent="0.3">
      <c r="B864" s="2">
        <v>862</v>
      </c>
      <c r="C864" s="5" t="s">
        <v>11</v>
      </c>
      <c r="D864" s="5" t="s">
        <v>870</v>
      </c>
      <c r="E864">
        <v>1200</v>
      </c>
      <c r="F864" s="2">
        <v>28</v>
      </c>
    </row>
    <row r="865" spans="2:6" x14ac:dyDescent="0.3">
      <c r="B865" s="2">
        <v>863</v>
      </c>
      <c r="C865" s="5" t="s">
        <v>11</v>
      </c>
      <c r="D865" s="5" t="s">
        <v>871</v>
      </c>
      <c r="E865">
        <v>50</v>
      </c>
      <c r="F865" s="2">
        <v>30</v>
      </c>
    </row>
    <row r="866" spans="2:6" x14ac:dyDescent="0.3">
      <c r="B866" s="2">
        <v>864</v>
      </c>
      <c r="C866" s="5" t="s">
        <v>11</v>
      </c>
      <c r="D866" s="5" t="s">
        <v>872</v>
      </c>
      <c r="E866">
        <v>500</v>
      </c>
      <c r="F866" s="2">
        <v>51</v>
      </c>
    </row>
    <row r="867" spans="2:6" x14ac:dyDescent="0.3">
      <c r="B867" s="2">
        <v>865</v>
      </c>
      <c r="C867" s="5" t="s">
        <v>9</v>
      </c>
      <c r="D867" s="5" t="s">
        <v>873</v>
      </c>
      <c r="E867">
        <v>300</v>
      </c>
      <c r="F867" s="2">
        <v>42</v>
      </c>
    </row>
    <row r="868" spans="2:6" x14ac:dyDescent="0.3">
      <c r="B868" s="2">
        <v>866</v>
      </c>
      <c r="C868" s="5" t="s">
        <v>11</v>
      </c>
      <c r="D868" s="5" t="s">
        <v>874</v>
      </c>
      <c r="E868">
        <v>50</v>
      </c>
      <c r="F868" s="2">
        <v>24</v>
      </c>
    </row>
    <row r="869" spans="2:6" x14ac:dyDescent="0.3">
      <c r="B869" s="2">
        <v>867</v>
      </c>
      <c r="C869" s="5" t="s">
        <v>11</v>
      </c>
      <c r="D869" s="5" t="s">
        <v>875</v>
      </c>
      <c r="E869">
        <v>500</v>
      </c>
      <c r="F869" s="2">
        <v>21</v>
      </c>
    </row>
    <row r="870" spans="2:6" x14ac:dyDescent="0.3">
      <c r="B870" s="2">
        <v>868</v>
      </c>
      <c r="C870" s="5" t="s">
        <v>11</v>
      </c>
      <c r="D870" s="5" t="s">
        <v>876</v>
      </c>
      <c r="E870">
        <v>300</v>
      </c>
      <c r="F870" s="2">
        <v>25</v>
      </c>
    </row>
    <row r="871" spans="2:6" x14ac:dyDescent="0.3">
      <c r="B871" s="2">
        <v>869</v>
      </c>
      <c r="C871" s="5" t="s">
        <v>6</v>
      </c>
      <c r="D871" s="5" t="s">
        <v>877</v>
      </c>
      <c r="E871">
        <v>1500</v>
      </c>
      <c r="F871" s="2">
        <v>37</v>
      </c>
    </row>
    <row r="872" spans="2:6" x14ac:dyDescent="0.3">
      <c r="B872" s="2">
        <v>870</v>
      </c>
      <c r="C872" s="5" t="s">
        <v>11</v>
      </c>
      <c r="D872" s="5" t="s">
        <v>878</v>
      </c>
      <c r="E872">
        <v>120</v>
      </c>
      <c r="F872" s="2">
        <v>46</v>
      </c>
    </row>
    <row r="873" spans="2:6" x14ac:dyDescent="0.3">
      <c r="B873" s="2">
        <v>871</v>
      </c>
      <c r="C873" s="5" t="s">
        <v>6</v>
      </c>
      <c r="D873" s="5" t="s">
        <v>879</v>
      </c>
      <c r="E873">
        <v>60</v>
      </c>
      <c r="F873" s="2">
        <v>62</v>
      </c>
    </row>
    <row r="874" spans="2:6" x14ac:dyDescent="0.3">
      <c r="B874" s="2">
        <v>872</v>
      </c>
      <c r="C874" s="5" t="s">
        <v>6</v>
      </c>
      <c r="D874" s="5" t="s">
        <v>880</v>
      </c>
      <c r="E874">
        <v>75</v>
      </c>
      <c r="F874" s="2">
        <v>63</v>
      </c>
    </row>
    <row r="875" spans="2:6" x14ac:dyDescent="0.3">
      <c r="B875" s="2">
        <v>873</v>
      </c>
      <c r="C875" s="5" t="s">
        <v>11</v>
      </c>
      <c r="D875" s="5" t="s">
        <v>881</v>
      </c>
      <c r="E875">
        <v>100</v>
      </c>
      <c r="F875" s="2">
        <v>27</v>
      </c>
    </row>
    <row r="876" spans="2:6" x14ac:dyDescent="0.3">
      <c r="B876" s="2">
        <v>874</v>
      </c>
      <c r="C876" s="5" t="s">
        <v>6</v>
      </c>
      <c r="D876" s="5" t="s">
        <v>882</v>
      </c>
      <c r="E876">
        <v>30</v>
      </c>
      <c r="F876" s="2">
        <v>60</v>
      </c>
    </row>
    <row r="877" spans="2:6" x14ac:dyDescent="0.3">
      <c r="B877" s="2">
        <v>875</v>
      </c>
      <c r="C877" s="5" t="s">
        <v>11</v>
      </c>
      <c r="D877" s="5" t="s">
        <v>883</v>
      </c>
      <c r="E877">
        <v>2000</v>
      </c>
      <c r="F877" s="2">
        <v>51</v>
      </c>
    </row>
    <row r="878" spans="2:6" x14ac:dyDescent="0.3">
      <c r="B878" s="2">
        <v>876</v>
      </c>
      <c r="C878" s="5" t="s">
        <v>9</v>
      </c>
      <c r="D878" s="5" t="s">
        <v>884</v>
      </c>
      <c r="E878">
        <v>120</v>
      </c>
      <c r="F878" s="2">
        <v>43</v>
      </c>
    </row>
    <row r="879" spans="2:6" x14ac:dyDescent="0.3">
      <c r="B879" s="2">
        <v>877</v>
      </c>
      <c r="C879" s="5" t="s">
        <v>9</v>
      </c>
      <c r="D879" s="5" t="s">
        <v>885</v>
      </c>
      <c r="E879">
        <v>25</v>
      </c>
      <c r="F879" s="2">
        <v>58</v>
      </c>
    </row>
    <row r="880" spans="2:6" x14ac:dyDescent="0.3">
      <c r="B880" s="2">
        <v>878</v>
      </c>
      <c r="C880" s="5" t="s">
        <v>9</v>
      </c>
      <c r="D880" s="5" t="s">
        <v>886</v>
      </c>
      <c r="E880">
        <v>30</v>
      </c>
      <c r="F880" s="2">
        <v>20</v>
      </c>
    </row>
    <row r="881" spans="2:6" x14ac:dyDescent="0.3">
      <c r="B881" s="2">
        <v>879</v>
      </c>
      <c r="C881" s="5" t="s">
        <v>9</v>
      </c>
      <c r="D881" s="5" t="s">
        <v>887</v>
      </c>
      <c r="E881">
        <v>30</v>
      </c>
      <c r="F881" s="2">
        <v>23</v>
      </c>
    </row>
    <row r="882" spans="2:6" x14ac:dyDescent="0.3">
      <c r="B882" s="2">
        <v>880</v>
      </c>
      <c r="C882" s="5" t="s">
        <v>6</v>
      </c>
      <c r="D882" s="5" t="s">
        <v>888</v>
      </c>
      <c r="E882">
        <v>1000</v>
      </c>
      <c r="F882" s="2">
        <v>22</v>
      </c>
    </row>
    <row r="883" spans="2:6" x14ac:dyDescent="0.3">
      <c r="B883" s="2">
        <v>881</v>
      </c>
      <c r="C883" s="5" t="s">
        <v>11</v>
      </c>
      <c r="D883" s="5" t="s">
        <v>889</v>
      </c>
      <c r="E883">
        <v>300</v>
      </c>
      <c r="F883" s="2">
        <v>22</v>
      </c>
    </row>
    <row r="884" spans="2:6" x14ac:dyDescent="0.3">
      <c r="B884" s="2">
        <v>882</v>
      </c>
      <c r="C884" s="5" t="s">
        <v>11</v>
      </c>
      <c r="D884" s="5" t="s">
        <v>890</v>
      </c>
      <c r="E884">
        <v>50</v>
      </c>
      <c r="F884" s="2">
        <v>64</v>
      </c>
    </row>
    <row r="885" spans="2:6" x14ac:dyDescent="0.3">
      <c r="B885" s="2">
        <v>883</v>
      </c>
      <c r="C885" s="5" t="s">
        <v>11</v>
      </c>
      <c r="D885" s="5" t="s">
        <v>891</v>
      </c>
      <c r="E885">
        <v>500</v>
      </c>
      <c r="F885" s="2">
        <v>40</v>
      </c>
    </row>
    <row r="886" spans="2:6" x14ac:dyDescent="0.3">
      <c r="B886" s="2">
        <v>884</v>
      </c>
      <c r="C886" s="5" t="s">
        <v>9</v>
      </c>
      <c r="D886" s="5" t="s">
        <v>892</v>
      </c>
      <c r="E886">
        <v>60</v>
      </c>
      <c r="F886" s="2">
        <v>26</v>
      </c>
    </row>
    <row r="887" spans="2:6" x14ac:dyDescent="0.3">
      <c r="B887" s="2">
        <v>885</v>
      </c>
      <c r="C887" s="5" t="s">
        <v>9</v>
      </c>
      <c r="D887" s="5" t="s">
        <v>893</v>
      </c>
      <c r="E887">
        <v>120</v>
      </c>
      <c r="F887" s="2">
        <v>52</v>
      </c>
    </row>
    <row r="888" spans="2:6" x14ac:dyDescent="0.3">
      <c r="B888" s="2">
        <v>886</v>
      </c>
      <c r="C888" s="5" t="s">
        <v>11</v>
      </c>
      <c r="D888" s="5" t="s">
        <v>894</v>
      </c>
      <c r="E888">
        <v>900</v>
      </c>
      <c r="F888" s="2">
        <v>37</v>
      </c>
    </row>
    <row r="889" spans="2:6" x14ac:dyDescent="0.3">
      <c r="B889" s="2">
        <v>887</v>
      </c>
      <c r="C889" s="5" t="s">
        <v>9</v>
      </c>
      <c r="D889" s="5" t="s">
        <v>895</v>
      </c>
      <c r="E889">
        <v>100</v>
      </c>
      <c r="F889" s="2">
        <v>59</v>
      </c>
    </row>
    <row r="890" spans="2:6" x14ac:dyDescent="0.3">
      <c r="B890" s="2">
        <v>888</v>
      </c>
      <c r="C890" s="5" t="s">
        <v>11</v>
      </c>
      <c r="D890" s="5" t="s">
        <v>896</v>
      </c>
      <c r="E890">
        <v>100</v>
      </c>
      <c r="F890" s="2">
        <v>52</v>
      </c>
    </row>
    <row r="891" spans="2:6" x14ac:dyDescent="0.3">
      <c r="B891" s="2">
        <v>889</v>
      </c>
      <c r="C891" s="5" t="s">
        <v>11</v>
      </c>
      <c r="D891" s="5" t="s">
        <v>897</v>
      </c>
      <c r="E891">
        <v>50</v>
      </c>
      <c r="F891" s="2">
        <v>35</v>
      </c>
    </row>
    <row r="892" spans="2:6" x14ac:dyDescent="0.3">
      <c r="B892" s="2">
        <v>890</v>
      </c>
      <c r="C892" s="5" t="s">
        <v>11</v>
      </c>
      <c r="D892" s="5" t="s">
        <v>898</v>
      </c>
      <c r="E892">
        <v>50</v>
      </c>
      <c r="F892" s="2">
        <v>34</v>
      </c>
    </row>
    <row r="893" spans="2:6" x14ac:dyDescent="0.3">
      <c r="B893" s="2">
        <v>891</v>
      </c>
      <c r="C893" s="5" t="s">
        <v>11</v>
      </c>
      <c r="D893" s="5" t="s">
        <v>899</v>
      </c>
      <c r="E893">
        <v>900</v>
      </c>
      <c r="F893" s="2">
        <v>41</v>
      </c>
    </row>
    <row r="894" spans="2:6" x14ac:dyDescent="0.3">
      <c r="B894" s="2">
        <v>892</v>
      </c>
      <c r="C894" s="5" t="s">
        <v>11</v>
      </c>
      <c r="D894" s="5" t="s">
        <v>900</v>
      </c>
      <c r="E894">
        <v>50</v>
      </c>
      <c r="F894" s="2">
        <v>20</v>
      </c>
    </row>
    <row r="895" spans="2:6" x14ac:dyDescent="0.3">
      <c r="B895" s="2">
        <v>893</v>
      </c>
      <c r="C895" s="5" t="s">
        <v>11</v>
      </c>
      <c r="D895" s="5" t="s">
        <v>901</v>
      </c>
      <c r="E895">
        <v>50</v>
      </c>
      <c r="F895" s="2">
        <v>49</v>
      </c>
    </row>
    <row r="896" spans="2:6" x14ac:dyDescent="0.3">
      <c r="B896" s="2">
        <v>894</v>
      </c>
      <c r="C896" s="5" t="s">
        <v>11</v>
      </c>
      <c r="D896" s="5" t="s">
        <v>902</v>
      </c>
      <c r="E896">
        <v>30</v>
      </c>
      <c r="F896" s="2">
        <v>52</v>
      </c>
    </row>
    <row r="897" spans="2:6" x14ac:dyDescent="0.3">
      <c r="B897" s="2">
        <v>895</v>
      </c>
      <c r="C897" s="5" t="s">
        <v>9</v>
      </c>
      <c r="D897" s="5" t="s">
        <v>903</v>
      </c>
      <c r="E897">
        <v>120</v>
      </c>
      <c r="F897" s="2">
        <v>55</v>
      </c>
    </row>
    <row r="898" spans="2:6" x14ac:dyDescent="0.3">
      <c r="B898" s="2">
        <v>896</v>
      </c>
      <c r="C898" s="5" t="s">
        <v>11</v>
      </c>
      <c r="D898" s="5" t="s">
        <v>904</v>
      </c>
      <c r="E898">
        <v>50</v>
      </c>
      <c r="F898" s="2">
        <v>30</v>
      </c>
    </row>
    <row r="899" spans="2:6" x14ac:dyDescent="0.3">
      <c r="B899" s="2">
        <v>897</v>
      </c>
      <c r="C899" s="5" t="s">
        <v>11</v>
      </c>
      <c r="D899" s="5" t="s">
        <v>905</v>
      </c>
      <c r="E899">
        <v>100</v>
      </c>
      <c r="F899" s="2">
        <v>64</v>
      </c>
    </row>
    <row r="900" spans="2:6" x14ac:dyDescent="0.3">
      <c r="B900" s="2">
        <v>898</v>
      </c>
      <c r="C900" s="5" t="s">
        <v>9</v>
      </c>
      <c r="D900" s="5" t="s">
        <v>906</v>
      </c>
      <c r="E900">
        <v>90</v>
      </c>
      <c r="F900" s="2">
        <v>42</v>
      </c>
    </row>
    <row r="901" spans="2:6" x14ac:dyDescent="0.3">
      <c r="B901" s="2">
        <v>899</v>
      </c>
      <c r="C901" s="5" t="s">
        <v>9</v>
      </c>
      <c r="D901" s="5" t="s">
        <v>907</v>
      </c>
      <c r="E901">
        <v>600</v>
      </c>
      <c r="F901" s="2">
        <v>26</v>
      </c>
    </row>
    <row r="902" spans="2:6" x14ac:dyDescent="0.3">
      <c r="B902" s="2">
        <v>900</v>
      </c>
      <c r="C902" s="5" t="s">
        <v>9</v>
      </c>
      <c r="D902" s="5" t="s">
        <v>908</v>
      </c>
      <c r="E902">
        <v>60</v>
      </c>
      <c r="F902" s="2">
        <v>21</v>
      </c>
    </row>
    <row r="903" spans="2:6" x14ac:dyDescent="0.3">
      <c r="B903" s="2">
        <v>901</v>
      </c>
      <c r="C903" s="5" t="s">
        <v>11</v>
      </c>
      <c r="D903" s="5" t="s">
        <v>909</v>
      </c>
      <c r="E903">
        <v>30</v>
      </c>
      <c r="F903" s="2">
        <v>31</v>
      </c>
    </row>
    <row r="904" spans="2:6" x14ac:dyDescent="0.3">
      <c r="B904" s="2">
        <v>902</v>
      </c>
      <c r="C904" s="5" t="s">
        <v>6</v>
      </c>
      <c r="D904" s="5" t="s">
        <v>910</v>
      </c>
      <c r="E904">
        <v>50</v>
      </c>
      <c r="F904" s="2">
        <v>54</v>
      </c>
    </row>
    <row r="905" spans="2:6" x14ac:dyDescent="0.3">
      <c r="B905" s="2">
        <v>903</v>
      </c>
      <c r="C905" s="5" t="s">
        <v>6</v>
      </c>
      <c r="D905" s="5" t="s">
        <v>911</v>
      </c>
      <c r="E905">
        <v>200</v>
      </c>
      <c r="F905" s="2">
        <v>51</v>
      </c>
    </row>
    <row r="906" spans="2:6" x14ac:dyDescent="0.3">
      <c r="B906" s="2">
        <v>904</v>
      </c>
      <c r="C906" s="5" t="s">
        <v>9</v>
      </c>
      <c r="D906" s="5" t="s">
        <v>912</v>
      </c>
      <c r="E906">
        <v>500</v>
      </c>
      <c r="F906" s="2">
        <v>28</v>
      </c>
    </row>
    <row r="907" spans="2:6" x14ac:dyDescent="0.3">
      <c r="B907" s="2">
        <v>905</v>
      </c>
      <c r="C907" s="5" t="s">
        <v>6</v>
      </c>
      <c r="D907" s="5" t="s">
        <v>913</v>
      </c>
      <c r="E907">
        <v>300</v>
      </c>
      <c r="F907" s="2">
        <v>58</v>
      </c>
    </row>
    <row r="908" spans="2:6" x14ac:dyDescent="0.3">
      <c r="B908" s="2">
        <v>906</v>
      </c>
      <c r="C908" s="5" t="s">
        <v>9</v>
      </c>
      <c r="D908" s="5" t="s">
        <v>914</v>
      </c>
      <c r="E908">
        <v>50</v>
      </c>
      <c r="F908" s="2">
        <v>20</v>
      </c>
    </row>
    <row r="909" spans="2:6" x14ac:dyDescent="0.3">
      <c r="B909" s="2">
        <v>907</v>
      </c>
      <c r="C909" s="5" t="s">
        <v>11</v>
      </c>
      <c r="D909" s="5" t="s">
        <v>915</v>
      </c>
      <c r="E909">
        <v>25</v>
      </c>
      <c r="F909" s="2">
        <v>45</v>
      </c>
    </row>
    <row r="910" spans="2:6" x14ac:dyDescent="0.3">
      <c r="B910" s="2">
        <v>908</v>
      </c>
      <c r="C910" s="5" t="s">
        <v>6</v>
      </c>
      <c r="D910" s="5" t="s">
        <v>916</v>
      </c>
      <c r="E910">
        <v>1200</v>
      </c>
      <c r="F910" s="2">
        <v>46</v>
      </c>
    </row>
    <row r="911" spans="2:6" x14ac:dyDescent="0.3">
      <c r="B911" s="2">
        <v>909</v>
      </c>
      <c r="C911" s="5" t="s">
        <v>11</v>
      </c>
      <c r="D911" s="5" t="s">
        <v>917</v>
      </c>
      <c r="E911">
        <v>300</v>
      </c>
      <c r="F911" s="2">
        <v>26</v>
      </c>
    </row>
    <row r="912" spans="2:6" x14ac:dyDescent="0.3">
      <c r="B912" s="2">
        <v>910</v>
      </c>
      <c r="C912" s="5" t="s">
        <v>6</v>
      </c>
      <c r="D912" s="5" t="s">
        <v>918</v>
      </c>
      <c r="E912">
        <v>150</v>
      </c>
      <c r="F912" s="2">
        <v>20</v>
      </c>
    </row>
    <row r="913" spans="2:6" x14ac:dyDescent="0.3">
      <c r="B913" s="2">
        <v>911</v>
      </c>
      <c r="C913" s="5" t="s">
        <v>11</v>
      </c>
      <c r="D913" s="5" t="s">
        <v>919</v>
      </c>
      <c r="E913">
        <v>900</v>
      </c>
      <c r="F913" s="2">
        <v>42</v>
      </c>
    </row>
    <row r="914" spans="2:6" x14ac:dyDescent="0.3">
      <c r="B914" s="2">
        <v>912</v>
      </c>
      <c r="C914" s="5" t="s">
        <v>6</v>
      </c>
      <c r="D914" s="5" t="s">
        <v>920</v>
      </c>
      <c r="E914">
        <v>150</v>
      </c>
      <c r="F914" s="2">
        <v>51</v>
      </c>
    </row>
    <row r="915" spans="2:6" x14ac:dyDescent="0.3">
      <c r="B915" s="2">
        <v>913</v>
      </c>
      <c r="C915" s="5" t="s">
        <v>11</v>
      </c>
      <c r="D915" s="5" t="s">
        <v>921</v>
      </c>
      <c r="E915">
        <v>90</v>
      </c>
      <c r="F915" s="2">
        <v>29</v>
      </c>
    </row>
    <row r="916" spans="2:6" x14ac:dyDescent="0.3">
      <c r="B916" s="2">
        <v>914</v>
      </c>
      <c r="C916" s="5" t="s">
        <v>11</v>
      </c>
      <c r="D916" s="5" t="s">
        <v>922</v>
      </c>
      <c r="E916">
        <v>500</v>
      </c>
      <c r="F916" s="2">
        <v>59</v>
      </c>
    </row>
    <row r="917" spans="2:6" x14ac:dyDescent="0.3">
      <c r="B917" s="2">
        <v>915</v>
      </c>
      <c r="C917" s="5" t="s">
        <v>6</v>
      </c>
      <c r="D917" s="5" t="s">
        <v>923</v>
      </c>
      <c r="E917">
        <v>90</v>
      </c>
      <c r="F917" s="2">
        <v>26</v>
      </c>
    </row>
    <row r="918" spans="2:6" x14ac:dyDescent="0.3">
      <c r="B918" s="2">
        <v>916</v>
      </c>
      <c r="C918" s="5" t="s">
        <v>11</v>
      </c>
      <c r="D918" s="5" t="s">
        <v>924</v>
      </c>
      <c r="E918">
        <v>50</v>
      </c>
      <c r="F918" s="2">
        <v>32</v>
      </c>
    </row>
    <row r="919" spans="2:6" x14ac:dyDescent="0.3">
      <c r="B919" s="2">
        <v>917</v>
      </c>
      <c r="C919" s="5" t="s">
        <v>11</v>
      </c>
      <c r="D919" s="5" t="s">
        <v>925</v>
      </c>
      <c r="E919">
        <v>200</v>
      </c>
      <c r="F919" s="2">
        <v>57</v>
      </c>
    </row>
    <row r="920" spans="2:6" x14ac:dyDescent="0.3">
      <c r="B920" s="2">
        <v>918</v>
      </c>
      <c r="C920" s="5" t="s">
        <v>11</v>
      </c>
      <c r="D920" s="5" t="s">
        <v>926</v>
      </c>
      <c r="E920">
        <v>90</v>
      </c>
      <c r="F920" s="2">
        <v>42</v>
      </c>
    </row>
    <row r="921" spans="2:6" x14ac:dyDescent="0.3">
      <c r="B921" s="2">
        <v>919</v>
      </c>
      <c r="C921" s="5" t="s">
        <v>6</v>
      </c>
      <c r="D921" s="5" t="s">
        <v>927</v>
      </c>
      <c r="E921">
        <v>50</v>
      </c>
      <c r="F921" s="2">
        <v>22</v>
      </c>
    </row>
    <row r="922" spans="2:6" x14ac:dyDescent="0.3">
      <c r="B922" s="2">
        <v>920</v>
      </c>
      <c r="C922" s="5" t="s">
        <v>6</v>
      </c>
      <c r="D922" s="5" t="s">
        <v>928</v>
      </c>
      <c r="E922">
        <v>75</v>
      </c>
      <c r="F922" s="2">
        <v>28</v>
      </c>
    </row>
    <row r="923" spans="2:6" x14ac:dyDescent="0.3">
      <c r="B923" s="2">
        <v>921</v>
      </c>
      <c r="C923" s="5" t="s">
        <v>11</v>
      </c>
      <c r="D923" s="5" t="s">
        <v>929</v>
      </c>
      <c r="E923">
        <v>75</v>
      </c>
      <c r="F923" s="2">
        <v>51</v>
      </c>
    </row>
    <row r="924" spans="2:6" x14ac:dyDescent="0.3">
      <c r="B924" s="2">
        <v>922</v>
      </c>
      <c r="C924" s="5" t="s">
        <v>11</v>
      </c>
      <c r="D924" s="5" t="s">
        <v>930</v>
      </c>
      <c r="E924">
        <v>50</v>
      </c>
      <c r="F924" s="2">
        <v>41</v>
      </c>
    </row>
    <row r="925" spans="2:6" x14ac:dyDescent="0.3">
      <c r="B925" s="2">
        <v>923</v>
      </c>
      <c r="C925" s="5" t="s">
        <v>6</v>
      </c>
      <c r="D925" s="5" t="s">
        <v>931</v>
      </c>
      <c r="E925">
        <v>900</v>
      </c>
      <c r="F925" s="2">
        <v>32</v>
      </c>
    </row>
    <row r="926" spans="2:6" x14ac:dyDescent="0.3">
      <c r="B926" s="2">
        <v>924</v>
      </c>
      <c r="C926" s="5" t="s">
        <v>6</v>
      </c>
      <c r="D926" s="5" t="s">
        <v>932</v>
      </c>
      <c r="E926">
        <v>100</v>
      </c>
      <c r="F926" s="2">
        <v>55</v>
      </c>
    </row>
    <row r="927" spans="2:6" x14ac:dyDescent="0.3">
      <c r="B927" s="2">
        <v>925</v>
      </c>
      <c r="C927" s="5" t="s">
        <v>11</v>
      </c>
      <c r="D927" s="5" t="s">
        <v>933</v>
      </c>
      <c r="E927">
        <v>300</v>
      </c>
      <c r="F927" s="2">
        <v>25</v>
      </c>
    </row>
    <row r="928" spans="2:6" x14ac:dyDescent="0.3">
      <c r="B928" s="2">
        <v>926</v>
      </c>
      <c r="C928" s="5" t="s">
        <v>11</v>
      </c>
      <c r="D928" s="5" t="s">
        <v>934</v>
      </c>
      <c r="E928">
        <v>30</v>
      </c>
      <c r="F928" s="2">
        <v>22</v>
      </c>
    </row>
    <row r="929" spans="2:6" x14ac:dyDescent="0.3">
      <c r="B929" s="2">
        <v>927</v>
      </c>
      <c r="C929" s="5" t="s">
        <v>11</v>
      </c>
      <c r="D929" s="5" t="s">
        <v>935</v>
      </c>
      <c r="E929">
        <v>2000</v>
      </c>
      <c r="F929" s="2">
        <v>43</v>
      </c>
    </row>
    <row r="930" spans="2:6" x14ac:dyDescent="0.3">
      <c r="B930" s="2">
        <v>928</v>
      </c>
      <c r="C930" s="5" t="s">
        <v>9</v>
      </c>
      <c r="D930" s="5" t="s">
        <v>936</v>
      </c>
      <c r="E930">
        <v>1200</v>
      </c>
      <c r="F930" s="2">
        <v>35</v>
      </c>
    </row>
    <row r="931" spans="2:6" x14ac:dyDescent="0.3">
      <c r="B931" s="2">
        <v>929</v>
      </c>
      <c r="C931" s="5" t="s">
        <v>6</v>
      </c>
      <c r="D931" s="5" t="s">
        <v>937</v>
      </c>
      <c r="E931">
        <v>75</v>
      </c>
      <c r="F931" s="2">
        <v>23</v>
      </c>
    </row>
    <row r="932" spans="2:6" x14ac:dyDescent="0.3">
      <c r="B932" s="2">
        <v>930</v>
      </c>
      <c r="C932" s="5" t="s">
        <v>9</v>
      </c>
      <c r="D932" s="5" t="s">
        <v>938</v>
      </c>
      <c r="E932">
        <v>200</v>
      </c>
      <c r="F932" s="2">
        <v>54</v>
      </c>
    </row>
    <row r="933" spans="2:6" x14ac:dyDescent="0.3">
      <c r="B933" s="2">
        <v>931</v>
      </c>
      <c r="C933" s="5" t="s">
        <v>6</v>
      </c>
      <c r="D933" s="5" t="s">
        <v>939</v>
      </c>
      <c r="E933">
        <v>120</v>
      </c>
      <c r="F933" s="2">
        <v>30</v>
      </c>
    </row>
    <row r="934" spans="2:6" x14ac:dyDescent="0.3">
      <c r="B934" s="2">
        <v>932</v>
      </c>
      <c r="C934" s="5" t="s">
        <v>6</v>
      </c>
      <c r="D934" s="5" t="s">
        <v>940</v>
      </c>
      <c r="E934">
        <v>100</v>
      </c>
      <c r="F934" s="2">
        <v>45</v>
      </c>
    </row>
    <row r="935" spans="2:6" x14ac:dyDescent="0.3">
      <c r="B935" s="2">
        <v>933</v>
      </c>
      <c r="C935" s="5" t="s">
        <v>6</v>
      </c>
      <c r="D935" s="5" t="s">
        <v>941</v>
      </c>
      <c r="E935">
        <v>30</v>
      </c>
      <c r="F935" s="2">
        <v>22</v>
      </c>
    </row>
    <row r="936" spans="2:6" x14ac:dyDescent="0.3">
      <c r="B936" s="2">
        <v>934</v>
      </c>
      <c r="C936" s="5" t="s">
        <v>6</v>
      </c>
      <c r="D936" s="5" t="s">
        <v>942</v>
      </c>
      <c r="E936">
        <v>500</v>
      </c>
      <c r="F936" s="2">
        <v>30</v>
      </c>
    </row>
    <row r="937" spans="2:6" x14ac:dyDescent="0.3">
      <c r="B937" s="2">
        <v>935</v>
      </c>
      <c r="C937" s="5" t="s">
        <v>6</v>
      </c>
      <c r="D937" s="5" t="s">
        <v>943</v>
      </c>
      <c r="E937">
        <v>50</v>
      </c>
      <c r="F937" s="2">
        <v>34</v>
      </c>
    </row>
    <row r="938" spans="2:6" x14ac:dyDescent="0.3">
      <c r="B938" s="2">
        <v>936</v>
      </c>
      <c r="C938" s="5" t="s">
        <v>6</v>
      </c>
      <c r="D938" s="5" t="s">
        <v>944</v>
      </c>
      <c r="E938">
        <v>200</v>
      </c>
      <c r="F938" s="2">
        <v>57</v>
      </c>
    </row>
    <row r="939" spans="2:6" x14ac:dyDescent="0.3">
      <c r="B939" s="2">
        <v>937</v>
      </c>
      <c r="C939" s="5" t="s">
        <v>6</v>
      </c>
      <c r="D939" s="5" t="s">
        <v>945</v>
      </c>
      <c r="E939">
        <v>500</v>
      </c>
      <c r="F939" s="2">
        <v>62</v>
      </c>
    </row>
    <row r="940" spans="2:6" x14ac:dyDescent="0.3">
      <c r="B940" s="2">
        <v>938</v>
      </c>
      <c r="C940" s="5" t="s">
        <v>9</v>
      </c>
      <c r="D940" s="5" t="s">
        <v>946</v>
      </c>
      <c r="E940">
        <v>200</v>
      </c>
      <c r="F940" s="2">
        <v>49</v>
      </c>
    </row>
    <row r="941" spans="2:6" x14ac:dyDescent="0.3">
      <c r="B941" s="2">
        <v>939</v>
      </c>
      <c r="C941" s="5" t="s">
        <v>11</v>
      </c>
      <c r="D941" s="5" t="s">
        <v>947</v>
      </c>
      <c r="E941">
        <v>300</v>
      </c>
      <c r="F941" s="2">
        <v>46</v>
      </c>
    </row>
    <row r="942" spans="2:6" x14ac:dyDescent="0.3">
      <c r="B942" s="2">
        <v>940</v>
      </c>
      <c r="C942" s="5" t="s">
        <v>11</v>
      </c>
      <c r="D942" s="5" t="s">
        <v>948</v>
      </c>
      <c r="E942">
        <v>30</v>
      </c>
      <c r="F942" s="2">
        <v>20</v>
      </c>
    </row>
    <row r="943" spans="2:6" x14ac:dyDescent="0.3">
      <c r="B943" s="2">
        <v>941</v>
      </c>
      <c r="C943" s="5" t="s">
        <v>9</v>
      </c>
      <c r="D943" s="5" t="s">
        <v>949</v>
      </c>
      <c r="E943">
        <v>50</v>
      </c>
      <c r="F943" s="2">
        <v>57</v>
      </c>
    </row>
    <row r="944" spans="2:6" x14ac:dyDescent="0.3">
      <c r="B944" s="2">
        <v>942</v>
      </c>
      <c r="C944" s="5" t="s">
        <v>9</v>
      </c>
      <c r="D944" s="5" t="s">
        <v>950</v>
      </c>
      <c r="E944">
        <v>1500</v>
      </c>
      <c r="F944" s="2">
        <v>51</v>
      </c>
    </row>
    <row r="945" spans="2:6" x14ac:dyDescent="0.3">
      <c r="B945" s="2">
        <v>943</v>
      </c>
      <c r="C945" s="5" t="s">
        <v>9</v>
      </c>
      <c r="D945" s="5" t="s">
        <v>951</v>
      </c>
      <c r="E945">
        <v>1200</v>
      </c>
      <c r="F945" s="2">
        <v>57</v>
      </c>
    </row>
    <row r="946" spans="2:6" x14ac:dyDescent="0.3">
      <c r="B946" s="2">
        <v>944</v>
      </c>
      <c r="C946" s="5" t="s">
        <v>9</v>
      </c>
      <c r="D946" s="5" t="s">
        <v>952</v>
      </c>
      <c r="E946">
        <v>50</v>
      </c>
      <c r="F946" s="2">
        <v>44</v>
      </c>
    </row>
    <row r="947" spans="2:6" x14ac:dyDescent="0.3">
      <c r="B947" s="2">
        <v>945</v>
      </c>
      <c r="C947" s="5" t="s">
        <v>6</v>
      </c>
      <c r="D947" s="5" t="s">
        <v>953</v>
      </c>
      <c r="E947">
        <v>25</v>
      </c>
      <c r="F947" s="2">
        <v>30</v>
      </c>
    </row>
    <row r="948" spans="2:6" x14ac:dyDescent="0.3">
      <c r="B948" s="2">
        <v>946</v>
      </c>
      <c r="C948" s="5" t="s">
        <v>11</v>
      </c>
      <c r="D948" s="5" t="s">
        <v>954</v>
      </c>
      <c r="E948">
        <v>2000</v>
      </c>
      <c r="F948" s="2">
        <v>62</v>
      </c>
    </row>
    <row r="949" spans="2:6" x14ac:dyDescent="0.3">
      <c r="B949" s="2">
        <v>947</v>
      </c>
      <c r="C949" s="5" t="s">
        <v>6</v>
      </c>
      <c r="D949" s="5" t="s">
        <v>955</v>
      </c>
      <c r="E949">
        <v>300</v>
      </c>
      <c r="F949" s="2">
        <v>50</v>
      </c>
    </row>
    <row r="950" spans="2:6" x14ac:dyDescent="0.3">
      <c r="B950" s="2">
        <v>948</v>
      </c>
      <c r="C950" s="5" t="s">
        <v>11</v>
      </c>
      <c r="D950" s="5" t="s">
        <v>956</v>
      </c>
      <c r="E950">
        <v>75</v>
      </c>
      <c r="F950" s="2">
        <v>23</v>
      </c>
    </row>
    <row r="951" spans="2:6" x14ac:dyDescent="0.3">
      <c r="B951" s="2">
        <v>949</v>
      </c>
      <c r="C951" s="5" t="s">
        <v>11</v>
      </c>
      <c r="D951" s="5" t="s">
        <v>957</v>
      </c>
      <c r="E951">
        <v>50</v>
      </c>
      <c r="F951" s="2">
        <v>41</v>
      </c>
    </row>
    <row r="952" spans="2:6" x14ac:dyDescent="0.3">
      <c r="B952" s="2">
        <v>950</v>
      </c>
      <c r="C952" s="5" t="s">
        <v>9</v>
      </c>
      <c r="D952" s="5" t="s">
        <v>958</v>
      </c>
      <c r="E952">
        <v>900</v>
      </c>
      <c r="F952" s="2">
        <v>36</v>
      </c>
    </row>
    <row r="953" spans="2:6" x14ac:dyDescent="0.3">
      <c r="B953" s="2">
        <v>951</v>
      </c>
      <c r="C953" s="5" t="s">
        <v>6</v>
      </c>
      <c r="D953" s="5" t="s">
        <v>959</v>
      </c>
      <c r="E953">
        <v>100</v>
      </c>
      <c r="F953" s="2">
        <v>33</v>
      </c>
    </row>
    <row r="954" spans="2:6" x14ac:dyDescent="0.3">
      <c r="B954" s="2">
        <v>952</v>
      </c>
      <c r="C954" s="5" t="s">
        <v>9</v>
      </c>
      <c r="D954" s="5" t="s">
        <v>960</v>
      </c>
      <c r="E954">
        <v>25</v>
      </c>
      <c r="F954" s="2">
        <v>57</v>
      </c>
    </row>
    <row r="955" spans="2:6" x14ac:dyDescent="0.3">
      <c r="B955" s="2">
        <v>953</v>
      </c>
      <c r="C955" s="5" t="s">
        <v>6</v>
      </c>
      <c r="D955" s="5" t="s">
        <v>961</v>
      </c>
      <c r="E955">
        <v>90</v>
      </c>
      <c r="F955" s="2">
        <v>45</v>
      </c>
    </row>
    <row r="956" spans="2:6" x14ac:dyDescent="0.3">
      <c r="B956" s="2">
        <v>954</v>
      </c>
      <c r="C956" s="5" t="s">
        <v>11</v>
      </c>
      <c r="D956" s="5" t="s">
        <v>962</v>
      </c>
      <c r="E956">
        <v>900</v>
      </c>
      <c r="F956" s="2">
        <v>50</v>
      </c>
    </row>
    <row r="957" spans="2:6" x14ac:dyDescent="0.3">
      <c r="B957" s="2">
        <v>955</v>
      </c>
      <c r="C957" s="5" t="s">
        <v>9</v>
      </c>
      <c r="D957" s="5" t="s">
        <v>963</v>
      </c>
      <c r="E957">
        <v>25</v>
      </c>
      <c r="F957" s="2">
        <v>58</v>
      </c>
    </row>
    <row r="958" spans="2:6" x14ac:dyDescent="0.3">
      <c r="B958" s="2">
        <v>956</v>
      </c>
      <c r="C958" s="5" t="s">
        <v>9</v>
      </c>
      <c r="D958" s="5" t="s">
        <v>964</v>
      </c>
      <c r="E958">
        <v>1500</v>
      </c>
      <c r="F958" s="2">
        <v>30</v>
      </c>
    </row>
    <row r="959" spans="2:6" x14ac:dyDescent="0.3">
      <c r="B959" s="2">
        <v>957</v>
      </c>
      <c r="C959" s="5" t="s">
        <v>11</v>
      </c>
      <c r="D959" s="5" t="s">
        <v>965</v>
      </c>
      <c r="E959">
        <v>120</v>
      </c>
      <c r="F959" s="2">
        <v>60</v>
      </c>
    </row>
    <row r="960" spans="2:6" x14ac:dyDescent="0.3">
      <c r="B960" s="2">
        <v>958</v>
      </c>
      <c r="C960" s="5" t="s">
        <v>11</v>
      </c>
      <c r="D960" s="5" t="s">
        <v>966</v>
      </c>
      <c r="E960">
        <v>50</v>
      </c>
      <c r="F960" s="2">
        <v>62</v>
      </c>
    </row>
    <row r="961" spans="2:6" x14ac:dyDescent="0.3">
      <c r="B961" s="2">
        <v>959</v>
      </c>
      <c r="C961" s="5" t="s">
        <v>11</v>
      </c>
      <c r="D961" s="5" t="s">
        <v>967</v>
      </c>
      <c r="E961">
        <v>60</v>
      </c>
      <c r="F961" s="2">
        <v>42</v>
      </c>
    </row>
    <row r="962" spans="2:6" x14ac:dyDescent="0.3">
      <c r="B962" s="2">
        <v>960</v>
      </c>
      <c r="C962" s="5" t="s">
        <v>9</v>
      </c>
      <c r="D962" s="5" t="s">
        <v>968</v>
      </c>
      <c r="E962">
        <v>60</v>
      </c>
      <c r="F962" s="2">
        <v>59</v>
      </c>
    </row>
    <row r="963" spans="2:6" x14ac:dyDescent="0.3">
      <c r="B963" s="2">
        <v>961</v>
      </c>
      <c r="C963" s="5" t="s">
        <v>6</v>
      </c>
      <c r="D963" s="5" t="s">
        <v>969</v>
      </c>
      <c r="E963">
        <v>200</v>
      </c>
      <c r="F963" s="2">
        <v>53</v>
      </c>
    </row>
    <row r="964" spans="2:6" x14ac:dyDescent="0.3">
      <c r="B964" s="2">
        <v>962</v>
      </c>
      <c r="C964" s="5" t="s">
        <v>9</v>
      </c>
      <c r="D964" s="5" t="s">
        <v>970</v>
      </c>
      <c r="E964">
        <v>60</v>
      </c>
      <c r="F964" s="2">
        <v>44</v>
      </c>
    </row>
    <row r="965" spans="2:6" x14ac:dyDescent="0.3">
      <c r="B965" s="2">
        <v>963</v>
      </c>
      <c r="C965" s="5" t="s">
        <v>6</v>
      </c>
      <c r="D965" s="5" t="s">
        <v>971</v>
      </c>
      <c r="E965">
        <v>50</v>
      </c>
      <c r="F965" s="2">
        <v>55</v>
      </c>
    </row>
    <row r="966" spans="2:6" x14ac:dyDescent="0.3">
      <c r="B966" s="2">
        <v>964</v>
      </c>
      <c r="C966" s="5" t="s">
        <v>9</v>
      </c>
      <c r="D966" s="5" t="s">
        <v>972</v>
      </c>
      <c r="E966">
        <v>900</v>
      </c>
      <c r="F966" s="2">
        <v>24</v>
      </c>
    </row>
    <row r="967" spans="2:6" x14ac:dyDescent="0.3">
      <c r="B967" s="2">
        <v>965</v>
      </c>
      <c r="C967" s="5" t="s">
        <v>9</v>
      </c>
      <c r="D967" s="5" t="s">
        <v>973</v>
      </c>
      <c r="E967">
        <v>200</v>
      </c>
      <c r="F967" s="2">
        <v>22</v>
      </c>
    </row>
    <row r="968" spans="2:6" x14ac:dyDescent="0.3">
      <c r="B968" s="2">
        <v>966</v>
      </c>
      <c r="C968" s="5" t="s">
        <v>11</v>
      </c>
      <c r="D968" s="5" t="s">
        <v>974</v>
      </c>
      <c r="E968">
        <v>1000</v>
      </c>
      <c r="F968" s="2">
        <v>60</v>
      </c>
    </row>
    <row r="969" spans="2:6" x14ac:dyDescent="0.3">
      <c r="B969" s="2">
        <v>967</v>
      </c>
      <c r="C969" s="5" t="s">
        <v>6</v>
      </c>
      <c r="D969" s="5" t="s">
        <v>975</v>
      </c>
      <c r="E969">
        <v>25</v>
      </c>
      <c r="F969" s="2">
        <v>62</v>
      </c>
    </row>
    <row r="970" spans="2:6" x14ac:dyDescent="0.3">
      <c r="B970" s="2">
        <v>968</v>
      </c>
      <c r="C970" s="5" t="s">
        <v>9</v>
      </c>
      <c r="D970" s="5" t="s">
        <v>976</v>
      </c>
      <c r="E970">
        <v>900</v>
      </c>
      <c r="F970" s="2">
        <v>48</v>
      </c>
    </row>
    <row r="971" spans="2:6" x14ac:dyDescent="0.3">
      <c r="B971" s="2">
        <v>969</v>
      </c>
      <c r="C971" s="5" t="s">
        <v>9</v>
      </c>
      <c r="D971" s="5" t="s">
        <v>977</v>
      </c>
      <c r="E971">
        <v>900</v>
      </c>
      <c r="F971" s="2">
        <v>40</v>
      </c>
    </row>
    <row r="972" spans="2:6" x14ac:dyDescent="0.3">
      <c r="B972" s="2">
        <v>970</v>
      </c>
      <c r="C972" s="5" t="s">
        <v>11</v>
      </c>
      <c r="D972" s="5" t="s">
        <v>978</v>
      </c>
      <c r="E972">
        <v>2000</v>
      </c>
      <c r="F972" s="2">
        <v>59</v>
      </c>
    </row>
    <row r="973" spans="2:6" x14ac:dyDescent="0.3">
      <c r="B973" s="2">
        <v>971</v>
      </c>
      <c r="C973" s="5" t="s">
        <v>11</v>
      </c>
      <c r="D973" s="5" t="s">
        <v>979</v>
      </c>
      <c r="E973">
        <v>200</v>
      </c>
      <c r="F973" s="2">
        <v>27</v>
      </c>
    </row>
    <row r="974" spans="2:6" x14ac:dyDescent="0.3">
      <c r="B974" s="2">
        <v>972</v>
      </c>
      <c r="C974" s="5" t="s">
        <v>6</v>
      </c>
      <c r="D974" s="5" t="s">
        <v>980</v>
      </c>
      <c r="E974">
        <v>100</v>
      </c>
      <c r="F974" s="2">
        <v>49</v>
      </c>
    </row>
    <row r="975" spans="2:6" x14ac:dyDescent="0.3">
      <c r="B975" s="2">
        <v>973</v>
      </c>
      <c r="C975" s="5" t="s">
        <v>9</v>
      </c>
      <c r="D975" s="5" t="s">
        <v>981</v>
      </c>
      <c r="E975">
        <v>50</v>
      </c>
      <c r="F975" s="2">
        <v>60</v>
      </c>
    </row>
    <row r="976" spans="2:6" x14ac:dyDescent="0.3">
      <c r="B976" s="2">
        <v>974</v>
      </c>
      <c r="C976" s="5" t="s">
        <v>6</v>
      </c>
      <c r="D976" s="5" t="s">
        <v>982</v>
      </c>
      <c r="E976">
        <v>30</v>
      </c>
      <c r="F976" s="2">
        <v>47</v>
      </c>
    </row>
    <row r="977" spans="2:6" x14ac:dyDescent="0.3">
      <c r="B977" s="2">
        <v>975</v>
      </c>
      <c r="C977" s="5" t="s">
        <v>9</v>
      </c>
      <c r="D977" s="5" t="s">
        <v>983</v>
      </c>
      <c r="E977">
        <v>200</v>
      </c>
      <c r="F977" s="2">
        <v>56</v>
      </c>
    </row>
    <row r="978" spans="2:6" x14ac:dyDescent="0.3">
      <c r="B978" s="2">
        <v>976</v>
      </c>
      <c r="C978" s="5" t="s">
        <v>6</v>
      </c>
      <c r="D978" s="5" t="s">
        <v>984</v>
      </c>
      <c r="E978">
        <v>600</v>
      </c>
      <c r="F978" s="2">
        <v>48</v>
      </c>
    </row>
    <row r="979" spans="2:6" x14ac:dyDescent="0.3">
      <c r="B979" s="2">
        <v>977</v>
      </c>
      <c r="C979" s="5" t="s">
        <v>11</v>
      </c>
      <c r="D979" s="5" t="s">
        <v>985</v>
      </c>
      <c r="E979">
        <v>75</v>
      </c>
      <c r="F979" s="2">
        <v>35</v>
      </c>
    </row>
    <row r="980" spans="2:6" x14ac:dyDescent="0.3">
      <c r="B980" s="2">
        <v>978</v>
      </c>
      <c r="C980" s="5" t="s">
        <v>9</v>
      </c>
      <c r="D980" s="5" t="s">
        <v>986</v>
      </c>
      <c r="E980">
        <v>150</v>
      </c>
      <c r="F980" s="2">
        <v>53</v>
      </c>
    </row>
    <row r="981" spans="2:6" x14ac:dyDescent="0.3">
      <c r="B981" s="2">
        <v>979</v>
      </c>
      <c r="C981" s="5" t="s">
        <v>6</v>
      </c>
      <c r="D981" s="5" t="s">
        <v>987</v>
      </c>
      <c r="E981">
        <v>25</v>
      </c>
      <c r="F981" s="2">
        <v>19</v>
      </c>
    </row>
    <row r="982" spans="2:6" x14ac:dyDescent="0.3">
      <c r="B982" s="2">
        <v>980</v>
      </c>
      <c r="C982" s="5" t="s">
        <v>11</v>
      </c>
      <c r="D982" s="5" t="s">
        <v>988</v>
      </c>
      <c r="E982">
        <v>75</v>
      </c>
      <c r="F982" s="2">
        <v>31</v>
      </c>
    </row>
    <row r="983" spans="2:6" x14ac:dyDescent="0.3">
      <c r="B983" s="2">
        <v>981</v>
      </c>
      <c r="C983" s="5" t="s">
        <v>11</v>
      </c>
      <c r="D983" s="5" t="s">
        <v>989</v>
      </c>
      <c r="E983">
        <v>60</v>
      </c>
      <c r="F983" s="2">
        <v>30</v>
      </c>
    </row>
    <row r="984" spans="2:6" x14ac:dyDescent="0.3">
      <c r="B984" s="2">
        <v>982</v>
      </c>
      <c r="C984" s="5" t="s">
        <v>6</v>
      </c>
      <c r="D984" s="5" t="s">
        <v>990</v>
      </c>
      <c r="E984">
        <v>90</v>
      </c>
      <c r="F984" s="2">
        <v>46</v>
      </c>
    </row>
    <row r="985" spans="2:6" x14ac:dyDescent="0.3">
      <c r="B985" s="2">
        <v>983</v>
      </c>
      <c r="C985" s="5" t="s">
        <v>9</v>
      </c>
      <c r="D985" s="5" t="s">
        <v>991</v>
      </c>
      <c r="E985">
        <v>300</v>
      </c>
      <c r="F985" s="2">
        <v>29</v>
      </c>
    </row>
    <row r="986" spans="2:6" x14ac:dyDescent="0.3">
      <c r="B986" s="2">
        <v>984</v>
      </c>
      <c r="C986" s="5" t="s">
        <v>9</v>
      </c>
      <c r="D986" s="5" t="s">
        <v>992</v>
      </c>
      <c r="E986">
        <v>500</v>
      </c>
      <c r="F986" s="2">
        <v>56</v>
      </c>
    </row>
    <row r="987" spans="2:6" x14ac:dyDescent="0.3">
      <c r="B987" s="2">
        <v>985</v>
      </c>
      <c r="C987" s="5" t="s">
        <v>11</v>
      </c>
      <c r="D987" s="5" t="s">
        <v>993</v>
      </c>
      <c r="E987">
        <v>50</v>
      </c>
      <c r="F987" s="2">
        <v>19</v>
      </c>
    </row>
    <row r="988" spans="2:6" x14ac:dyDescent="0.3">
      <c r="B988" s="2">
        <v>986</v>
      </c>
      <c r="C988" s="5" t="s">
        <v>9</v>
      </c>
      <c r="D988" s="5" t="s">
        <v>994</v>
      </c>
      <c r="E988">
        <v>1000</v>
      </c>
      <c r="F988" s="2">
        <v>49</v>
      </c>
    </row>
    <row r="989" spans="2:6" x14ac:dyDescent="0.3">
      <c r="B989" s="2">
        <v>987</v>
      </c>
      <c r="C989" s="5" t="s">
        <v>9</v>
      </c>
      <c r="D989" s="5" t="s">
        <v>995</v>
      </c>
      <c r="E989">
        <v>900</v>
      </c>
      <c r="F989" s="2">
        <v>30</v>
      </c>
    </row>
    <row r="990" spans="2:6" x14ac:dyDescent="0.3">
      <c r="B990" s="2">
        <v>988</v>
      </c>
      <c r="C990" s="5" t="s">
        <v>9</v>
      </c>
      <c r="D990" s="5" t="s">
        <v>996</v>
      </c>
      <c r="E990">
        <v>75</v>
      </c>
      <c r="F990" s="2">
        <v>63</v>
      </c>
    </row>
    <row r="991" spans="2:6" x14ac:dyDescent="0.3">
      <c r="B991" s="2">
        <v>989</v>
      </c>
      <c r="C991" s="5" t="s">
        <v>11</v>
      </c>
      <c r="D991" s="5" t="s">
        <v>997</v>
      </c>
      <c r="E991">
        <v>25</v>
      </c>
      <c r="F991" s="2">
        <v>44</v>
      </c>
    </row>
    <row r="992" spans="2:6" x14ac:dyDescent="0.3">
      <c r="B992" s="2">
        <v>990</v>
      </c>
      <c r="C992" s="5" t="s">
        <v>6</v>
      </c>
      <c r="D992" s="5" t="s">
        <v>998</v>
      </c>
      <c r="E992">
        <v>1000</v>
      </c>
      <c r="F992" s="2">
        <v>58</v>
      </c>
    </row>
    <row r="993" spans="2:6" x14ac:dyDescent="0.3">
      <c r="B993" s="2">
        <v>991</v>
      </c>
      <c r="C993" s="5" t="s">
        <v>9</v>
      </c>
      <c r="D993" s="5" t="s">
        <v>999</v>
      </c>
      <c r="E993">
        <v>100</v>
      </c>
      <c r="F993" s="2">
        <v>34</v>
      </c>
    </row>
    <row r="994" spans="2:6" x14ac:dyDescent="0.3">
      <c r="B994" s="2">
        <v>992</v>
      </c>
      <c r="C994" s="5" t="s">
        <v>11</v>
      </c>
      <c r="D994" s="5" t="s">
        <v>1000</v>
      </c>
      <c r="E994">
        <v>60</v>
      </c>
      <c r="F994" s="2">
        <v>57</v>
      </c>
    </row>
    <row r="995" spans="2:6" x14ac:dyDescent="0.3">
      <c r="B995" s="2">
        <v>993</v>
      </c>
      <c r="C995" s="5" t="s">
        <v>11</v>
      </c>
      <c r="D995" s="5" t="s">
        <v>1001</v>
      </c>
      <c r="E995">
        <v>150</v>
      </c>
      <c r="F995" s="2">
        <v>48</v>
      </c>
    </row>
    <row r="996" spans="2:6" x14ac:dyDescent="0.3">
      <c r="B996" s="2">
        <v>994</v>
      </c>
      <c r="C996" s="5" t="s">
        <v>6</v>
      </c>
      <c r="D996" s="5" t="s">
        <v>1002</v>
      </c>
      <c r="E996">
        <v>1000</v>
      </c>
      <c r="F996" s="2">
        <v>51</v>
      </c>
    </row>
    <row r="997" spans="2:6" x14ac:dyDescent="0.3">
      <c r="B997" s="2">
        <v>995</v>
      </c>
      <c r="C997" s="5" t="s">
        <v>9</v>
      </c>
      <c r="D997" s="5" t="s">
        <v>1003</v>
      </c>
      <c r="E997">
        <v>30</v>
      </c>
      <c r="F997" s="2">
        <v>41</v>
      </c>
    </row>
    <row r="998" spans="2:6" x14ac:dyDescent="0.3">
      <c r="B998" s="2">
        <v>996</v>
      </c>
      <c r="C998" s="5" t="s">
        <v>9</v>
      </c>
      <c r="D998" s="5" t="s">
        <v>1004</v>
      </c>
      <c r="E998">
        <v>50</v>
      </c>
      <c r="F998" s="2">
        <v>62</v>
      </c>
    </row>
    <row r="999" spans="2:6" x14ac:dyDescent="0.3">
      <c r="B999" s="2">
        <v>997</v>
      </c>
      <c r="C999" s="5" t="s">
        <v>6</v>
      </c>
      <c r="D999" s="5" t="s">
        <v>1005</v>
      </c>
      <c r="E999">
        <v>90</v>
      </c>
      <c r="F999" s="2">
        <v>52</v>
      </c>
    </row>
    <row r="1000" spans="2:6" x14ac:dyDescent="0.3">
      <c r="B1000" s="2">
        <v>998</v>
      </c>
      <c r="C1000" s="5" t="s">
        <v>6</v>
      </c>
      <c r="D1000" s="5" t="s">
        <v>1006</v>
      </c>
      <c r="E1000">
        <v>100</v>
      </c>
      <c r="F1000" s="2">
        <v>23</v>
      </c>
    </row>
    <row r="1001" spans="2:6" x14ac:dyDescent="0.3">
      <c r="B1001" s="2">
        <v>999</v>
      </c>
      <c r="C1001" s="5" t="s">
        <v>11</v>
      </c>
      <c r="D1001" s="5" t="s">
        <v>1007</v>
      </c>
      <c r="E1001">
        <v>150</v>
      </c>
      <c r="F1001" s="2">
        <v>36</v>
      </c>
    </row>
    <row r="1002" spans="2:6" x14ac:dyDescent="0.3">
      <c r="B1002" s="2">
        <v>1000</v>
      </c>
      <c r="C1002" s="5" t="s">
        <v>11</v>
      </c>
      <c r="D1002" s="5" t="s">
        <v>1008</v>
      </c>
      <c r="E1002">
        <v>120</v>
      </c>
      <c r="F1002" s="2">
        <v>47</v>
      </c>
    </row>
  </sheetData>
  <dataValidations count="2">
    <dataValidation type="list" allowBlank="1" showInputMessage="1" showErrorMessage="1" sqref="J4 J14">
      <formula1>$B$2:$B$1002</formula1>
    </dataValidation>
    <dataValidation type="list" allowBlank="1" showInputMessage="1" showErrorMessage="1" sqref="J9">
      <formula1>$D$2:$D$1002</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1"/>
  <sheetViews>
    <sheetView workbookViewId="0">
      <selection activeCell="Q16" sqref="Q16"/>
    </sheetView>
  </sheetViews>
  <sheetFormatPr defaultRowHeight="14.4" x14ac:dyDescent="0.3"/>
  <cols>
    <col min="1" max="1" width="13.6640625" style="6" bestFit="1" customWidth="1"/>
    <col min="2" max="2" width="8.33203125" style="10" bestFit="1" customWidth="1"/>
    <col min="3" max="3" width="11.88671875" bestFit="1" customWidth="1"/>
    <col min="5" max="5" width="4.21875" style="10" bestFit="1" customWidth="1"/>
    <col min="6" max="6" width="10.44140625" bestFit="1" customWidth="1"/>
    <col min="7" max="7" width="16.33203125" bestFit="1" customWidth="1"/>
    <col min="8" max="8" width="8.88671875" style="6"/>
    <col min="9" max="9" width="13.5546875" bestFit="1" customWidth="1"/>
    <col min="10" max="10" width="13.21875" bestFit="1" customWidth="1"/>
    <col min="12" max="12" width="5" style="10" bestFit="1" customWidth="1"/>
    <col min="13" max="13" width="7.44140625" style="10" bestFit="1" customWidth="1"/>
    <col min="14" max="14" width="12.77734375" bestFit="1" customWidth="1"/>
    <col min="15" max="15" width="9.77734375" bestFit="1" customWidth="1"/>
    <col min="18" max="18" width="13.5546875" bestFit="1" customWidth="1"/>
    <col min="19" max="19" width="16.33203125" bestFit="1" customWidth="1"/>
  </cols>
  <sheetData>
    <row r="1" spans="1:19" x14ac:dyDescent="0.3">
      <c r="A1" s="22" t="s">
        <v>1009</v>
      </c>
      <c r="B1" s="24" t="s">
        <v>0</v>
      </c>
      <c r="C1" s="4" t="s">
        <v>1010</v>
      </c>
      <c r="D1" s="4" t="s">
        <v>1</v>
      </c>
      <c r="E1" s="23" t="s">
        <v>2</v>
      </c>
      <c r="F1" s="3" t="s">
        <v>1021</v>
      </c>
      <c r="G1" s="4" t="s">
        <v>1011</v>
      </c>
      <c r="H1" s="26" t="s">
        <v>3</v>
      </c>
      <c r="I1" s="3" t="s">
        <v>1012</v>
      </c>
      <c r="J1" s="3" t="s">
        <v>1013</v>
      </c>
      <c r="K1" s="3" t="s">
        <v>1020</v>
      </c>
      <c r="L1" s="23" t="s">
        <v>1015</v>
      </c>
      <c r="M1" s="23" t="s">
        <v>1017</v>
      </c>
      <c r="N1" s="4" t="s">
        <v>1018</v>
      </c>
      <c r="O1" s="4" t="s">
        <v>1016</v>
      </c>
    </row>
    <row r="2" spans="1:19" x14ac:dyDescent="0.3">
      <c r="A2" s="8">
        <v>1</v>
      </c>
      <c r="B2" s="25">
        <v>45254</v>
      </c>
      <c r="C2" s="5" t="s">
        <v>4</v>
      </c>
      <c r="D2" s="5" t="s">
        <v>5</v>
      </c>
      <c r="E2" s="12">
        <v>34</v>
      </c>
      <c r="F2" s="2" t="str">
        <f>IF(E2&gt;60,"Senior",IF(E2&gt;30,"Adult","Young"))</f>
        <v>Adult</v>
      </c>
      <c r="G2" s="5" t="s">
        <v>6</v>
      </c>
      <c r="H2" s="8">
        <v>3</v>
      </c>
      <c r="I2" s="2">
        <v>50</v>
      </c>
      <c r="J2" s="2">
        <v>150</v>
      </c>
      <c r="K2" t="str">
        <f>IF(J2&gt;1500,"High",IF(J2&gt;500,"Medium","Low"))</f>
        <v>Low</v>
      </c>
      <c r="L2" s="12">
        <f>YEAR(B2)</f>
        <v>2023</v>
      </c>
      <c r="M2" s="12">
        <f>ROUNDUP(MONTH(B2)/3,0)</f>
        <v>4</v>
      </c>
      <c r="N2" s="5" t="str">
        <f>TEXT(B2,"dddd")</f>
        <v>Friday</v>
      </c>
      <c r="O2" s="5" t="str">
        <f>TEXT(B2,"mmmm")</f>
        <v>November</v>
      </c>
    </row>
    <row r="3" spans="1:19" x14ac:dyDescent="0.3">
      <c r="A3" s="8">
        <v>2</v>
      </c>
      <c r="B3" s="25">
        <v>44984</v>
      </c>
      <c r="C3" s="5" t="s">
        <v>7</v>
      </c>
      <c r="D3" s="5" t="s">
        <v>8</v>
      </c>
      <c r="E3" s="12">
        <v>26</v>
      </c>
      <c r="F3" s="2" t="str">
        <f t="shared" ref="F3:F66" si="0">IF(E3&gt;60,"Senior",IF(E3&gt;30,"Adult","Young"))</f>
        <v>Young</v>
      </c>
      <c r="G3" s="5" t="s">
        <v>9</v>
      </c>
      <c r="H3" s="8">
        <v>2</v>
      </c>
      <c r="I3" s="2">
        <v>500</v>
      </c>
      <c r="J3" s="2">
        <v>1000</v>
      </c>
      <c r="K3" t="str">
        <f t="shared" ref="K3:K66" si="1">IF(J3&gt;1500,"High",IF(J3&gt;500,"Medium","Low"))</f>
        <v>Medium</v>
      </c>
      <c r="L3" s="12">
        <f t="shared" ref="L3:L66" si="2">YEAR(B3)</f>
        <v>2023</v>
      </c>
      <c r="M3" s="12">
        <f t="shared" ref="M3:M66" si="3">ROUNDUP(MONTH(B3)/3,0)</f>
        <v>1</v>
      </c>
      <c r="N3" s="5" t="str">
        <f t="shared" ref="N3:N66" si="4">TEXT(B3,"dddd")</f>
        <v>Monday</v>
      </c>
      <c r="O3" s="5" t="str">
        <f t="shared" ref="O3:O66" si="5">TEXT(B3,"mmmm")</f>
        <v>February</v>
      </c>
      <c r="S3" s="16" t="s">
        <v>1010</v>
      </c>
    </row>
    <row r="4" spans="1:19" x14ac:dyDescent="0.3">
      <c r="A4" s="8">
        <v>3</v>
      </c>
      <c r="B4" s="25">
        <v>44939</v>
      </c>
      <c r="C4" s="5" t="s">
        <v>10</v>
      </c>
      <c r="D4" s="5" t="s">
        <v>5</v>
      </c>
      <c r="E4" s="12">
        <v>50</v>
      </c>
      <c r="F4" s="2" t="str">
        <f t="shared" si="0"/>
        <v>Adult</v>
      </c>
      <c r="G4" s="5" t="s">
        <v>11</v>
      </c>
      <c r="H4" s="8">
        <v>1</v>
      </c>
      <c r="I4" s="2">
        <v>30</v>
      </c>
      <c r="J4" s="2">
        <v>30</v>
      </c>
      <c r="K4" t="str">
        <f t="shared" si="1"/>
        <v>Low</v>
      </c>
      <c r="L4" s="12">
        <f t="shared" si="2"/>
        <v>2023</v>
      </c>
      <c r="M4" s="12">
        <f t="shared" si="3"/>
        <v>1</v>
      </c>
      <c r="N4" s="5" t="str">
        <f t="shared" si="4"/>
        <v>Friday</v>
      </c>
      <c r="O4" s="5" t="str">
        <f t="shared" si="5"/>
        <v>January</v>
      </c>
      <c r="S4" s="27" t="s">
        <v>4</v>
      </c>
    </row>
    <row r="5" spans="1:19" x14ac:dyDescent="0.3">
      <c r="A5" s="8">
        <v>4</v>
      </c>
      <c r="B5" s="25">
        <v>45067</v>
      </c>
      <c r="C5" s="5" t="s">
        <v>12</v>
      </c>
      <c r="D5" s="5" t="s">
        <v>5</v>
      </c>
      <c r="E5" s="12">
        <v>37</v>
      </c>
      <c r="F5" s="2" t="str">
        <f t="shared" si="0"/>
        <v>Adult</v>
      </c>
      <c r="G5" s="5" t="s">
        <v>9</v>
      </c>
      <c r="H5" s="8">
        <v>1</v>
      </c>
      <c r="I5" s="2">
        <v>500</v>
      </c>
      <c r="J5" s="2">
        <v>500</v>
      </c>
      <c r="K5" t="str">
        <f t="shared" si="1"/>
        <v>Low</v>
      </c>
      <c r="L5" s="12">
        <f t="shared" si="2"/>
        <v>2023</v>
      </c>
      <c r="M5" s="12">
        <f t="shared" si="3"/>
        <v>2</v>
      </c>
      <c r="N5" s="5" t="str">
        <f t="shared" si="4"/>
        <v>Sunday</v>
      </c>
      <c r="O5" s="5" t="str">
        <f t="shared" si="5"/>
        <v>May</v>
      </c>
      <c r="R5" s="16" t="s">
        <v>1</v>
      </c>
      <c r="S5" s="30" t="str">
        <f>INDEX($D$1:$D$1001,MATCH($S$4,$C$1:$C$1001,0))</f>
        <v>Male</v>
      </c>
    </row>
    <row r="6" spans="1:19" x14ac:dyDescent="0.3">
      <c r="A6" s="8">
        <v>5</v>
      </c>
      <c r="B6" s="25">
        <v>45052</v>
      </c>
      <c r="C6" s="5" t="s">
        <v>13</v>
      </c>
      <c r="D6" s="5" t="s">
        <v>5</v>
      </c>
      <c r="E6" s="12">
        <v>30</v>
      </c>
      <c r="F6" s="2" t="str">
        <f t="shared" si="0"/>
        <v>Young</v>
      </c>
      <c r="G6" s="5" t="s">
        <v>6</v>
      </c>
      <c r="H6" s="8">
        <v>2</v>
      </c>
      <c r="I6" s="2">
        <v>50</v>
      </c>
      <c r="J6" s="2">
        <v>100</v>
      </c>
      <c r="K6" t="str">
        <f t="shared" si="1"/>
        <v>Low</v>
      </c>
      <c r="L6" s="12">
        <f t="shared" si="2"/>
        <v>2023</v>
      </c>
      <c r="M6" s="12">
        <f t="shared" si="3"/>
        <v>2</v>
      </c>
      <c r="N6" s="5" t="str">
        <f t="shared" si="4"/>
        <v>Saturday</v>
      </c>
      <c r="O6" s="5" t="str">
        <f t="shared" si="5"/>
        <v>May</v>
      </c>
    </row>
    <row r="7" spans="1:19" x14ac:dyDescent="0.3">
      <c r="A7" s="8">
        <v>6</v>
      </c>
      <c r="B7" s="25">
        <v>45041</v>
      </c>
      <c r="C7" s="5" t="s">
        <v>14</v>
      </c>
      <c r="D7" s="5" t="s">
        <v>8</v>
      </c>
      <c r="E7" s="12">
        <v>45</v>
      </c>
      <c r="F7" s="2" t="str">
        <f t="shared" si="0"/>
        <v>Adult</v>
      </c>
      <c r="G7" s="5" t="s">
        <v>6</v>
      </c>
      <c r="H7" s="8">
        <v>1</v>
      </c>
      <c r="I7" s="2">
        <v>30</v>
      </c>
      <c r="J7" s="2">
        <v>30</v>
      </c>
      <c r="K7" t="str">
        <f t="shared" si="1"/>
        <v>Low</v>
      </c>
      <c r="L7" s="12">
        <f t="shared" si="2"/>
        <v>2023</v>
      </c>
      <c r="M7" s="12">
        <f t="shared" si="3"/>
        <v>2</v>
      </c>
      <c r="N7" s="5" t="str">
        <f t="shared" si="4"/>
        <v>Tuesday</v>
      </c>
      <c r="O7" s="5" t="str">
        <f t="shared" si="5"/>
        <v>April</v>
      </c>
    </row>
    <row r="8" spans="1:19" x14ac:dyDescent="0.3">
      <c r="A8" s="8">
        <v>7</v>
      </c>
      <c r="B8" s="25">
        <v>44998</v>
      </c>
      <c r="C8" s="5" t="s">
        <v>15</v>
      </c>
      <c r="D8" s="5" t="s">
        <v>5</v>
      </c>
      <c r="E8" s="12">
        <v>46</v>
      </c>
      <c r="F8" s="2" t="str">
        <f t="shared" si="0"/>
        <v>Adult</v>
      </c>
      <c r="G8" s="5" t="s">
        <v>9</v>
      </c>
      <c r="H8" s="8">
        <v>2</v>
      </c>
      <c r="I8" s="2">
        <v>25</v>
      </c>
      <c r="J8" s="2">
        <v>50</v>
      </c>
      <c r="K8" t="str">
        <f t="shared" si="1"/>
        <v>Low</v>
      </c>
      <c r="L8" s="12">
        <f t="shared" si="2"/>
        <v>2023</v>
      </c>
      <c r="M8" s="12">
        <f t="shared" si="3"/>
        <v>1</v>
      </c>
      <c r="N8" s="5" t="str">
        <f t="shared" si="4"/>
        <v>Monday</v>
      </c>
      <c r="O8" s="5" t="str">
        <f t="shared" si="5"/>
        <v>March</v>
      </c>
    </row>
    <row r="9" spans="1:19" x14ac:dyDescent="0.3">
      <c r="A9" s="8">
        <v>8</v>
      </c>
      <c r="B9" s="25">
        <v>44979</v>
      </c>
      <c r="C9" s="5" t="s">
        <v>16</v>
      </c>
      <c r="D9" s="5" t="s">
        <v>5</v>
      </c>
      <c r="E9" s="12">
        <v>30</v>
      </c>
      <c r="F9" s="2" t="str">
        <f t="shared" si="0"/>
        <v>Young</v>
      </c>
      <c r="G9" s="5" t="s">
        <v>11</v>
      </c>
      <c r="H9" s="8">
        <v>4</v>
      </c>
      <c r="I9" s="2">
        <v>25</v>
      </c>
      <c r="J9" s="2">
        <v>100</v>
      </c>
      <c r="K9" t="str">
        <f t="shared" si="1"/>
        <v>Low</v>
      </c>
      <c r="L9" s="12">
        <f t="shared" si="2"/>
        <v>2023</v>
      </c>
      <c r="M9" s="12">
        <f t="shared" si="3"/>
        <v>1</v>
      </c>
      <c r="N9" s="5" t="str">
        <f t="shared" si="4"/>
        <v>Wednesday</v>
      </c>
      <c r="O9" s="5" t="str">
        <f t="shared" si="5"/>
        <v>February</v>
      </c>
      <c r="S9" s="16" t="s">
        <v>1010</v>
      </c>
    </row>
    <row r="10" spans="1:19" x14ac:dyDescent="0.3">
      <c r="A10" s="8">
        <v>9</v>
      </c>
      <c r="B10" s="25">
        <v>45273</v>
      </c>
      <c r="C10" s="5" t="s">
        <v>17</v>
      </c>
      <c r="D10" s="5" t="s">
        <v>5</v>
      </c>
      <c r="E10" s="12">
        <v>63</v>
      </c>
      <c r="F10" s="2" t="str">
        <f t="shared" si="0"/>
        <v>Senior</v>
      </c>
      <c r="G10" s="5" t="s">
        <v>11</v>
      </c>
      <c r="H10" s="8">
        <v>2</v>
      </c>
      <c r="I10" s="2">
        <v>300</v>
      </c>
      <c r="J10" s="2">
        <v>600</v>
      </c>
      <c r="K10" t="str">
        <f t="shared" si="1"/>
        <v>Medium</v>
      </c>
      <c r="L10" s="12">
        <f t="shared" si="2"/>
        <v>2023</v>
      </c>
      <c r="M10" s="12">
        <f t="shared" si="3"/>
        <v>4</v>
      </c>
      <c r="N10" s="5" t="str">
        <f t="shared" si="4"/>
        <v>Wednesday</v>
      </c>
      <c r="O10" s="5" t="str">
        <f t="shared" si="5"/>
        <v>December</v>
      </c>
      <c r="S10" s="27" t="s">
        <v>13</v>
      </c>
    </row>
    <row r="11" spans="1:19" x14ac:dyDescent="0.3">
      <c r="A11" s="8">
        <v>10</v>
      </c>
      <c r="B11" s="25">
        <v>45206</v>
      </c>
      <c r="C11" s="5" t="s">
        <v>18</v>
      </c>
      <c r="D11" s="5" t="s">
        <v>8</v>
      </c>
      <c r="E11" s="12">
        <v>52</v>
      </c>
      <c r="F11" s="2" t="str">
        <f t="shared" si="0"/>
        <v>Adult</v>
      </c>
      <c r="G11" s="5" t="s">
        <v>9</v>
      </c>
      <c r="H11" s="8">
        <v>4</v>
      </c>
      <c r="I11" s="2">
        <v>50</v>
      </c>
      <c r="J11" s="2">
        <v>200</v>
      </c>
      <c r="K11" t="str">
        <f t="shared" si="1"/>
        <v>Low</v>
      </c>
      <c r="L11" s="12">
        <f t="shared" si="2"/>
        <v>2023</v>
      </c>
      <c r="M11" s="12">
        <f t="shared" si="3"/>
        <v>4</v>
      </c>
      <c r="N11" s="5" t="str">
        <f t="shared" si="4"/>
        <v>Saturday</v>
      </c>
      <c r="O11" s="5" t="str">
        <f t="shared" si="5"/>
        <v>October</v>
      </c>
      <c r="R11" s="16" t="s">
        <v>2</v>
      </c>
      <c r="S11" s="30">
        <f>INDEX($A$1:$O$1001,MATCH($S$10,$C$1:$C$1001,0),MATCH(R11,$A$1:$O$1,0))</f>
        <v>30</v>
      </c>
    </row>
    <row r="12" spans="1:19" x14ac:dyDescent="0.3">
      <c r="A12" s="8">
        <v>11</v>
      </c>
      <c r="B12" s="25">
        <v>44971</v>
      </c>
      <c r="C12" s="5" t="s">
        <v>19</v>
      </c>
      <c r="D12" s="5" t="s">
        <v>5</v>
      </c>
      <c r="E12" s="12">
        <v>23</v>
      </c>
      <c r="F12" s="2" t="str">
        <f t="shared" si="0"/>
        <v>Young</v>
      </c>
      <c r="G12" s="5" t="s">
        <v>9</v>
      </c>
      <c r="H12" s="8">
        <v>2</v>
      </c>
      <c r="I12" s="2">
        <v>50</v>
      </c>
      <c r="J12" s="2">
        <v>100</v>
      </c>
      <c r="K12" t="str">
        <f t="shared" si="1"/>
        <v>Low</v>
      </c>
      <c r="L12" s="12">
        <f t="shared" si="2"/>
        <v>2023</v>
      </c>
      <c r="M12" s="12">
        <f t="shared" si="3"/>
        <v>1</v>
      </c>
      <c r="N12" s="5" t="str">
        <f t="shared" si="4"/>
        <v>Tuesday</v>
      </c>
      <c r="O12" s="5" t="str">
        <f t="shared" si="5"/>
        <v>February</v>
      </c>
      <c r="R12" s="16" t="s">
        <v>1018</v>
      </c>
      <c r="S12" s="30" t="str">
        <f>INDEX($A$1:$O$1001,MATCH($S$10,$C$1:$C$1001,0),MATCH(R12,$A$1:$O$1,0))</f>
        <v>Saturday</v>
      </c>
    </row>
    <row r="13" spans="1:19" x14ac:dyDescent="0.3">
      <c r="A13" s="8">
        <v>12</v>
      </c>
      <c r="B13" s="25">
        <v>45229</v>
      </c>
      <c r="C13" s="5" t="s">
        <v>20</v>
      </c>
      <c r="D13" s="5" t="s">
        <v>5</v>
      </c>
      <c r="E13" s="12">
        <v>35</v>
      </c>
      <c r="F13" s="2" t="str">
        <f t="shared" si="0"/>
        <v>Adult</v>
      </c>
      <c r="G13" s="5" t="s">
        <v>6</v>
      </c>
      <c r="H13" s="8">
        <v>3</v>
      </c>
      <c r="I13" s="2">
        <v>25</v>
      </c>
      <c r="J13" s="2">
        <v>75</v>
      </c>
      <c r="K13" t="str">
        <f t="shared" si="1"/>
        <v>Low</v>
      </c>
      <c r="L13" s="12">
        <f t="shared" si="2"/>
        <v>2023</v>
      </c>
      <c r="M13" s="12">
        <f t="shared" si="3"/>
        <v>4</v>
      </c>
      <c r="N13" s="5" t="str">
        <f t="shared" si="4"/>
        <v>Monday</v>
      </c>
      <c r="O13" s="5" t="str">
        <f t="shared" si="5"/>
        <v>October</v>
      </c>
      <c r="R13" s="14" t="s">
        <v>1013</v>
      </c>
      <c r="S13" s="30">
        <f>INDEX($A$1:$O$1001,MATCH($S$10,$C$1:$C$1001,0),MATCH(R13,$A$1:$O$1,0))</f>
        <v>100</v>
      </c>
    </row>
    <row r="14" spans="1:19" x14ac:dyDescent="0.3">
      <c r="A14" s="8">
        <v>13</v>
      </c>
      <c r="B14" s="25">
        <v>45143</v>
      </c>
      <c r="C14" s="5" t="s">
        <v>21</v>
      </c>
      <c r="D14" s="5" t="s">
        <v>5</v>
      </c>
      <c r="E14" s="12">
        <v>22</v>
      </c>
      <c r="F14" s="2" t="str">
        <f t="shared" si="0"/>
        <v>Young</v>
      </c>
      <c r="G14" s="5" t="s">
        <v>11</v>
      </c>
      <c r="H14" s="8">
        <v>3</v>
      </c>
      <c r="I14" s="2">
        <v>500</v>
      </c>
      <c r="J14" s="2">
        <v>1500</v>
      </c>
      <c r="K14" t="str">
        <f t="shared" si="1"/>
        <v>Medium</v>
      </c>
      <c r="L14" s="12">
        <f t="shared" si="2"/>
        <v>2023</v>
      </c>
      <c r="M14" s="12">
        <f t="shared" si="3"/>
        <v>3</v>
      </c>
      <c r="N14" s="5" t="str">
        <f t="shared" si="4"/>
        <v>Saturday</v>
      </c>
      <c r="O14" s="5" t="str">
        <f t="shared" si="5"/>
        <v>August</v>
      </c>
      <c r="S14" s="6"/>
    </row>
    <row r="15" spans="1:19" x14ac:dyDescent="0.3">
      <c r="A15" s="8">
        <v>14</v>
      </c>
      <c r="B15" s="25">
        <v>44943</v>
      </c>
      <c r="C15" s="5" t="s">
        <v>22</v>
      </c>
      <c r="D15" s="5" t="s">
        <v>5</v>
      </c>
      <c r="E15" s="12">
        <v>64</v>
      </c>
      <c r="F15" s="2" t="str">
        <f t="shared" si="0"/>
        <v>Senior</v>
      </c>
      <c r="G15" s="5" t="s">
        <v>9</v>
      </c>
      <c r="H15" s="8">
        <v>4</v>
      </c>
      <c r="I15" s="2">
        <v>30</v>
      </c>
      <c r="J15" s="2">
        <v>120</v>
      </c>
      <c r="K15" t="str">
        <f t="shared" si="1"/>
        <v>Low</v>
      </c>
      <c r="L15" s="12">
        <f t="shared" si="2"/>
        <v>2023</v>
      </c>
      <c r="M15" s="12">
        <f t="shared" si="3"/>
        <v>1</v>
      </c>
      <c r="N15" s="5" t="str">
        <f t="shared" si="4"/>
        <v>Tuesday</v>
      </c>
      <c r="O15" s="5" t="str">
        <f t="shared" si="5"/>
        <v>January</v>
      </c>
    </row>
    <row r="16" spans="1:19" x14ac:dyDescent="0.3">
      <c r="A16" s="8">
        <v>15</v>
      </c>
      <c r="B16" s="25">
        <v>44942</v>
      </c>
      <c r="C16" s="5" t="s">
        <v>23</v>
      </c>
      <c r="D16" s="5" t="s">
        <v>8</v>
      </c>
      <c r="E16" s="12">
        <v>42</v>
      </c>
      <c r="F16" s="2" t="str">
        <f t="shared" si="0"/>
        <v>Adult</v>
      </c>
      <c r="G16" s="5" t="s">
        <v>11</v>
      </c>
      <c r="H16" s="8">
        <v>4</v>
      </c>
      <c r="I16" s="2">
        <v>500</v>
      </c>
      <c r="J16" s="2">
        <v>2000</v>
      </c>
      <c r="K16" t="str">
        <f t="shared" si="1"/>
        <v>High</v>
      </c>
      <c r="L16" s="12">
        <f t="shared" si="2"/>
        <v>2023</v>
      </c>
      <c r="M16" s="12">
        <f t="shared" si="3"/>
        <v>1</v>
      </c>
      <c r="N16" s="5" t="str">
        <f t="shared" si="4"/>
        <v>Monday</v>
      </c>
      <c r="O16" s="5" t="str">
        <f t="shared" si="5"/>
        <v>January</v>
      </c>
    </row>
    <row r="17" spans="1:19" x14ac:dyDescent="0.3">
      <c r="A17" s="8">
        <v>16</v>
      </c>
      <c r="B17" s="25">
        <v>44974</v>
      </c>
      <c r="C17" s="5" t="s">
        <v>24</v>
      </c>
      <c r="D17" s="5" t="s">
        <v>5</v>
      </c>
      <c r="E17" s="12">
        <v>19</v>
      </c>
      <c r="F17" s="2" t="str">
        <f t="shared" si="0"/>
        <v>Young</v>
      </c>
      <c r="G17" s="5" t="s">
        <v>9</v>
      </c>
      <c r="H17" s="8">
        <v>3</v>
      </c>
      <c r="I17" s="2">
        <v>500</v>
      </c>
      <c r="J17" s="2">
        <v>1500</v>
      </c>
      <c r="K17" t="str">
        <f t="shared" si="1"/>
        <v>Medium</v>
      </c>
      <c r="L17" s="12">
        <f t="shared" si="2"/>
        <v>2023</v>
      </c>
      <c r="M17" s="12">
        <f t="shared" si="3"/>
        <v>1</v>
      </c>
      <c r="N17" s="5" t="str">
        <f t="shared" si="4"/>
        <v>Friday</v>
      </c>
      <c r="O17" s="5" t="str">
        <f t="shared" si="5"/>
        <v>February</v>
      </c>
    </row>
    <row r="18" spans="1:19" x14ac:dyDescent="0.3">
      <c r="A18" s="8">
        <v>17</v>
      </c>
      <c r="B18" s="25">
        <v>45038</v>
      </c>
      <c r="C18" s="5" t="s">
        <v>25</v>
      </c>
      <c r="D18" s="5" t="s">
        <v>8</v>
      </c>
      <c r="E18" s="12">
        <v>27</v>
      </c>
      <c r="F18" s="2" t="str">
        <f t="shared" si="0"/>
        <v>Young</v>
      </c>
      <c r="G18" s="5" t="s">
        <v>9</v>
      </c>
      <c r="H18" s="8">
        <v>4</v>
      </c>
      <c r="I18" s="2">
        <v>25</v>
      </c>
      <c r="J18" s="2">
        <v>100</v>
      </c>
      <c r="K18" t="str">
        <f t="shared" si="1"/>
        <v>Low</v>
      </c>
      <c r="L18" s="12">
        <f t="shared" si="2"/>
        <v>2023</v>
      </c>
      <c r="M18" s="12">
        <f t="shared" si="3"/>
        <v>2</v>
      </c>
      <c r="N18" s="5" t="str">
        <f t="shared" si="4"/>
        <v>Saturday</v>
      </c>
      <c r="O18" s="5" t="str">
        <f t="shared" si="5"/>
        <v>April</v>
      </c>
    </row>
    <row r="19" spans="1:19" x14ac:dyDescent="0.3">
      <c r="A19" s="8">
        <v>18</v>
      </c>
      <c r="B19" s="25">
        <v>45046</v>
      </c>
      <c r="C19" s="5" t="s">
        <v>26</v>
      </c>
      <c r="D19" s="5" t="s">
        <v>8</v>
      </c>
      <c r="E19" s="12">
        <v>47</v>
      </c>
      <c r="F19" s="2" t="str">
        <f t="shared" si="0"/>
        <v>Adult</v>
      </c>
      <c r="G19" s="5" t="s">
        <v>11</v>
      </c>
      <c r="H19" s="8">
        <v>2</v>
      </c>
      <c r="I19" s="2">
        <v>25</v>
      </c>
      <c r="J19" s="2">
        <v>50</v>
      </c>
      <c r="K19" t="str">
        <f t="shared" si="1"/>
        <v>Low</v>
      </c>
      <c r="L19" s="12">
        <f t="shared" si="2"/>
        <v>2023</v>
      </c>
      <c r="M19" s="12">
        <f t="shared" si="3"/>
        <v>2</v>
      </c>
      <c r="N19" s="5" t="str">
        <f t="shared" si="4"/>
        <v>Sunday</v>
      </c>
      <c r="O19" s="5" t="str">
        <f t="shared" si="5"/>
        <v>April</v>
      </c>
      <c r="S19" s="31" t="s">
        <v>1009</v>
      </c>
    </row>
    <row r="20" spans="1:19" x14ac:dyDescent="0.3">
      <c r="A20" s="8">
        <v>19</v>
      </c>
      <c r="B20" s="25">
        <v>45185</v>
      </c>
      <c r="C20" s="5" t="s">
        <v>27</v>
      </c>
      <c r="D20" s="5" t="s">
        <v>8</v>
      </c>
      <c r="E20" s="12">
        <v>62</v>
      </c>
      <c r="F20" s="2" t="str">
        <f t="shared" si="0"/>
        <v>Senior</v>
      </c>
      <c r="G20" s="5" t="s">
        <v>9</v>
      </c>
      <c r="H20" s="8">
        <v>2</v>
      </c>
      <c r="I20" s="2">
        <v>25</v>
      </c>
      <c r="J20" s="2">
        <v>50</v>
      </c>
      <c r="K20" t="str">
        <f t="shared" si="1"/>
        <v>Low</v>
      </c>
      <c r="L20" s="12">
        <f t="shared" si="2"/>
        <v>2023</v>
      </c>
      <c r="M20" s="12">
        <f t="shared" si="3"/>
        <v>3</v>
      </c>
      <c r="N20" s="5" t="str">
        <f t="shared" si="4"/>
        <v>Saturday</v>
      </c>
      <c r="O20" s="5" t="str">
        <f t="shared" si="5"/>
        <v>September</v>
      </c>
      <c r="S20" s="30">
        <v>1</v>
      </c>
    </row>
    <row r="21" spans="1:19" x14ac:dyDescent="0.3">
      <c r="A21" s="8">
        <v>20</v>
      </c>
      <c r="B21" s="25">
        <v>45235</v>
      </c>
      <c r="C21" s="5" t="s">
        <v>28</v>
      </c>
      <c r="D21" s="5" t="s">
        <v>5</v>
      </c>
      <c r="E21" s="12">
        <v>22</v>
      </c>
      <c r="F21" s="2" t="str">
        <f t="shared" si="0"/>
        <v>Young</v>
      </c>
      <c r="G21" s="5" t="s">
        <v>9</v>
      </c>
      <c r="H21" s="8">
        <v>3</v>
      </c>
      <c r="I21" s="2">
        <v>300</v>
      </c>
      <c r="J21" s="2">
        <v>900</v>
      </c>
      <c r="K21" t="str">
        <f t="shared" si="1"/>
        <v>Medium</v>
      </c>
      <c r="L21" s="12">
        <f t="shared" si="2"/>
        <v>2023</v>
      </c>
      <c r="M21" s="12">
        <f t="shared" si="3"/>
        <v>4</v>
      </c>
      <c r="N21" s="5" t="str">
        <f t="shared" si="4"/>
        <v>Sunday</v>
      </c>
      <c r="O21" s="5" t="str">
        <f t="shared" si="5"/>
        <v>November</v>
      </c>
      <c r="R21" s="33" t="s">
        <v>0</v>
      </c>
      <c r="S21" s="32">
        <f>INDEX(B1:B1001,MATCH(S20,A1:A1001,0))</f>
        <v>45254</v>
      </c>
    </row>
    <row r="22" spans="1:19" x14ac:dyDescent="0.3">
      <c r="A22" s="8">
        <v>21</v>
      </c>
      <c r="B22" s="25">
        <v>44940</v>
      </c>
      <c r="C22" s="5" t="s">
        <v>29</v>
      </c>
      <c r="D22" s="5" t="s">
        <v>8</v>
      </c>
      <c r="E22" s="12">
        <v>50</v>
      </c>
      <c r="F22" s="2" t="str">
        <f t="shared" si="0"/>
        <v>Adult</v>
      </c>
      <c r="G22" s="5" t="s">
        <v>6</v>
      </c>
      <c r="H22" s="8">
        <v>1</v>
      </c>
      <c r="I22" s="2">
        <v>500</v>
      </c>
      <c r="J22" s="2">
        <v>500</v>
      </c>
      <c r="K22" t="str">
        <f t="shared" si="1"/>
        <v>Low</v>
      </c>
      <c r="L22" s="12">
        <f t="shared" si="2"/>
        <v>2023</v>
      </c>
      <c r="M22" s="12">
        <f t="shared" si="3"/>
        <v>1</v>
      </c>
      <c r="N22" s="5" t="str">
        <f t="shared" si="4"/>
        <v>Saturday</v>
      </c>
      <c r="O22" s="5" t="str">
        <f t="shared" si="5"/>
        <v>January</v>
      </c>
    </row>
    <row r="23" spans="1:19" x14ac:dyDescent="0.3">
      <c r="A23" s="8">
        <v>22</v>
      </c>
      <c r="B23" s="25">
        <v>45214</v>
      </c>
      <c r="C23" s="5" t="s">
        <v>30</v>
      </c>
      <c r="D23" s="5" t="s">
        <v>5</v>
      </c>
      <c r="E23" s="12">
        <v>18</v>
      </c>
      <c r="F23" s="2" t="str">
        <f t="shared" si="0"/>
        <v>Young</v>
      </c>
      <c r="G23" s="5" t="s">
        <v>9</v>
      </c>
      <c r="H23" s="8">
        <v>2</v>
      </c>
      <c r="I23" s="2">
        <v>50</v>
      </c>
      <c r="J23" s="2">
        <v>100</v>
      </c>
      <c r="K23" t="str">
        <f t="shared" si="1"/>
        <v>Low</v>
      </c>
      <c r="L23" s="12">
        <f t="shared" si="2"/>
        <v>2023</v>
      </c>
      <c r="M23" s="12">
        <f t="shared" si="3"/>
        <v>4</v>
      </c>
      <c r="N23" s="5" t="str">
        <f t="shared" si="4"/>
        <v>Sunday</v>
      </c>
      <c r="O23" s="5" t="str">
        <f t="shared" si="5"/>
        <v>October</v>
      </c>
    </row>
    <row r="24" spans="1:19" x14ac:dyDescent="0.3">
      <c r="A24" s="8">
        <v>23</v>
      </c>
      <c r="B24" s="25">
        <v>45028</v>
      </c>
      <c r="C24" s="5" t="s">
        <v>31</v>
      </c>
      <c r="D24" s="5" t="s">
        <v>8</v>
      </c>
      <c r="E24" s="12">
        <v>35</v>
      </c>
      <c r="F24" s="2" t="str">
        <f t="shared" si="0"/>
        <v>Adult</v>
      </c>
      <c r="G24" s="5" t="s">
        <v>9</v>
      </c>
      <c r="H24" s="8">
        <v>4</v>
      </c>
      <c r="I24" s="2">
        <v>30</v>
      </c>
      <c r="J24" s="2">
        <v>120</v>
      </c>
      <c r="K24" t="str">
        <f t="shared" si="1"/>
        <v>Low</v>
      </c>
      <c r="L24" s="12">
        <f t="shared" si="2"/>
        <v>2023</v>
      </c>
      <c r="M24" s="12">
        <f t="shared" si="3"/>
        <v>2</v>
      </c>
      <c r="N24" s="5" t="str">
        <f t="shared" si="4"/>
        <v>Wednesday</v>
      </c>
      <c r="O24" s="5" t="str">
        <f t="shared" si="5"/>
        <v>April</v>
      </c>
    </row>
    <row r="25" spans="1:19" x14ac:dyDescent="0.3">
      <c r="A25" s="8">
        <v>24</v>
      </c>
      <c r="B25" s="25">
        <v>45259</v>
      </c>
      <c r="C25" s="5" t="s">
        <v>32</v>
      </c>
      <c r="D25" s="5" t="s">
        <v>8</v>
      </c>
      <c r="E25" s="12">
        <v>49</v>
      </c>
      <c r="F25" s="2" t="str">
        <f t="shared" si="0"/>
        <v>Adult</v>
      </c>
      <c r="G25" s="5" t="s">
        <v>9</v>
      </c>
      <c r="H25" s="8">
        <v>1</v>
      </c>
      <c r="I25" s="2">
        <v>300</v>
      </c>
      <c r="J25" s="2">
        <v>300</v>
      </c>
      <c r="K25" t="str">
        <f t="shared" si="1"/>
        <v>Low</v>
      </c>
      <c r="L25" s="12">
        <f t="shared" si="2"/>
        <v>2023</v>
      </c>
      <c r="M25" s="12">
        <f t="shared" si="3"/>
        <v>4</v>
      </c>
      <c r="N25" s="5" t="str">
        <f t="shared" si="4"/>
        <v>Wednesday</v>
      </c>
      <c r="O25" s="5" t="str">
        <f t="shared" si="5"/>
        <v>November</v>
      </c>
    </row>
    <row r="26" spans="1:19" x14ac:dyDescent="0.3">
      <c r="A26" s="8">
        <v>25</v>
      </c>
      <c r="B26" s="25">
        <v>45286</v>
      </c>
      <c r="C26" s="5" t="s">
        <v>33</v>
      </c>
      <c r="D26" s="5" t="s">
        <v>8</v>
      </c>
      <c r="E26" s="12">
        <v>64</v>
      </c>
      <c r="F26" s="2" t="str">
        <f t="shared" si="0"/>
        <v>Senior</v>
      </c>
      <c r="G26" s="5" t="s">
        <v>6</v>
      </c>
      <c r="H26" s="8">
        <v>1</v>
      </c>
      <c r="I26" s="2">
        <v>50</v>
      </c>
      <c r="J26" s="2">
        <v>50</v>
      </c>
      <c r="K26" t="str">
        <f t="shared" si="1"/>
        <v>Low</v>
      </c>
      <c r="L26" s="12">
        <f t="shared" si="2"/>
        <v>2023</v>
      </c>
      <c r="M26" s="12">
        <f t="shared" si="3"/>
        <v>4</v>
      </c>
      <c r="N26" s="5" t="str">
        <f t="shared" si="4"/>
        <v>Tuesday</v>
      </c>
      <c r="O26" s="5" t="str">
        <f t="shared" si="5"/>
        <v>December</v>
      </c>
    </row>
    <row r="27" spans="1:19" x14ac:dyDescent="0.3">
      <c r="A27" s="8">
        <v>26</v>
      </c>
      <c r="B27" s="25">
        <v>45206</v>
      </c>
      <c r="C27" s="5" t="s">
        <v>34</v>
      </c>
      <c r="D27" s="5" t="s">
        <v>8</v>
      </c>
      <c r="E27" s="12">
        <v>28</v>
      </c>
      <c r="F27" s="2" t="str">
        <f t="shared" si="0"/>
        <v>Young</v>
      </c>
      <c r="G27" s="5" t="s">
        <v>11</v>
      </c>
      <c r="H27" s="8">
        <v>2</v>
      </c>
      <c r="I27" s="2">
        <v>500</v>
      </c>
      <c r="J27" s="2">
        <v>1000</v>
      </c>
      <c r="K27" t="str">
        <f t="shared" si="1"/>
        <v>Medium</v>
      </c>
      <c r="L27" s="12">
        <f t="shared" si="2"/>
        <v>2023</v>
      </c>
      <c r="M27" s="12">
        <f t="shared" si="3"/>
        <v>4</v>
      </c>
      <c r="N27" s="5" t="str">
        <f t="shared" si="4"/>
        <v>Saturday</v>
      </c>
      <c r="O27" s="5" t="str">
        <f t="shared" si="5"/>
        <v>October</v>
      </c>
    </row>
    <row r="28" spans="1:19" x14ac:dyDescent="0.3">
      <c r="A28" s="8">
        <v>27</v>
      </c>
      <c r="B28" s="25">
        <v>45141</v>
      </c>
      <c r="C28" s="5" t="s">
        <v>35</v>
      </c>
      <c r="D28" s="5" t="s">
        <v>8</v>
      </c>
      <c r="E28" s="12">
        <v>38</v>
      </c>
      <c r="F28" s="2" t="str">
        <f t="shared" si="0"/>
        <v>Adult</v>
      </c>
      <c r="G28" s="5" t="s">
        <v>6</v>
      </c>
      <c r="H28" s="8">
        <v>2</v>
      </c>
      <c r="I28" s="2">
        <v>25</v>
      </c>
      <c r="J28" s="2">
        <v>50</v>
      </c>
      <c r="K28" t="str">
        <f t="shared" si="1"/>
        <v>Low</v>
      </c>
      <c r="L28" s="12">
        <f t="shared" si="2"/>
        <v>2023</v>
      </c>
      <c r="M28" s="12">
        <f t="shared" si="3"/>
        <v>3</v>
      </c>
      <c r="N28" s="5" t="str">
        <f t="shared" si="4"/>
        <v>Thursday</v>
      </c>
      <c r="O28" s="5" t="str">
        <f t="shared" si="5"/>
        <v>August</v>
      </c>
    </row>
    <row r="29" spans="1:19" x14ac:dyDescent="0.3">
      <c r="A29" s="8">
        <v>28</v>
      </c>
      <c r="B29" s="25">
        <v>45039</v>
      </c>
      <c r="C29" s="5" t="s">
        <v>36</v>
      </c>
      <c r="D29" s="5" t="s">
        <v>8</v>
      </c>
      <c r="E29" s="12">
        <v>43</v>
      </c>
      <c r="F29" s="2" t="str">
        <f t="shared" si="0"/>
        <v>Adult</v>
      </c>
      <c r="G29" s="5" t="s">
        <v>6</v>
      </c>
      <c r="H29" s="8">
        <v>1</v>
      </c>
      <c r="I29" s="2">
        <v>500</v>
      </c>
      <c r="J29" s="2">
        <v>500</v>
      </c>
      <c r="K29" t="str">
        <f t="shared" si="1"/>
        <v>Low</v>
      </c>
      <c r="L29" s="12">
        <f t="shared" si="2"/>
        <v>2023</v>
      </c>
      <c r="M29" s="12">
        <f t="shared" si="3"/>
        <v>2</v>
      </c>
      <c r="N29" s="5" t="str">
        <f t="shared" si="4"/>
        <v>Sunday</v>
      </c>
      <c r="O29" s="5" t="str">
        <f t="shared" si="5"/>
        <v>April</v>
      </c>
    </row>
    <row r="30" spans="1:19" x14ac:dyDescent="0.3">
      <c r="A30" s="8">
        <v>29</v>
      </c>
      <c r="B30" s="25">
        <v>45156</v>
      </c>
      <c r="C30" s="5" t="s">
        <v>37</v>
      </c>
      <c r="D30" s="5" t="s">
        <v>8</v>
      </c>
      <c r="E30" s="12">
        <v>42</v>
      </c>
      <c r="F30" s="2" t="str">
        <f t="shared" si="0"/>
        <v>Adult</v>
      </c>
      <c r="G30" s="5" t="s">
        <v>11</v>
      </c>
      <c r="H30" s="8">
        <v>1</v>
      </c>
      <c r="I30" s="2">
        <v>30</v>
      </c>
      <c r="J30" s="2">
        <v>30</v>
      </c>
      <c r="K30" t="str">
        <f t="shared" si="1"/>
        <v>Low</v>
      </c>
      <c r="L30" s="12">
        <f t="shared" si="2"/>
        <v>2023</v>
      </c>
      <c r="M30" s="12">
        <f t="shared" si="3"/>
        <v>3</v>
      </c>
      <c r="N30" s="5" t="str">
        <f t="shared" si="4"/>
        <v>Friday</v>
      </c>
      <c r="O30" s="5" t="str">
        <f t="shared" si="5"/>
        <v>August</v>
      </c>
    </row>
    <row r="31" spans="1:19" x14ac:dyDescent="0.3">
      <c r="A31" s="8">
        <v>30</v>
      </c>
      <c r="B31" s="25">
        <v>45228</v>
      </c>
      <c r="C31" s="5" t="s">
        <v>38</v>
      </c>
      <c r="D31" s="5" t="s">
        <v>8</v>
      </c>
      <c r="E31" s="12">
        <v>39</v>
      </c>
      <c r="F31" s="2" t="str">
        <f t="shared" si="0"/>
        <v>Adult</v>
      </c>
      <c r="G31" s="5" t="s">
        <v>6</v>
      </c>
      <c r="H31" s="8">
        <v>3</v>
      </c>
      <c r="I31" s="2">
        <v>300</v>
      </c>
      <c r="J31" s="2">
        <v>900</v>
      </c>
      <c r="K31" t="str">
        <f t="shared" si="1"/>
        <v>Medium</v>
      </c>
      <c r="L31" s="12">
        <f t="shared" si="2"/>
        <v>2023</v>
      </c>
      <c r="M31" s="12">
        <f t="shared" si="3"/>
        <v>4</v>
      </c>
      <c r="N31" s="5" t="str">
        <f t="shared" si="4"/>
        <v>Sunday</v>
      </c>
      <c r="O31" s="5" t="str">
        <f t="shared" si="5"/>
        <v>October</v>
      </c>
    </row>
    <row r="32" spans="1:19" x14ac:dyDescent="0.3">
      <c r="A32" s="8">
        <v>31</v>
      </c>
      <c r="B32" s="25">
        <v>45069</v>
      </c>
      <c r="C32" s="5" t="s">
        <v>39</v>
      </c>
      <c r="D32" s="5" t="s">
        <v>5</v>
      </c>
      <c r="E32" s="12">
        <v>44</v>
      </c>
      <c r="F32" s="2" t="str">
        <f t="shared" si="0"/>
        <v>Adult</v>
      </c>
      <c r="G32" s="5" t="s">
        <v>11</v>
      </c>
      <c r="H32" s="8">
        <v>4</v>
      </c>
      <c r="I32" s="2">
        <v>300</v>
      </c>
      <c r="J32" s="2">
        <v>1200</v>
      </c>
      <c r="K32" t="str">
        <f t="shared" si="1"/>
        <v>Medium</v>
      </c>
      <c r="L32" s="12">
        <f t="shared" si="2"/>
        <v>2023</v>
      </c>
      <c r="M32" s="12">
        <f t="shared" si="3"/>
        <v>2</v>
      </c>
      <c r="N32" s="5" t="str">
        <f t="shared" si="4"/>
        <v>Tuesday</v>
      </c>
      <c r="O32" s="5" t="str">
        <f t="shared" si="5"/>
        <v>May</v>
      </c>
    </row>
    <row r="33" spans="1:15" x14ac:dyDescent="0.3">
      <c r="A33" s="8">
        <v>32</v>
      </c>
      <c r="B33" s="25">
        <v>44930</v>
      </c>
      <c r="C33" s="5" t="s">
        <v>40</v>
      </c>
      <c r="D33" s="5" t="s">
        <v>5</v>
      </c>
      <c r="E33" s="12">
        <v>30</v>
      </c>
      <c r="F33" s="2" t="str">
        <f t="shared" si="0"/>
        <v>Young</v>
      </c>
      <c r="G33" s="5" t="s">
        <v>6</v>
      </c>
      <c r="H33" s="8">
        <v>3</v>
      </c>
      <c r="I33" s="2">
        <v>30</v>
      </c>
      <c r="J33" s="2">
        <v>90</v>
      </c>
      <c r="K33" t="str">
        <f t="shared" si="1"/>
        <v>Low</v>
      </c>
      <c r="L33" s="12">
        <f t="shared" si="2"/>
        <v>2023</v>
      </c>
      <c r="M33" s="12">
        <f t="shared" si="3"/>
        <v>1</v>
      </c>
      <c r="N33" s="5" t="str">
        <f t="shared" si="4"/>
        <v>Wednesday</v>
      </c>
      <c r="O33" s="5" t="str">
        <f t="shared" si="5"/>
        <v>January</v>
      </c>
    </row>
    <row r="34" spans="1:15" x14ac:dyDescent="0.3">
      <c r="A34" s="8">
        <v>33</v>
      </c>
      <c r="B34" s="25">
        <v>45008</v>
      </c>
      <c r="C34" s="5" t="s">
        <v>41</v>
      </c>
      <c r="D34" s="5" t="s">
        <v>8</v>
      </c>
      <c r="E34" s="12">
        <v>50</v>
      </c>
      <c r="F34" s="2" t="str">
        <f t="shared" si="0"/>
        <v>Adult</v>
      </c>
      <c r="G34" s="5" t="s">
        <v>11</v>
      </c>
      <c r="H34" s="8">
        <v>2</v>
      </c>
      <c r="I34" s="2">
        <v>50</v>
      </c>
      <c r="J34" s="2">
        <v>100</v>
      </c>
      <c r="K34" t="str">
        <f t="shared" si="1"/>
        <v>Low</v>
      </c>
      <c r="L34" s="12">
        <f t="shared" si="2"/>
        <v>2023</v>
      </c>
      <c r="M34" s="12">
        <f t="shared" si="3"/>
        <v>1</v>
      </c>
      <c r="N34" s="5" t="str">
        <f t="shared" si="4"/>
        <v>Thursday</v>
      </c>
      <c r="O34" s="5" t="str">
        <f t="shared" si="5"/>
        <v>March</v>
      </c>
    </row>
    <row r="35" spans="1:15" x14ac:dyDescent="0.3">
      <c r="A35" s="8">
        <v>34</v>
      </c>
      <c r="B35" s="25">
        <v>45284</v>
      </c>
      <c r="C35" s="5" t="s">
        <v>42</v>
      </c>
      <c r="D35" s="5" t="s">
        <v>8</v>
      </c>
      <c r="E35" s="12">
        <v>51</v>
      </c>
      <c r="F35" s="2" t="str">
        <f t="shared" si="0"/>
        <v>Adult</v>
      </c>
      <c r="G35" s="5" t="s">
        <v>9</v>
      </c>
      <c r="H35" s="8">
        <v>3</v>
      </c>
      <c r="I35" s="2">
        <v>50</v>
      </c>
      <c r="J35" s="2">
        <v>150</v>
      </c>
      <c r="K35" t="str">
        <f t="shared" si="1"/>
        <v>Low</v>
      </c>
      <c r="L35" s="12">
        <f t="shared" si="2"/>
        <v>2023</v>
      </c>
      <c r="M35" s="12">
        <f t="shared" si="3"/>
        <v>4</v>
      </c>
      <c r="N35" s="5" t="str">
        <f t="shared" si="4"/>
        <v>Sunday</v>
      </c>
      <c r="O35" s="5" t="str">
        <f t="shared" si="5"/>
        <v>December</v>
      </c>
    </row>
    <row r="36" spans="1:15" x14ac:dyDescent="0.3">
      <c r="A36" s="8">
        <v>35</v>
      </c>
      <c r="B36" s="25">
        <v>45143</v>
      </c>
      <c r="C36" s="5" t="s">
        <v>43</v>
      </c>
      <c r="D36" s="5" t="s">
        <v>8</v>
      </c>
      <c r="E36" s="12">
        <v>58</v>
      </c>
      <c r="F36" s="2" t="str">
        <f t="shared" si="0"/>
        <v>Adult</v>
      </c>
      <c r="G36" s="5" t="s">
        <v>6</v>
      </c>
      <c r="H36" s="8">
        <v>3</v>
      </c>
      <c r="I36" s="2">
        <v>300</v>
      </c>
      <c r="J36" s="2">
        <v>900</v>
      </c>
      <c r="K36" t="str">
        <f t="shared" si="1"/>
        <v>Medium</v>
      </c>
      <c r="L36" s="12">
        <f t="shared" si="2"/>
        <v>2023</v>
      </c>
      <c r="M36" s="12">
        <f t="shared" si="3"/>
        <v>3</v>
      </c>
      <c r="N36" s="5" t="str">
        <f t="shared" si="4"/>
        <v>Saturday</v>
      </c>
      <c r="O36" s="5" t="str">
        <f t="shared" si="5"/>
        <v>August</v>
      </c>
    </row>
    <row r="37" spans="1:15" x14ac:dyDescent="0.3">
      <c r="A37" s="8">
        <v>36</v>
      </c>
      <c r="B37" s="25">
        <v>45101</v>
      </c>
      <c r="C37" s="5" t="s">
        <v>44</v>
      </c>
      <c r="D37" s="5" t="s">
        <v>5</v>
      </c>
      <c r="E37" s="12">
        <v>52</v>
      </c>
      <c r="F37" s="2" t="str">
        <f t="shared" si="0"/>
        <v>Adult</v>
      </c>
      <c r="G37" s="5" t="s">
        <v>6</v>
      </c>
      <c r="H37" s="8">
        <v>3</v>
      </c>
      <c r="I37" s="2">
        <v>300</v>
      </c>
      <c r="J37" s="2">
        <v>900</v>
      </c>
      <c r="K37" t="str">
        <f t="shared" si="1"/>
        <v>Medium</v>
      </c>
      <c r="L37" s="12">
        <f t="shared" si="2"/>
        <v>2023</v>
      </c>
      <c r="M37" s="12">
        <f t="shared" si="3"/>
        <v>2</v>
      </c>
      <c r="N37" s="5" t="str">
        <f t="shared" si="4"/>
        <v>Saturday</v>
      </c>
      <c r="O37" s="5" t="str">
        <f t="shared" si="5"/>
        <v>June</v>
      </c>
    </row>
    <row r="38" spans="1:15" x14ac:dyDescent="0.3">
      <c r="A38" s="8">
        <v>37</v>
      </c>
      <c r="B38" s="25">
        <v>45069</v>
      </c>
      <c r="C38" s="5" t="s">
        <v>45</v>
      </c>
      <c r="D38" s="5" t="s">
        <v>8</v>
      </c>
      <c r="E38" s="12">
        <v>18</v>
      </c>
      <c r="F38" s="2" t="str">
        <f t="shared" si="0"/>
        <v>Young</v>
      </c>
      <c r="G38" s="5" t="s">
        <v>6</v>
      </c>
      <c r="H38" s="8">
        <v>3</v>
      </c>
      <c r="I38" s="2">
        <v>25</v>
      </c>
      <c r="J38" s="2">
        <v>75</v>
      </c>
      <c r="K38" t="str">
        <f t="shared" si="1"/>
        <v>Low</v>
      </c>
      <c r="L38" s="12">
        <f t="shared" si="2"/>
        <v>2023</v>
      </c>
      <c r="M38" s="12">
        <f t="shared" si="3"/>
        <v>2</v>
      </c>
      <c r="N38" s="5" t="str">
        <f t="shared" si="4"/>
        <v>Tuesday</v>
      </c>
      <c r="O38" s="5" t="str">
        <f t="shared" si="5"/>
        <v>May</v>
      </c>
    </row>
    <row r="39" spans="1:15" x14ac:dyDescent="0.3">
      <c r="A39" s="8">
        <v>38</v>
      </c>
      <c r="B39" s="25">
        <v>45006</v>
      </c>
      <c r="C39" s="5" t="s">
        <v>46</v>
      </c>
      <c r="D39" s="5" t="s">
        <v>5</v>
      </c>
      <c r="E39" s="12">
        <v>38</v>
      </c>
      <c r="F39" s="2" t="str">
        <f t="shared" si="0"/>
        <v>Adult</v>
      </c>
      <c r="G39" s="5" t="s">
        <v>6</v>
      </c>
      <c r="H39" s="8">
        <v>4</v>
      </c>
      <c r="I39" s="2">
        <v>50</v>
      </c>
      <c r="J39" s="2">
        <v>200</v>
      </c>
      <c r="K39" t="str">
        <f t="shared" si="1"/>
        <v>Low</v>
      </c>
      <c r="L39" s="12">
        <f t="shared" si="2"/>
        <v>2023</v>
      </c>
      <c r="M39" s="12">
        <f t="shared" si="3"/>
        <v>1</v>
      </c>
      <c r="N39" s="5" t="str">
        <f t="shared" si="4"/>
        <v>Tuesday</v>
      </c>
      <c r="O39" s="5" t="str">
        <f t="shared" si="5"/>
        <v>March</v>
      </c>
    </row>
    <row r="40" spans="1:15" x14ac:dyDescent="0.3">
      <c r="A40" s="8">
        <v>39</v>
      </c>
      <c r="B40" s="25">
        <v>45037</v>
      </c>
      <c r="C40" s="5" t="s">
        <v>47</v>
      </c>
      <c r="D40" s="5" t="s">
        <v>5</v>
      </c>
      <c r="E40" s="12">
        <v>23</v>
      </c>
      <c r="F40" s="2" t="str">
        <f t="shared" si="0"/>
        <v>Young</v>
      </c>
      <c r="G40" s="5" t="s">
        <v>9</v>
      </c>
      <c r="H40" s="8">
        <v>4</v>
      </c>
      <c r="I40" s="2">
        <v>30</v>
      </c>
      <c r="J40" s="2">
        <v>120</v>
      </c>
      <c r="K40" t="str">
        <f t="shared" si="1"/>
        <v>Low</v>
      </c>
      <c r="L40" s="12">
        <f t="shared" si="2"/>
        <v>2023</v>
      </c>
      <c r="M40" s="12">
        <f t="shared" si="3"/>
        <v>2</v>
      </c>
      <c r="N40" s="5" t="str">
        <f t="shared" si="4"/>
        <v>Friday</v>
      </c>
      <c r="O40" s="5" t="str">
        <f t="shared" si="5"/>
        <v>April</v>
      </c>
    </row>
    <row r="41" spans="1:15" x14ac:dyDescent="0.3">
      <c r="A41" s="8">
        <v>40</v>
      </c>
      <c r="B41" s="25">
        <v>45099</v>
      </c>
      <c r="C41" s="5" t="s">
        <v>48</v>
      </c>
      <c r="D41" s="5" t="s">
        <v>5</v>
      </c>
      <c r="E41" s="12">
        <v>45</v>
      </c>
      <c r="F41" s="2" t="str">
        <f t="shared" si="0"/>
        <v>Adult</v>
      </c>
      <c r="G41" s="5" t="s">
        <v>6</v>
      </c>
      <c r="H41" s="8">
        <v>1</v>
      </c>
      <c r="I41" s="2">
        <v>50</v>
      </c>
      <c r="J41" s="2">
        <v>50</v>
      </c>
      <c r="K41" t="str">
        <f t="shared" si="1"/>
        <v>Low</v>
      </c>
      <c r="L41" s="12">
        <f t="shared" si="2"/>
        <v>2023</v>
      </c>
      <c r="M41" s="12">
        <f t="shared" si="3"/>
        <v>2</v>
      </c>
      <c r="N41" s="5" t="str">
        <f t="shared" si="4"/>
        <v>Thursday</v>
      </c>
      <c r="O41" s="5" t="str">
        <f t="shared" si="5"/>
        <v>June</v>
      </c>
    </row>
    <row r="42" spans="1:15" x14ac:dyDescent="0.3">
      <c r="A42" s="8">
        <v>41</v>
      </c>
      <c r="B42" s="25">
        <v>44979</v>
      </c>
      <c r="C42" s="5" t="s">
        <v>49</v>
      </c>
      <c r="D42" s="5" t="s">
        <v>5</v>
      </c>
      <c r="E42" s="12">
        <v>34</v>
      </c>
      <c r="F42" s="2" t="str">
        <f t="shared" si="0"/>
        <v>Adult</v>
      </c>
      <c r="G42" s="5" t="s">
        <v>9</v>
      </c>
      <c r="H42" s="8">
        <v>2</v>
      </c>
      <c r="I42" s="2">
        <v>25</v>
      </c>
      <c r="J42" s="2">
        <v>50</v>
      </c>
      <c r="K42" t="str">
        <f t="shared" si="1"/>
        <v>Low</v>
      </c>
      <c r="L42" s="12">
        <f t="shared" si="2"/>
        <v>2023</v>
      </c>
      <c r="M42" s="12">
        <f t="shared" si="3"/>
        <v>1</v>
      </c>
      <c r="N42" s="5" t="str">
        <f t="shared" si="4"/>
        <v>Wednesday</v>
      </c>
      <c r="O42" s="5" t="str">
        <f t="shared" si="5"/>
        <v>February</v>
      </c>
    </row>
    <row r="43" spans="1:15" x14ac:dyDescent="0.3">
      <c r="A43" s="8">
        <v>42</v>
      </c>
      <c r="B43" s="25">
        <v>44974</v>
      </c>
      <c r="C43" s="5" t="s">
        <v>50</v>
      </c>
      <c r="D43" s="5" t="s">
        <v>5</v>
      </c>
      <c r="E43" s="12">
        <v>22</v>
      </c>
      <c r="F43" s="2" t="str">
        <f t="shared" si="0"/>
        <v>Young</v>
      </c>
      <c r="G43" s="5" t="s">
        <v>9</v>
      </c>
      <c r="H43" s="8">
        <v>3</v>
      </c>
      <c r="I43" s="2">
        <v>300</v>
      </c>
      <c r="J43" s="2">
        <v>900</v>
      </c>
      <c r="K43" t="str">
        <f t="shared" si="1"/>
        <v>Medium</v>
      </c>
      <c r="L43" s="12">
        <f t="shared" si="2"/>
        <v>2023</v>
      </c>
      <c r="M43" s="12">
        <f t="shared" si="3"/>
        <v>1</v>
      </c>
      <c r="N43" s="5" t="str">
        <f t="shared" si="4"/>
        <v>Friday</v>
      </c>
      <c r="O43" s="5" t="str">
        <f t="shared" si="5"/>
        <v>February</v>
      </c>
    </row>
    <row r="44" spans="1:15" x14ac:dyDescent="0.3">
      <c r="A44" s="8">
        <v>43</v>
      </c>
      <c r="B44" s="25">
        <v>45121</v>
      </c>
      <c r="C44" s="5" t="s">
        <v>51</v>
      </c>
      <c r="D44" s="5" t="s">
        <v>8</v>
      </c>
      <c r="E44" s="12">
        <v>48</v>
      </c>
      <c r="F44" s="2" t="str">
        <f t="shared" si="0"/>
        <v>Adult</v>
      </c>
      <c r="G44" s="5" t="s">
        <v>9</v>
      </c>
      <c r="H44" s="8">
        <v>1</v>
      </c>
      <c r="I44" s="2">
        <v>300</v>
      </c>
      <c r="J44" s="2">
        <v>300</v>
      </c>
      <c r="K44" t="str">
        <f t="shared" si="1"/>
        <v>Low</v>
      </c>
      <c r="L44" s="12">
        <f t="shared" si="2"/>
        <v>2023</v>
      </c>
      <c r="M44" s="12">
        <f t="shared" si="3"/>
        <v>3</v>
      </c>
      <c r="N44" s="5" t="str">
        <f t="shared" si="4"/>
        <v>Friday</v>
      </c>
      <c r="O44" s="5" t="str">
        <f t="shared" si="5"/>
        <v>July</v>
      </c>
    </row>
    <row r="45" spans="1:15" x14ac:dyDescent="0.3">
      <c r="A45" s="8">
        <v>44</v>
      </c>
      <c r="B45" s="25">
        <v>44976</v>
      </c>
      <c r="C45" s="5" t="s">
        <v>52</v>
      </c>
      <c r="D45" s="5" t="s">
        <v>8</v>
      </c>
      <c r="E45" s="12">
        <v>22</v>
      </c>
      <c r="F45" s="2" t="str">
        <f t="shared" si="0"/>
        <v>Young</v>
      </c>
      <c r="G45" s="5" t="s">
        <v>9</v>
      </c>
      <c r="H45" s="8">
        <v>1</v>
      </c>
      <c r="I45" s="2">
        <v>25</v>
      </c>
      <c r="J45" s="2">
        <v>25</v>
      </c>
      <c r="K45" t="str">
        <f t="shared" si="1"/>
        <v>Low</v>
      </c>
      <c r="L45" s="12">
        <f t="shared" si="2"/>
        <v>2023</v>
      </c>
      <c r="M45" s="12">
        <f t="shared" si="3"/>
        <v>1</v>
      </c>
      <c r="N45" s="5" t="str">
        <f t="shared" si="4"/>
        <v>Sunday</v>
      </c>
      <c r="O45" s="5" t="str">
        <f t="shared" si="5"/>
        <v>February</v>
      </c>
    </row>
    <row r="46" spans="1:15" x14ac:dyDescent="0.3">
      <c r="A46" s="8">
        <v>45</v>
      </c>
      <c r="B46" s="25">
        <v>45110</v>
      </c>
      <c r="C46" s="5" t="s">
        <v>53</v>
      </c>
      <c r="D46" s="5" t="s">
        <v>8</v>
      </c>
      <c r="E46" s="12">
        <v>55</v>
      </c>
      <c r="F46" s="2" t="str">
        <f t="shared" si="0"/>
        <v>Adult</v>
      </c>
      <c r="G46" s="5" t="s">
        <v>11</v>
      </c>
      <c r="H46" s="8">
        <v>1</v>
      </c>
      <c r="I46" s="2">
        <v>30</v>
      </c>
      <c r="J46" s="2">
        <v>30</v>
      </c>
      <c r="K46" t="str">
        <f t="shared" si="1"/>
        <v>Low</v>
      </c>
      <c r="L46" s="12">
        <f t="shared" si="2"/>
        <v>2023</v>
      </c>
      <c r="M46" s="12">
        <f t="shared" si="3"/>
        <v>3</v>
      </c>
      <c r="N46" s="5" t="str">
        <f t="shared" si="4"/>
        <v>Monday</v>
      </c>
      <c r="O46" s="5" t="str">
        <f t="shared" si="5"/>
        <v>July</v>
      </c>
    </row>
    <row r="47" spans="1:15" x14ac:dyDescent="0.3">
      <c r="A47" s="8">
        <v>46</v>
      </c>
      <c r="B47" s="25">
        <v>45103</v>
      </c>
      <c r="C47" s="5" t="s">
        <v>54</v>
      </c>
      <c r="D47" s="5" t="s">
        <v>8</v>
      </c>
      <c r="E47" s="12">
        <v>20</v>
      </c>
      <c r="F47" s="2" t="str">
        <f t="shared" si="0"/>
        <v>Young</v>
      </c>
      <c r="G47" s="5" t="s">
        <v>11</v>
      </c>
      <c r="H47" s="8">
        <v>4</v>
      </c>
      <c r="I47" s="2">
        <v>300</v>
      </c>
      <c r="J47" s="2">
        <v>1200</v>
      </c>
      <c r="K47" t="str">
        <f t="shared" si="1"/>
        <v>Medium</v>
      </c>
      <c r="L47" s="12">
        <f t="shared" si="2"/>
        <v>2023</v>
      </c>
      <c r="M47" s="12">
        <f t="shared" si="3"/>
        <v>2</v>
      </c>
      <c r="N47" s="5" t="str">
        <f t="shared" si="4"/>
        <v>Monday</v>
      </c>
      <c r="O47" s="5" t="str">
        <f t="shared" si="5"/>
        <v>June</v>
      </c>
    </row>
    <row r="48" spans="1:15" x14ac:dyDescent="0.3">
      <c r="A48" s="8">
        <v>47</v>
      </c>
      <c r="B48" s="25">
        <v>45236</v>
      </c>
      <c r="C48" s="5" t="s">
        <v>55</v>
      </c>
      <c r="D48" s="5" t="s">
        <v>8</v>
      </c>
      <c r="E48" s="12">
        <v>40</v>
      </c>
      <c r="F48" s="2" t="str">
        <f t="shared" si="0"/>
        <v>Adult</v>
      </c>
      <c r="G48" s="5" t="s">
        <v>6</v>
      </c>
      <c r="H48" s="8">
        <v>3</v>
      </c>
      <c r="I48" s="2">
        <v>500</v>
      </c>
      <c r="J48" s="2">
        <v>1500</v>
      </c>
      <c r="K48" t="str">
        <f t="shared" si="1"/>
        <v>Medium</v>
      </c>
      <c r="L48" s="12">
        <f t="shared" si="2"/>
        <v>2023</v>
      </c>
      <c r="M48" s="12">
        <f t="shared" si="3"/>
        <v>4</v>
      </c>
      <c r="N48" s="5" t="str">
        <f t="shared" si="4"/>
        <v>Monday</v>
      </c>
      <c r="O48" s="5" t="str">
        <f t="shared" si="5"/>
        <v>November</v>
      </c>
    </row>
    <row r="49" spans="1:15" x14ac:dyDescent="0.3">
      <c r="A49" s="8">
        <v>48</v>
      </c>
      <c r="B49" s="25">
        <v>45062</v>
      </c>
      <c r="C49" s="5" t="s">
        <v>56</v>
      </c>
      <c r="D49" s="5" t="s">
        <v>5</v>
      </c>
      <c r="E49" s="12">
        <v>54</v>
      </c>
      <c r="F49" s="2" t="str">
        <f t="shared" si="0"/>
        <v>Adult</v>
      </c>
      <c r="G49" s="5" t="s">
        <v>11</v>
      </c>
      <c r="H49" s="8">
        <v>3</v>
      </c>
      <c r="I49" s="2">
        <v>300</v>
      </c>
      <c r="J49" s="2">
        <v>900</v>
      </c>
      <c r="K49" t="str">
        <f t="shared" si="1"/>
        <v>Medium</v>
      </c>
      <c r="L49" s="12">
        <f t="shared" si="2"/>
        <v>2023</v>
      </c>
      <c r="M49" s="12">
        <f t="shared" si="3"/>
        <v>2</v>
      </c>
      <c r="N49" s="5" t="str">
        <f t="shared" si="4"/>
        <v>Tuesday</v>
      </c>
      <c r="O49" s="5" t="str">
        <f t="shared" si="5"/>
        <v>May</v>
      </c>
    </row>
    <row r="50" spans="1:15" x14ac:dyDescent="0.3">
      <c r="A50" s="8">
        <v>49</v>
      </c>
      <c r="B50" s="25">
        <v>44949</v>
      </c>
      <c r="C50" s="5" t="s">
        <v>57</v>
      </c>
      <c r="D50" s="5" t="s">
        <v>8</v>
      </c>
      <c r="E50" s="12">
        <v>54</v>
      </c>
      <c r="F50" s="2" t="str">
        <f t="shared" si="0"/>
        <v>Adult</v>
      </c>
      <c r="G50" s="5" t="s">
        <v>11</v>
      </c>
      <c r="H50" s="8">
        <v>2</v>
      </c>
      <c r="I50" s="2">
        <v>500</v>
      </c>
      <c r="J50" s="2">
        <v>1000</v>
      </c>
      <c r="K50" t="str">
        <f t="shared" si="1"/>
        <v>Medium</v>
      </c>
      <c r="L50" s="12">
        <f t="shared" si="2"/>
        <v>2023</v>
      </c>
      <c r="M50" s="12">
        <f t="shared" si="3"/>
        <v>1</v>
      </c>
      <c r="N50" s="5" t="str">
        <f t="shared" si="4"/>
        <v>Monday</v>
      </c>
      <c r="O50" s="5" t="str">
        <f t="shared" si="5"/>
        <v>January</v>
      </c>
    </row>
    <row r="51" spans="1:15" x14ac:dyDescent="0.3">
      <c r="A51" s="8">
        <v>50</v>
      </c>
      <c r="B51" s="25">
        <v>45162</v>
      </c>
      <c r="C51" s="5" t="s">
        <v>58</v>
      </c>
      <c r="D51" s="5" t="s">
        <v>8</v>
      </c>
      <c r="E51" s="12">
        <v>27</v>
      </c>
      <c r="F51" s="2" t="str">
        <f t="shared" si="0"/>
        <v>Young</v>
      </c>
      <c r="G51" s="5" t="s">
        <v>6</v>
      </c>
      <c r="H51" s="8">
        <v>3</v>
      </c>
      <c r="I51" s="2">
        <v>25</v>
      </c>
      <c r="J51" s="2">
        <v>75</v>
      </c>
      <c r="K51" t="str">
        <f t="shared" si="1"/>
        <v>Low</v>
      </c>
      <c r="L51" s="12">
        <f t="shared" si="2"/>
        <v>2023</v>
      </c>
      <c r="M51" s="12">
        <f t="shared" si="3"/>
        <v>3</v>
      </c>
      <c r="N51" s="5" t="str">
        <f t="shared" si="4"/>
        <v>Thursday</v>
      </c>
      <c r="O51" s="5" t="str">
        <f t="shared" si="5"/>
        <v>August</v>
      </c>
    </row>
    <row r="52" spans="1:15" x14ac:dyDescent="0.3">
      <c r="A52" s="8">
        <v>51</v>
      </c>
      <c r="B52" s="25">
        <v>45201</v>
      </c>
      <c r="C52" s="5" t="s">
        <v>59</v>
      </c>
      <c r="D52" s="5" t="s">
        <v>5</v>
      </c>
      <c r="E52" s="12">
        <v>27</v>
      </c>
      <c r="F52" s="2" t="str">
        <f t="shared" si="0"/>
        <v>Young</v>
      </c>
      <c r="G52" s="5" t="s">
        <v>6</v>
      </c>
      <c r="H52" s="8">
        <v>3</v>
      </c>
      <c r="I52" s="2">
        <v>25</v>
      </c>
      <c r="J52" s="2">
        <v>75</v>
      </c>
      <c r="K52" t="str">
        <f t="shared" si="1"/>
        <v>Low</v>
      </c>
      <c r="L52" s="12">
        <f t="shared" si="2"/>
        <v>2023</v>
      </c>
      <c r="M52" s="12">
        <f t="shared" si="3"/>
        <v>4</v>
      </c>
      <c r="N52" s="5" t="str">
        <f t="shared" si="4"/>
        <v>Monday</v>
      </c>
      <c r="O52" s="5" t="str">
        <f t="shared" si="5"/>
        <v>October</v>
      </c>
    </row>
    <row r="53" spans="1:15" x14ac:dyDescent="0.3">
      <c r="A53" s="8">
        <v>52</v>
      </c>
      <c r="B53" s="25">
        <v>44990</v>
      </c>
      <c r="C53" s="5" t="s">
        <v>60</v>
      </c>
      <c r="D53" s="5" t="s">
        <v>8</v>
      </c>
      <c r="E53" s="12">
        <v>36</v>
      </c>
      <c r="F53" s="2" t="str">
        <f t="shared" si="0"/>
        <v>Adult</v>
      </c>
      <c r="G53" s="5" t="s">
        <v>6</v>
      </c>
      <c r="H53" s="8">
        <v>1</v>
      </c>
      <c r="I53" s="2">
        <v>300</v>
      </c>
      <c r="J53" s="2">
        <v>300</v>
      </c>
      <c r="K53" t="str">
        <f t="shared" si="1"/>
        <v>Low</v>
      </c>
      <c r="L53" s="12">
        <f t="shared" si="2"/>
        <v>2023</v>
      </c>
      <c r="M53" s="12">
        <f t="shared" si="3"/>
        <v>1</v>
      </c>
      <c r="N53" s="5" t="str">
        <f t="shared" si="4"/>
        <v>Sunday</v>
      </c>
      <c r="O53" s="5" t="str">
        <f t="shared" si="5"/>
        <v>March</v>
      </c>
    </row>
    <row r="54" spans="1:15" x14ac:dyDescent="0.3">
      <c r="A54" s="8">
        <v>53</v>
      </c>
      <c r="B54" s="25">
        <v>45120</v>
      </c>
      <c r="C54" s="5" t="s">
        <v>61</v>
      </c>
      <c r="D54" s="5" t="s">
        <v>5</v>
      </c>
      <c r="E54" s="12">
        <v>34</v>
      </c>
      <c r="F54" s="2" t="str">
        <f t="shared" si="0"/>
        <v>Adult</v>
      </c>
      <c r="G54" s="5" t="s">
        <v>11</v>
      </c>
      <c r="H54" s="8">
        <v>2</v>
      </c>
      <c r="I54" s="2">
        <v>50</v>
      </c>
      <c r="J54" s="2">
        <v>100</v>
      </c>
      <c r="K54" t="str">
        <f t="shared" si="1"/>
        <v>Low</v>
      </c>
      <c r="L54" s="12">
        <f t="shared" si="2"/>
        <v>2023</v>
      </c>
      <c r="M54" s="12">
        <f t="shared" si="3"/>
        <v>3</v>
      </c>
      <c r="N54" s="5" t="str">
        <f t="shared" si="4"/>
        <v>Thursday</v>
      </c>
      <c r="O54" s="5" t="str">
        <f t="shared" si="5"/>
        <v>July</v>
      </c>
    </row>
    <row r="55" spans="1:15" x14ac:dyDescent="0.3">
      <c r="A55" s="8">
        <v>54</v>
      </c>
      <c r="B55" s="25">
        <v>44967</v>
      </c>
      <c r="C55" s="5" t="s">
        <v>62</v>
      </c>
      <c r="D55" s="5" t="s">
        <v>8</v>
      </c>
      <c r="E55" s="12">
        <v>38</v>
      </c>
      <c r="F55" s="2" t="str">
        <f t="shared" si="0"/>
        <v>Adult</v>
      </c>
      <c r="G55" s="5" t="s">
        <v>11</v>
      </c>
      <c r="H55" s="8">
        <v>3</v>
      </c>
      <c r="I55" s="2">
        <v>500</v>
      </c>
      <c r="J55" s="2">
        <v>1500</v>
      </c>
      <c r="K55" t="str">
        <f t="shared" si="1"/>
        <v>Medium</v>
      </c>
      <c r="L55" s="12">
        <f t="shared" si="2"/>
        <v>2023</v>
      </c>
      <c r="M55" s="12">
        <f t="shared" si="3"/>
        <v>1</v>
      </c>
      <c r="N55" s="5" t="str">
        <f t="shared" si="4"/>
        <v>Friday</v>
      </c>
      <c r="O55" s="5" t="str">
        <f t="shared" si="5"/>
        <v>February</v>
      </c>
    </row>
    <row r="56" spans="1:15" x14ac:dyDescent="0.3">
      <c r="A56" s="8">
        <v>55</v>
      </c>
      <c r="B56" s="25">
        <v>45209</v>
      </c>
      <c r="C56" s="5" t="s">
        <v>63</v>
      </c>
      <c r="D56" s="5" t="s">
        <v>5</v>
      </c>
      <c r="E56" s="12">
        <v>31</v>
      </c>
      <c r="F56" s="2" t="str">
        <f t="shared" si="0"/>
        <v>Adult</v>
      </c>
      <c r="G56" s="5" t="s">
        <v>6</v>
      </c>
      <c r="H56" s="8">
        <v>4</v>
      </c>
      <c r="I56" s="2">
        <v>30</v>
      </c>
      <c r="J56" s="2">
        <v>120</v>
      </c>
      <c r="K56" t="str">
        <f t="shared" si="1"/>
        <v>Low</v>
      </c>
      <c r="L56" s="12">
        <f t="shared" si="2"/>
        <v>2023</v>
      </c>
      <c r="M56" s="12">
        <f t="shared" si="3"/>
        <v>4</v>
      </c>
      <c r="N56" s="5" t="str">
        <f t="shared" si="4"/>
        <v>Tuesday</v>
      </c>
      <c r="O56" s="5" t="str">
        <f t="shared" si="5"/>
        <v>October</v>
      </c>
    </row>
    <row r="57" spans="1:15" x14ac:dyDescent="0.3">
      <c r="A57" s="8">
        <v>56</v>
      </c>
      <c r="B57" s="25">
        <v>45077</v>
      </c>
      <c r="C57" s="5" t="s">
        <v>64</v>
      </c>
      <c r="D57" s="5" t="s">
        <v>8</v>
      </c>
      <c r="E57" s="12">
        <v>26</v>
      </c>
      <c r="F57" s="2" t="str">
        <f t="shared" si="0"/>
        <v>Young</v>
      </c>
      <c r="G57" s="5" t="s">
        <v>9</v>
      </c>
      <c r="H57" s="8">
        <v>3</v>
      </c>
      <c r="I57" s="2">
        <v>300</v>
      </c>
      <c r="J57" s="2">
        <v>900</v>
      </c>
      <c r="K57" t="str">
        <f t="shared" si="1"/>
        <v>Medium</v>
      </c>
      <c r="L57" s="12">
        <f t="shared" si="2"/>
        <v>2023</v>
      </c>
      <c r="M57" s="12">
        <f t="shared" si="3"/>
        <v>2</v>
      </c>
      <c r="N57" s="5" t="str">
        <f t="shared" si="4"/>
        <v>Wednesday</v>
      </c>
      <c r="O57" s="5" t="str">
        <f t="shared" si="5"/>
        <v>May</v>
      </c>
    </row>
    <row r="58" spans="1:15" x14ac:dyDescent="0.3">
      <c r="A58" s="8">
        <v>57</v>
      </c>
      <c r="B58" s="25">
        <v>45248</v>
      </c>
      <c r="C58" s="5" t="s">
        <v>65</v>
      </c>
      <c r="D58" s="5" t="s">
        <v>8</v>
      </c>
      <c r="E58" s="12">
        <v>63</v>
      </c>
      <c r="F58" s="2" t="str">
        <f t="shared" si="0"/>
        <v>Senior</v>
      </c>
      <c r="G58" s="5" t="s">
        <v>6</v>
      </c>
      <c r="H58" s="8">
        <v>1</v>
      </c>
      <c r="I58" s="2">
        <v>30</v>
      </c>
      <c r="J58" s="2">
        <v>30</v>
      </c>
      <c r="K58" t="str">
        <f t="shared" si="1"/>
        <v>Low</v>
      </c>
      <c r="L58" s="12">
        <f t="shared" si="2"/>
        <v>2023</v>
      </c>
      <c r="M58" s="12">
        <f t="shared" si="3"/>
        <v>4</v>
      </c>
      <c r="N58" s="5" t="str">
        <f t="shared" si="4"/>
        <v>Saturday</v>
      </c>
      <c r="O58" s="5" t="str">
        <f t="shared" si="5"/>
        <v>November</v>
      </c>
    </row>
    <row r="59" spans="1:15" x14ac:dyDescent="0.3">
      <c r="A59" s="8">
        <v>58</v>
      </c>
      <c r="B59" s="25">
        <v>45243</v>
      </c>
      <c r="C59" s="5" t="s">
        <v>66</v>
      </c>
      <c r="D59" s="5" t="s">
        <v>5</v>
      </c>
      <c r="E59" s="12">
        <v>18</v>
      </c>
      <c r="F59" s="2" t="str">
        <f t="shared" si="0"/>
        <v>Young</v>
      </c>
      <c r="G59" s="5" t="s">
        <v>9</v>
      </c>
      <c r="H59" s="8">
        <v>4</v>
      </c>
      <c r="I59" s="2">
        <v>300</v>
      </c>
      <c r="J59" s="2">
        <v>1200</v>
      </c>
      <c r="K59" t="str">
        <f t="shared" si="1"/>
        <v>Medium</v>
      </c>
      <c r="L59" s="12">
        <f t="shared" si="2"/>
        <v>2023</v>
      </c>
      <c r="M59" s="12">
        <f t="shared" si="3"/>
        <v>4</v>
      </c>
      <c r="N59" s="5" t="str">
        <f t="shared" si="4"/>
        <v>Monday</v>
      </c>
      <c r="O59" s="5" t="str">
        <f t="shared" si="5"/>
        <v>November</v>
      </c>
    </row>
    <row r="60" spans="1:15" x14ac:dyDescent="0.3">
      <c r="A60" s="8">
        <v>59</v>
      </c>
      <c r="B60" s="25">
        <v>45112</v>
      </c>
      <c r="C60" s="5" t="s">
        <v>67</v>
      </c>
      <c r="D60" s="5" t="s">
        <v>5</v>
      </c>
      <c r="E60" s="12">
        <v>62</v>
      </c>
      <c r="F60" s="2" t="str">
        <f t="shared" si="0"/>
        <v>Senior</v>
      </c>
      <c r="G60" s="5" t="s">
        <v>9</v>
      </c>
      <c r="H60" s="8">
        <v>1</v>
      </c>
      <c r="I60" s="2">
        <v>50</v>
      </c>
      <c r="J60" s="2">
        <v>50</v>
      </c>
      <c r="K60" t="str">
        <f t="shared" si="1"/>
        <v>Low</v>
      </c>
      <c r="L60" s="12">
        <f t="shared" si="2"/>
        <v>2023</v>
      </c>
      <c r="M60" s="12">
        <f t="shared" si="3"/>
        <v>3</v>
      </c>
      <c r="N60" s="5" t="str">
        <f t="shared" si="4"/>
        <v>Wednesday</v>
      </c>
      <c r="O60" s="5" t="str">
        <f t="shared" si="5"/>
        <v>July</v>
      </c>
    </row>
    <row r="61" spans="1:15" x14ac:dyDescent="0.3">
      <c r="A61" s="8">
        <v>60</v>
      </c>
      <c r="B61" s="25">
        <v>45222</v>
      </c>
      <c r="C61" s="5" t="s">
        <v>68</v>
      </c>
      <c r="D61" s="5" t="s">
        <v>5</v>
      </c>
      <c r="E61" s="12">
        <v>30</v>
      </c>
      <c r="F61" s="2" t="str">
        <f t="shared" si="0"/>
        <v>Young</v>
      </c>
      <c r="G61" s="5" t="s">
        <v>6</v>
      </c>
      <c r="H61" s="8">
        <v>3</v>
      </c>
      <c r="I61" s="2">
        <v>50</v>
      </c>
      <c r="J61" s="2">
        <v>150</v>
      </c>
      <c r="K61" t="str">
        <f t="shared" si="1"/>
        <v>Low</v>
      </c>
      <c r="L61" s="12">
        <f t="shared" si="2"/>
        <v>2023</v>
      </c>
      <c r="M61" s="12">
        <f t="shared" si="3"/>
        <v>4</v>
      </c>
      <c r="N61" s="5" t="str">
        <f t="shared" si="4"/>
        <v>Monday</v>
      </c>
      <c r="O61" s="5" t="str">
        <f t="shared" si="5"/>
        <v>October</v>
      </c>
    </row>
    <row r="62" spans="1:15" x14ac:dyDescent="0.3">
      <c r="A62" s="8">
        <v>61</v>
      </c>
      <c r="B62" s="25">
        <v>45025</v>
      </c>
      <c r="C62" s="5" t="s">
        <v>69</v>
      </c>
      <c r="D62" s="5" t="s">
        <v>5</v>
      </c>
      <c r="E62" s="12">
        <v>21</v>
      </c>
      <c r="F62" s="2" t="str">
        <f t="shared" si="0"/>
        <v>Young</v>
      </c>
      <c r="G62" s="5" t="s">
        <v>6</v>
      </c>
      <c r="H62" s="8">
        <v>4</v>
      </c>
      <c r="I62" s="2">
        <v>50</v>
      </c>
      <c r="J62" s="2">
        <v>200</v>
      </c>
      <c r="K62" t="str">
        <f t="shared" si="1"/>
        <v>Low</v>
      </c>
      <c r="L62" s="12">
        <f t="shared" si="2"/>
        <v>2023</v>
      </c>
      <c r="M62" s="12">
        <f t="shared" si="3"/>
        <v>2</v>
      </c>
      <c r="N62" s="5" t="str">
        <f t="shared" si="4"/>
        <v>Sunday</v>
      </c>
      <c r="O62" s="5" t="str">
        <f t="shared" si="5"/>
        <v>April</v>
      </c>
    </row>
    <row r="63" spans="1:15" x14ac:dyDescent="0.3">
      <c r="A63" s="8">
        <v>62</v>
      </c>
      <c r="B63" s="25">
        <v>45287</v>
      </c>
      <c r="C63" s="5" t="s">
        <v>70</v>
      </c>
      <c r="D63" s="5" t="s">
        <v>5</v>
      </c>
      <c r="E63" s="12">
        <v>18</v>
      </c>
      <c r="F63" s="2" t="str">
        <f t="shared" si="0"/>
        <v>Young</v>
      </c>
      <c r="G63" s="5" t="s">
        <v>6</v>
      </c>
      <c r="H63" s="8">
        <v>2</v>
      </c>
      <c r="I63" s="2">
        <v>50</v>
      </c>
      <c r="J63" s="2">
        <v>100</v>
      </c>
      <c r="K63" t="str">
        <f t="shared" si="1"/>
        <v>Low</v>
      </c>
      <c r="L63" s="12">
        <f t="shared" si="2"/>
        <v>2023</v>
      </c>
      <c r="M63" s="12">
        <f t="shared" si="3"/>
        <v>4</v>
      </c>
      <c r="N63" s="5" t="str">
        <f t="shared" si="4"/>
        <v>Wednesday</v>
      </c>
      <c r="O63" s="5" t="str">
        <f t="shared" si="5"/>
        <v>December</v>
      </c>
    </row>
    <row r="64" spans="1:15" x14ac:dyDescent="0.3">
      <c r="A64" s="8">
        <v>63</v>
      </c>
      <c r="B64" s="25">
        <v>44962</v>
      </c>
      <c r="C64" s="5" t="s">
        <v>71</v>
      </c>
      <c r="D64" s="5" t="s">
        <v>5</v>
      </c>
      <c r="E64" s="12">
        <v>57</v>
      </c>
      <c r="F64" s="2" t="str">
        <f t="shared" si="0"/>
        <v>Adult</v>
      </c>
      <c r="G64" s="5" t="s">
        <v>11</v>
      </c>
      <c r="H64" s="8">
        <v>2</v>
      </c>
      <c r="I64" s="2">
        <v>25</v>
      </c>
      <c r="J64" s="2">
        <v>50</v>
      </c>
      <c r="K64" t="str">
        <f t="shared" si="1"/>
        <v>Low</v>
      </c>
      <c r="L64" s="12">
        <f t="shared" si="2"/>
        <v>2023</v>
      </c>
      <c r="M64" s="12">
        <f t="shared" si="3"/>
        <v>1</v>
      </c>
      <c r="N64" s="5" t="str">
        <f t="shared" si="4"/>
        <v>Sunday</v>
      </c>
      <c r="O64" s="5" t="str">
        <f t="shared" si="5"/>
        <v>February</v>
      </c>
    </row>
    <row r="65" spans="1:15" x14ac:dyDescent="0.3">
      <c r="A65" s="8">
        <v>64</v>
      </c>
      <c r="B65" s="25">
        <v>44950</v>
      </c>
      <c r="C65" s="5" t="s">
        <v>72</v>
      </c>
      <c r="D65" s="5" t="s">
        <v>5</v>
      </c>
      <c r="E65" s="12">
        <v>49</v>
      </c>
      <c r="F65" s="2" t="str">
        <f t="shared" si="0"/>
        <v>Adult</v>
      </c>
      <c r="G65" s="5" t="s">
        <v>9</v>
      </c>
      <c r="H65" s="8">
        <v>4</v>
      </c>
      <c r="I65" s="2">
        <v>25</v>
      </c>
      <c r="J65" s="2">
        <v>100</v>
      </c>
      <c r="K65" t="str">
        <f t="shared" si="1"/>
        <v>Low</v>
      </c>
      <c r="L65" s="12">
        <f t="shared" si="2"/>
        <v>2023</v>
      </c>
      <c r="M65" s="12">
        <f t="shared" si="3"/>
        <v>1</v>
      </c>
      <c r="N65" s="5" t="str">
        <f t="shared" si="4"/>
        <v>Tuesday</v>
      </c>
      <c r="O65" s="5" t="str">
        <f t="shared" si="5"/>
        <v>January</v>
      </c>
    </row>
    <row r="66" spans="1:15" x14ac:dyDescent="0.3">
      <c r="A66" s="8">
        <v>65</v>
      </c>
      <c r="B66" s="25">
        <v>45265</v>
      </c>
      <c r="C66" s="5" t="s">
        <v>73</v>
      </c>
      <c r="D66" s="5" t="s">
        <v>5</v>
      </c>
      <c r="E66" s="12">
        <v>51</v>
      </c>
      <c r="F66" s="2" t="str">
        <f t="shared" si="0"/>
        <v>Adult</v>
      </c>
      <c r="G66" s="5" t="s">
        <v>11</v>
      </c>
      <c r="H66" s="8">
        <v>4</v>
      </c>
      <c r="I66" s="2">
        <v>500</v>
      </c>
      <c r="J66" s="2">
        <v>2000</v>
      </c>
      <c r="K66" t="str">
        <f t="shared" si="1"/>
        <v>High</v>
      </c>
      <c r="L66" s="12">
        <f t="shared" si="2"/>
        <v>2023</v>
      </c>
      <c r="M66" s="12">
        <f t="shared" si="3"/>
        <v>4</v>
      </c>
      <c r="N66" s="5" t="str">
        <f t="shared" si="4"/>
        <v>Tuesday</v>
      </c>
      <c r="O66" s="5" t="str">
        <f t="shared" si="5"/>
        <v>December</v>
      </c>
    </row>
    <row r="67" spans="1:15" x14ac:dyDescent="0.3">
      <c r="A67" s="8">
        <v>66</v>
      </c>
      <c r="B67" s="25">
        <v>45043</v>
      </c>
      <c r="C67" s="5" t="s">
        <v>74</v>
      </c>
      <c r="D67" s="5" t="s">
        <v>8</v>
      </c>
      <c r="E67" s="12">
        <v>45</v>
      </c>
      <c r="F67" s="2" t="str">
        <f t="shared" ref="F67:F130" si="6">IF(E67&gt;60,"Senior",IF(E67&gt;30,"Adult","Young"))</f>
        <v>Adult</v>
      </c>
      <c r="G67" s="5" t="s">
        <v>11</v>
      </c>
      <c r="H67" s="8">
        <v>1</v>
      </c>
      <c r="I67" s="2">
        <v>30</v>
      </c>
      <c r="J67" s="2">
        <v>30</v>
      </c>
      <c r="K67" t="str">
        <f t="shared" ref="K67:K130" si="7">IF(J67&gt;1500,"High",IF(J67&gt;500,"Medium","Low"))</f>
        <v>Low</v>
      </c>
      <c r="L67" s="12">
        <f t="shared" ref="L67:L130" si="8">YEAR(B67)</f>
        <v>2023</v>
      </c>
      <c r="M67" s="12">
        <f t="shared" ref="M67:M130" si="9">ROUNDUP(MONTH(B67)/3,0)</f>
        <v>2</v>
      </c>
      <c r="N67" s="5" t="str">
        <f t="shared" ref="N67:N130" si="10">TEXT(B67,"dddd")</f>
        <v>Thursday</v>
      </c>
      <c r="O67" s="5" t="str">
        <f t="shared" ref="O67:O130" si="11">TEXT(B67,"mmmm")</f>
        <v>April</v>
      </c>
    </row>
    <row r="68" spans="1:15" x14ac:dyDescent="0.3">
      <c r="A68" s="8">
        <v>67</v>
      </c>
      <c r="B68" s="25">
        <v>45075</v>
      </c>
      <c r="C68" s="5" t="s">
        <v>75</v>
      </c>
      <c r="D68" s="5" t="s">
        <v>8</v>
      </c>
      <c r="E68" s="12">
        <v>48</v>
      </c>
      <c r="F68" s="2" t="str">
        <f t="shared" si="6"/>
        <v>Adult</v>
      </c>
      <c r="G68" s="5" t="s">
        <v>6</v>
      </c>
      <c r="H68" s="8">
        <v>4</v>
      </c>
      <c r="I68" s="2">
        <v>300</v>
      </c>
      <c r="J68" s="2">
        <v>1200</v>
      </c>
      <c r="K68" t="str">
        <f t="shared" si="7"/>
        <v>Medium</v>
      </c>
      <c r="L68" s="12">
        <f t="shared" si="8"/>
        <v>2023</v>
      </c>
      <c r="M68" s="12">
        <f t="shared" si="9"/>
        <v>2</v>
      </c>
      <c r="N68" s="5" t="str">
        <f t="shared" si="10"/>
        <v>Monday</v>
      </c>
      <c r="O68" s="5" t="str">
        <f t="shared" si="11"/>
        <v>May</v>
      </c>
    </row>
    <row r="69" spans="1:15" x14ac:dyDescent="0.3">
      <c r="A69" s="8">
        <v>68</v>
      </c>
      <c r="B69" s="25">
        <v>44967</v>
      </c>
      <c r="C69" s="5" t="s">
        <v>76</v>
      </c>
      <c r="D69" s="5" t="s">
        <v>5</v>
      </c>
      <c r="E69" s="12">
        <v>25</v>
      </c>
      <c r="F69" s="2" t="str">
        <f t="shared" si="6"/>
        <v>Young</v>
      </c>
      <c r="G69" s="5" t="s">
        <v>11</v>
      </c>
      <c r="H69" s="8">
        <v>1</v>
      </c>
      <c r="I69" s="2">
        <v>300</v>
      </c>
      <c r="J69" s="2">
        <v>300</v>
      </c>
      <c r="K69" t="str">
        <f t="shared" si="7"/>
        <v>Low</v>
      </c>
      <c r="L69" s="12">
        <f t="shared" si="8"/>
        <v>2023</v>
      </c>
      <c r="M69" s="12">
        <f t="shared" si="9"/>
        <v>1</v>
      </c>
      <c r="N69" s="5" t="str">
        <f t="shared" si="10"/>
        <v>Friday</v>
      </c>
      <c r="O69" s="5" t="str">
        <f t="shared" si="11"/>
        <v>February</v>
      </c>
    </row>
    <row r="70" spans="1:15" x14ac:dyDescent="0.3">
      <c r="A70" s="8">
        <v>69</v>
      </c>
      <c r="B70" s="25">
        <v>45046</v>
      </c>
      <c r="C70" s="5" t="s">
        <v>77</v>
      </c>
      <c r="D70" s="5" t="s">
        <v>8</v>
      </c>
      <c r="E70" s="12">
        <v>56</v>
      </c>
      <c r="F70" s="2" t="str">
        <f t="shared" si="6"/>
        <v>Adult</v>
      </c>
      <c r="G70" s="5" t="s">
        <v>6</v>
      </c>
      <c r="H70" s="8">
        <v>3</v>
      </c>
      <c r="I70" s="2">
        <v>25</v>
      </c>
      <c r="J70" s="2">
        <v>75</v>
      </c>
      <c r="K70" t="str">
        <f t="shared" si="7"/>
        <v>Low</v>
      </c>
      <c r="L70" s="12">
        <f t="shared" si="8"/>
        <v>2023</v>
      </c>
      <c r="M70" s="12">
        <f t="shared" si="9"/>
        <v>2</v>
      </c>
      <c r="N70" s="5" t="str">
        <f t="shared" si="10"/>
        <v>Sunday</v>
      </c>
      <c r="O70" s="5" t="str">
        <f t="shared" si="11"/>
        <v>April</v>
      </c>
    </row>
    <row r="71" spans="1:15" x14ac:dyDescent="0.3">
      <c r="A71" s="8">
        <v>70</v>
      </c>
      <c r="B71" s="25">
        <v>44978</v>
      </c>
      <c r="C71" s="5" t="s">
        <v>78</v>
      </c>
      <c r="D71" s="5" t="s">
        <v>8</v>
      </c>
      <c r="E71" s="12">
        <v>43</v>
      </c>
      <c r="F71" s="2" t="str">
        <f t="shared" si="6"/>
        <v>Adult</v>
      </c>
      <c r="G71" s="5" t="s">
        <v>9</v>
      </c>
      <c r="H71" s="8">
        <v>1</v>
      </c>
      <c r="I71" s="2">
        <v>300</v>
      </c>
      <c r="J71" s="2">
        <v>300</v>
      </c>
      <c r="K71" t="str">
        <f t="shared" si="7"/>
        <v>Low</v>
      </c>
      <c r="L71" s="12">
        <f t="shared" si="8"/>
        <v>2023</v>
      </c>
      <c r="M71" s="12">
        <f t="shared" si="9"/>
        <v>1</v>
      </c>
      <c r="N71" s="5" t="str">
        <f t="shared" si="10"/>
        <v>Tuesday</v>
      </c>
      <c r="O71" s="5" t="str">
        <f t="shared" si="11"/>
        <v>February</v>
      </c>
    </row>
    <row r="72" spans="1:15" x14ac:dyDescent="0.3">
      <c r="A72" s="8">
        <v>71</v>
      </c>
      <c r="B72" s="25">
        <v>45121</v>
      </c>
      <c r="C72" s="5" t="s">
        <v>79</v>
      </c>
      <c r="D72" s="5" t="s">
        <v>8</v>
      </c>
      <c r="E72" s="12">
        <v>51</v>
      </c>
      <c r="F72" s="2" t="str">
        <f t="shared" si="6"/>
        <v>Adult</v>
      </c>
      <c r="G72" s="5" t="s">
        <v>6</v>
      </c>
      <c r="H72" s="8">
        <v>4</v>
      </c>
      <c r="I72" s="2">
        <v>25</v>
      </c>
      <c r="J72" s="2">
        <v>100</v>
      </c>
      <c r="K72" t="str">
        <f t="shared" si="7"/>
        <v>Low</v>
      </c>
      <c r="L72" s="12">
        <f t="shared" si="8"/>
        <v>2023</v>
      </c>
      <c r="M72" s="12">
        <f t="shared" si="9"/>
        <v>3</v>
      </c>
      <c r="N72" s="5" t="str">
        <f t="shared" si="10"/>
        <v>Friday</v>
      </c>
      <c r="O72" s="5" t="str">
        <f t="shared" si="11"/>
        <v>July</v>
      </c>
    </row>
    <row r="73" spans="1:15" x14ac:dyDescent="0.3">
      <c r="A73" s="8">
        <v>72</v>
      </c>
      <c r="B73" s="25">
        <v>45069</v>
      </c>
      <c r="C73" s="5" t="s">
        <v>80</v>
      </c>
      <c r="D73" s="5" t="s">
        <v>8</v>
      </c>
      <c r="E73" s="12">
        <v>20</v>
      </c>
      <c r="F73" s="2" t="str">
        <f t="shared" si="6"/>
        <v>Young</v>
      </c>
      <c r="G73" s="5" t="s">
        <v>11</v>
      </c>
      <c r="H73" s="8">
        <v>4</v>
      </c>
      <c r="I73" s="2">
        <v>500</v>
      </c>
      <c r="J73" s="2">
        <v>2000</v>
      </c>
      <c r="K73" t="str">
        <f t="shared" si="7"/>
        <v>High</v>
      </c>
      <c r="L73" s="12">
        <f t="shared" si="8"/>
        <v>2023</v>
      </c>
      <c r="M73" s="12">
        <f t="shared" si="9"/>
        <v>2</v>
      </c>
      <c r="N73" s="5" t="str">
        <f t="shared" si="10"/>
        <v>Tuesday</v>
      </c>
      <c r="O73" s="5" t="str">
        <f t="shared" si="11"/>
        <v>May</v>
      </c>
    </row>
    <row r="74" spans="1:15" x14ac:dyDescent="0.3">
      <c r="A74" s="8">
        <v>73</v>
      </c>
      <c r="B74" s="25">
        <v>45159</v>
      </c>
      <c r="C74" s="5" t="s">
        <v>81</v>
      </c>
      <c r="D74" s="5" t="s">
        <v>5</v>
      </c>
      <c r="E74" s="12">
        <v>29</v>
      </c>
      <c r="F74" s="2" t="str">
        <f t="shared" si="6"/>
        <v>Young</v>
      </c>
      <c r="G74" s="5" t="s">
        <v>11</v>
      </c>
      <c r="H74" s="8">
        <v>3</v>
      </c>
      <c r="I74" s="2">
        <v>30</v>
      </c>
      <c r="J74" s="2">
        <v>90</v>
      </c>
      <c r="K74" t="str">
        <f t="shared" si="7"/>
        <v>Low</v>
      </c>
      <c r="L74" s="12">
        <f t="shared" si="8"/>
        <v>2023</v>
      </c>
      <c r="M74" s="12">
        <f t="shared" si="9"/>
        <v>3</v>
      </c>
      <c r="N74" s="5" t="str">
        <f t="shared" si="10"/>
        <v>Monday</v>
      </c>
      <c r="O74" s="5" t="str">
        <f t="shared" si="11"/>
        <v>August</v>
      </c>
    </row>
    <row r="75" spans="1:15" x14ac:dyDescent="0.3">
      <c r="A75" s="8">
        <v>74</v>
      </c>
      <c r="B75" s="25">
        <v>45252</v>
      </c>
      <c r="C75" s="5" t="s">
        <v>82</v>
      </c>
      <c r="D75" s="5" t="s">
        <v>8</v>
      </c>
      <c r="E75" s="12">
        <v>18</v>
      </c>
      <c r="F75" s="2" t="str">
        <f t="shared" si="6"/>
        <v>Young</v>
      </c>
      <c r="G75" s="5" t="s">
        <v>6</v>
      </c>
      <c r="H75" s="8">
        <v>4</v>
      </c>
      <c r="I75" s="2">
        <v>500</v>
      </c>
      <c r="J75" s="2">
        <v>2000</v>
      </c>
      <c r="K75" t="str">
        <f t="shared" si="7"/>
        <v>High</v>
      </c>
      <c r="L75" s="12">
        <f t="shared" si="8"/>
        <v>2023</v>
      </c>
      <c r="M75" s="12">
        <f t="shared" si="9"/>
        <v>4</v>
      </c>
      <c r="N75" s="5" t="str">
        <f t="shared" si="10"/>
        <v>Wednesday</v>
      </c>
      <c r="O75" s="5" t="str">
        <f t="shared" si="11"/>
        <v>November</v>
      </c>
    </row>
    <row r="76" spans="1:15" x14ac:dyDescent="0.3">
      <c r="A76" s="8">
        <v>75</v>
      </c>
      <c r="B76" s="25">
        <v>45113</v>
      </c>
      <c r="C76" s="5" t="s">
        <v>83</v>
      </c>
      <c r="D76" s="5" t="s">
        <v>5</v>
      </c>
      <c r="E76" s="12">
        <v>61</v>
      </c>
      <c r="F76" s="2" t="str">
        <f t="shared" si="6"/>
        <v>Senior</v>
      </c>
      <c r="G76" s="5" t="s">
        <v>6</v>
      </c>
      <c r="H76" s="8">
        <v>4</v>
      </c>
      <c r="I76" s="2">
        <v>50</v>
      </c>
      <c r="J76" s="2">
        <v>200</v>
      </c>
      <c r="K76" t="str">
        <f t="shared" si="7"/>
        <v>Low</v>
      </c>
      <c r="L76" s="12">
        <f t="shared" si="8"/>
        <v>2023</v>
      </c>
      <c r="M76" s="12">
        <f t="shared" si="9"/>
        <v>3</v>
      </c>
      <c r="N76" s="5" t="str">
        <f t="shared" si="10"/>
        <v>Thursday</v>
      </c>
      <c r="O76" s="5" t="str">
        <f t="shared" si="11"/>
        <v>July</v>
      </c>
    </row>
    <row r="77" spans="1:15" x14ac:dyDescent="0.3">
      <c r="A77" s="8">
        <v>76</v>
      </c>
      <c r="B77" s="25">
        <v>45010</v>
      </c>
      <c r="C77" s="5" t="s">
        <v>84</v>
      </c>
      <c r="D77" s="5" t="s">
        <v>8</v>
      </c>
      <c r="E77" s="12">
        <v>22</v>
      </c>
      <c r="F77" s="2" t="str">
        <f t="shared" si="6"/>
        <v>Young</v>
      </c>
      <c r="G77" s="5" t="s">
        <v>11</v>
      </c>
      <c r="H77" s="8">
        <v>2</v>
      </c>
      <c r="I77" s="2">
        <v>50</v>
      </c>
      <c r="J77" s="2">
        <v>100</v>
      </c>
      <c r="K77" t="str">
        <f t="shared" si="7"/>
        <v>Low</v>
      </c>
      <c r="L77" s="12">
        <f t="shared" si="8"/>
        <v>2023</v>
      </c>
      <c r="M77" s="12">
        <f t="shared" si="9"/>
        <v>1</v>
      </c>
      <c r="N77" s="5" t="str">
        <f t="shared" si="10"/>
        <v>Saturday</v>
      </c>
      <c r="O77" s="5" t="str">
        <f t="shared" si="11"/>
        <v>March</v>
      </c>
    </row>
    <row r="78" spans="1:15" x14ac:dyDescent="0.3">
      <c r="A78" s="8">
        <v>77</v>
      </c>
      <c r="B78" s="25">
        <v>45116</v>
      </c>
      <c r="C78" s="5" t="s">
        <v>85</v>
      </c>
      <c r="D78" s="5" t="s">
        <v>8</v>
      </c>
      <c r="E78" s="12">
        <v>47</v>
      </c>
      <c r="F78" s="2" t="str">
        <f t="shared" si="6"/>
        <v>Adult</v>
      </c>
      <c r="G78" s="5" t="s">
        <v>9</v>
      </c>
      <c r="H78" s="8">
        <v>2</v>
      </c>
      <c r="I78" s="2">
        <v>50</v>
      </c>
      <c r="J78" s="2">
        <v>100</v>
      </c>
      <c r="K78" t="str">
        <f t="shared" si="7"/>
        <v>Low</v>
      </c>
      <c r="L78" s="12">
        <f t="shared" si="8"/>
        <v>2023</v>
      </c>
      <c r="M78" s="12">
        <f t="shared" si="9"/>
        <v>3</v>
      </c>
      <c r="N78" s="5" t="str">
        <f t="shared" si="10"/>
        <v>Sunday</v>
      </c>
      <c r="O78" s="5" t="str">
        <f t="shared" si="11"/>
        <v>July</v>
      </c>
    </row>
    <row r="79" spans="1:15" x14ac:dyDescent="0.3">
      <c r="A79" s="8">
        <v>78</v>
      </c>
      <c r="B79" s="25">
        <v>45108</v>
      </c>
      <c r="C79" s="5" t="s">
        <v>86</v>
      </c>
      <c r="D79" s="5" t="s">
        <v>8</v>
      </c>
      <c r="E79" s="12">
        <v>47</v>
      </c>
      <c r="F79" s="2" t="str">
        <f t="shared" si="6"/>
        <v>Adult</v>
      </c>
      <c r="G79" s="5" t="s">
        <v>9</v>
      </c>
      <c r="H79" s="8">
        <v>3</v>
      </c>
      <c r="I79" s="2">
        <v>500</v>
      </c>
      <c r="J79" s="2">
        <v>1500</v>
      </c>
      <c r="K79" t="str">
        <f t="shared" si="7"/>
        <v>Medium</v>
      </c>
      <c r="L79" s="12">
        <f t="shared" si="8"/>
        <v>2023</v>
      </c>
      <c r="M79" s="12">
        <f t="shared" si="9"/>
        <v>3</v>
      </c>
      <c r="N79" s="5" t="str">
        <f t="shared" si="10"/>
        <v>Saturday</v>
      </c>
      <c r="O79" s="5" t="str">
        <f t="shared" si="11"/>
        <v>July</v>
      </c>
    </row>
    <row r="80" spans="1:15" x14ac:dyDescent="0.3">
      <c r="A80" s="8">
        <v>79</v>
      </c>
      <c r="B80" s="25">
        <v>45034</v>
      </c>
      <c r="C80" s="5" t="s">
        <v>87</v>
      </c>
      <c r="D80" s="5" t="s">
        <v>5</v>
      </c>
      <c r="E80" s="12">
        <v>34</v>
      </c>
      <c r="F80" s="2" t="str">
        <f t="shared" si="6"/>
        <v>Adult</v>
      </c>
      <c r="G80" s="5" t="s">
        <v>6</v>
      </c>
      <c r="H80" s="8">
        <v>1</v>
      </c>
      <c r="I80" s="2">
        <v>300</v>
      </c>
      <c r="J80" s="2">
        <v>300</v>
      </c>
      <c r="K80" t="str">
        <f t="shared" si="7"/>
        <v>Low</v>
      </c>
      <c r="L80" s="12">
        <f t="shared" si="8"/>
        <v>2023</v>
      </c>
      <c r="M80" s="12">
        <f t="shared" si="9"/>
        <v>2</v>
      </c>
      <c r="N80" s="5" t="str">
        <f t="shared" si="10"/>
        <v>Tuesday</v>
      </c>
      <c r="O80" s="5" t="str">
        <f t="shared" si="11"/>
        <v>April</v>
      </c>
    </row>
    <row r="81" spans="1:15" x14ac:dyDescent="0.3">
      <c r="A81" s="8">
        <v>80</v>
      </c>
      <c r="B81" s="25">
        <v>45270</v>
      </c>
      <c r="C81" s="5" t="s">
        <v>88</v>
      </c>
      <c r="D81" s="5" t="s">
        <v>8</v>
      </c>
      <c r="E81" s="12">
        <v>64</v>
      </c>
      <c r="F81" s="2" t="str">
        <f t="shared" si="6"/>
        <v>Senior</v>
      </c>
      <c r="G81" s="5" t="s">
        <v>9</v>
      </c>
      <c r="H81" s="8">
        <v>2</v>
      </c>
      <c r="I81" s="2">
        <v>30</v>
      </c>
      <c r="J81" s="2">
        <v>60</v>
      </c>
      <c r="K81" t="str">
        <f t="shared" si="7"/>
        <v>Low</v>
      </c>
      <c r="L81" s="12">
        <f t="shared" si="8"/>
        <v>2023</v>
      </c>
      <c r="M81" s="12">
        <f t="shared" si="9"/>
        <v>4</v>
      </c>
      <c r="N81" s="5" t="str">
        <f t="shared" si="10"/>
        <v>Sunday</v>
      </c>
      <c r="O81" s="5" t="str">
        <f t="shared" si="11"/>
        <v>December</v>
      </c>
    </row>
    <row r="82" spans="1:15" x14ac:dyDescent="0.3">
      <c r="A82" s="8">
        <v>81</v>
      </c>
      <c r="B82" s="25">
        <v>45063</v>
      </c>
      <c r="C82" s="5" t="s">
        <v>89</v>
      </c>
      <c r="D82" s="5" t="s">
        <v>5</v>
      </c>
      <c r="E82" s="12">
        <v>40</v>
      </c>
      <c r="F82" s="2" t="str">
        <f t="shared" si="6"/>
        <v>Adult</v>
      </c>
      <c r="G82" s="5" t="s">
        <v>11</v>
      </c>
      <c r="H82" s="8">
        <v>1</v>
      </c>
      <c r="I82" s="2">
        <v>50</v>
      </c>
      <c r="J82" s="2">
        <v>50</v>
      </c>
      <c r="K82" t="str">
        <f t="shared" si="7"/>
        <v>Low</v>
      </c>
      <c r="L82" s="12">
        <f t="shared" si="8"/>
        <v>2023</v>
      </c>
      <c r="M82" s="12">
        <f t="shared" si="9"/>
        <v>2</v>
      </c>
      <c r="N82" s="5" t="str">
        <f t="shared" si="10"/>
        <v>Wednesday</v>
      </c>
      <c r="O82" s="5" t="str">
        <f t="shared" si="11"/>
        <v>May</v>
      </c>
    </row>
    <row r="83" spans="1:15" x14ac:dyDescent="0.3">
      <c r="A83" s="8">
        <v>82</v>
      </c>
      <c r="B83" s="25">
        <v>45286</v>
      </c>
      <c r="C83" s="5" t="s">
        <v>90</v>
      </c>
      <c r="D83" s="5" t="s">
        <v>8</v>
      </c>
      <c r="E83" s="12">
        <v>32</v>
      </c>
      <c r="F83" s="2" t="str">
        <f t="shared" si="6"/>
        <v>Adult</v>
      </c>
      <c r="G83" s="5" t="s">
        <v>6</v>
      </c>
      <c r="H83" s="8">
        <v>4</v>
      </c>
      <c r="I83" s="2">
        <v>50</v>
      </c>
      <c r="J83" s="2">
        <v>200</v>
      </c>
      <c r="K83" t="str">
        <f t="shared" si="7"/>
        <v>Low</v>
      </c>
      <c r="L83" s="12">
        <f t="shared" si="8"/>
        <v>2023</v>
      </c>
      <c r="M83" s="12">
        <f t="shared" si="9"/>
        <v>4</v>
      </c>
      <c r="N83" s="5" t="str">
        <f t="shared" si="10"/>
        <v>Tuesday</v>
      </c>
      <c r="O83" s="5" t="str">
        <f t="shared" si="11"/>
        <v>December</v>
      </c>
    </row>
    <row r="84" spans="1:15" x14ac:dyDescent="0.3">
      <c r="A84" s="8">
        <v>83</v>
      </c>
      <c r="B84" s="25">
        <v>45276</v>
      </c>
      <c r="C84" s="5" t="s">
        <v>91</v>
      </c>
      <c r="D84" s="5" t="s">
        <v>5</v>
      </c>
      <c r="E84" s="12">
        <v>54</v>
      </c>
      <c r="F84" s="2" t="str">
        <f t="shared" si="6"/>
        <v>Adult</v>
      </c>
      <c r="G84" s="5" t="s">
        <v>11</v>
      </c>
      <c r="H84" s="8">
        <v>2</v>
      </c>
      <c r="I84" s="2">
        <v>50</v>
      </c>
      <c r="J84" s="2">
        <v>100</v>
      </c>
      <c r="K84" t="str">
        <f t="shared" si="7"/>
        <v>Low</v>
      </c>
      <c r="L84" s="12">
        <f t="shared" si="8"/>
        <v>2023</v>
      </c>
      <c r="M84" s="12">
        <f t="shared" si="9"/>
        <v>4</v>
      </c>
      <c r="N84" s="5" t="str">
        <f t="shared" si="10"/>
        <v>Saturday</v>
      </c>
      <c r="O84" s="5" t="str">
        <f t="shared" si="11"/>
        <v>December</v>
      </c>
    </row>
    <row r="85" spans="1:15" x14ac:dyDescent="0.3">
      <c r="A85" s="8">
        <v>84</v>
      </c>
      <c r="B85" s="25">
        <v>45258</v>
      </c>
      <c r="C85" s="5" t="s">
        <v>92</v>
      </c>
      <c r="D85" s="5" t="s">
        <v>8</v>
      </c>
      <c r="E85" s="12">
        <v>38</v>
      </c>
      <c r="F85" s="2" t="str">
        <f t="shared" si="6"/>
        <v>Adult</v>
      </c>
      <c r="G85" s="5" t="s">
        <v>11</v>
      </c>
      <c r="H85" s="8">
        <v>3</v>
      </c>
      <c r="I85" s="2">
        <v>30</v>
      </c>
      <c r="J85" s="2">
        <v>90</v>
      </c>
      <c r="K85" t="str">
        <f t="shared" si="7"/>
        <v>Low</v>
      </c>
      <c r="L85" s="12">
        <f t="shared" si="8"/>
        <v>2023</v>
      </c>
      <c r="M85" s="12">
        <f t="shared" si="9"/>
        <v>4</v>
      </c>
      <c r="N85" s="5" t="str">
        <f t="shared" si="10"/>
        <v>Tuesday</v>
      </c>
      <c r="O85" s="5" t="str">
        <f t="shared" si="11"/>
        <v>November</v>
      </c>
    </row>
    <row r="86" spans="1:15" x14ac:dyDescent="0.3">
      <c r="A86" s="8">
        <v>85</v>
      </c>
      <c r="B86" s="25">
        <v>44963</v>
      </c>
      <c r="C86" s="5" t="s">
        <v>93</v>
      </c>
      <c r="D86" s="5" t="s">
        <v>5</v>
      </c>
      <c r="E86" s="12">
        <v>31</v>
      </c>
      <c r="F86" s="2" t="str">
        <f t="shared" si="6"/>
        <v>Adult</v>
      </c>
      <c r="G86" s="5" t="s">
        <v>9</v>
      </c>
      <c r="H86" s="8">
        <v>3</v>
      </c>
      <c r="I86" s="2">
        <v>50</v>
      </c>
      <c r="J86" s="2">
        <v>150</v>
      </c>
      <c r="K86" t="str">
        <f t="shared" si="7"/>
        <v>Low</v>
      </c>
      <c r="L86" s="12">
        <f t="shared" si="8"/>
        <v>2023</v>
      </c>
      <c r="M86" s="12">
        <f t="shared" si="9"/>
        <v>1</v>
      </c>
      <c r="N86" s="5" t="str">
        <f t="shared" si="10"/>
        <v>Monday</v>
      </c>
      <c r="O86" s="5" t="str">
        <f t="shared" si="11"/>
        <v>February</v>
      </c>
    </row>
    <row r="87" spans="1:15" x14ac:dyDescent="0.3">
      <c r="A87" s="8">
        <v>86</v>
      </c>
      <c r="B87" s="25">
        <v>45238</v>
      </c>
      <c r="C87" s="5" t="s">
        <v>94</v>
      </c>
      <c r="D87" s="5" t="s">
        <v>5</v>
      </c>
      <c r="E87" s="12">
        <v>19</v>
      </c>
      <c r="F87" s="2" t="str">
        <f t="shared" si="6"/>
        <v>Young</v>
      </c>
      <c r="G87" s="5" t="s">
        <v>6</v>
      </c>
      <c r="H87" s="8">
        <v>3</v>
      </c>
      <c r="I87" s="2">
        <v>30</v>
      </c>
      <c r="J87" s="2">
        <v>90</v>
      </c>
      <c r="K87" t="str">
        <f t="shared" si="7"/>
        <v>Low</v>
      </c>
      <c r="L87" s="12">
        <f t="shared" si="8"/>
        <v>2023</v>
      </c>
      <c r="M87" s="12">
        <f t="shared" si="9"/>
        <v>4</v>
      </c>
      <c r="N87" s="5" t="str">
        <f t="shared" si="10"/>
        <v>Wednesday</v>
      </c>
      <c r="O87" s="5" t="str">
        <f t="shared" si="11"/>
        <v>November</v>
      </c>
    </row>
    <row r="88" spans="1:15" x14ac:dyDescent="0.3">
      <c r="A88" s="8">
        <v>87</v>
      </c>
      <c r="B88" s="25">
        <v>45252</v>
      </c>
      <c r="C88" s="5" t="s">
        <v>95</v>
      </c>
      <c r="D88" s="5" t="s">
        <v>8</v>
      </c>
      <c r="E88" s="12">
        <v>28</v>
      </c>
      <c r="F88" s="2" t="str">
        <f t="shared" si="6"/>
        <v>Young</v>
      </c>
      <c r="G88" s="5" t="s">
        <v>6</v>
      </c>
      <c r="H88" s="8">
        <v>2</v>
      </c>
      <c r="I88" s="2">
        <v>50</v>
      </c>
      <c r="J88" s="2">
        <v>100</v>
      </c>
      <c r="K88" t="str">
        <f t="shared" si="7"/>
        <v>Low</v>
      </c>
      <c r="L88" s="12">
        <f t="shared" si="8"/>
        <v>2023</v>
      </c>
      <c r="M88" s="12">
        <f t="shared" si="9"/>
        <v>4</v>
      </c>
      <c r="N88" s="5" t="str">
        <f t="shared" si="10"/>
        <v>Wednesday</v>
      </c>
      <c r="O88" s="5" t="str">
        <f t="shared" si="11"/>
        <v>November</v>
      </c>
    </row>
    <row r="89" spans="1:15" x14ac:dyDescent="0.3">
      <c r="A89" s="8">
        <v>88</v>
      </c>
      <c r="B89" s="25">
        <v>45014</v>
      </c>
      <c r="C89" s="5" t="s">
        <v>96</v>
      </c>
      <c r="D89" s="5" t="s">
        <v>5</v>
      </c>
      <c r="E89" s="12">
        <v>56</v>
      </c>
      <c r="F89" s="2" t="str">
        <f t="shared" si="6"/>
        <v>Adult</v>
      </c>
      <c r="G89" s="5" t="s">
        <v>9</v>
      </c>
      <c r="H89" s="8">
        <v>1</v>
      </c>
      <c r="I89" s="2">
        <v>500</v>
      </c>
      <c r="J89" s="2">
        <v>500</v>
      </c>
      <c r="K89" t="str">
        <f t="shared" si="7"/>
        <v>Low</v>
      </c>
      <c r="L89" s="12">
        <f t="shared" si="8"/>
        <v>2023</v>
      </c>
      <c r="M89" s="12">
        <f t="shared" si="9"/>
        <v>1</v>
      </c>
      <c r="N89" s="5" t="str">
        <f t="shared" si="10"/>
        <v>Wednesday</v>
      </c>
      <c r="O89" s="5" t="str">
        <f t="shared" si="11"/>
        <v>March</v>
      </c>
    </row>
    <row r="90" spans="1:15" x14ac:dyDescent="0.3">
      <c r="A90" s="8">
        <v>89</v>
      </c>
      <c r="B90" s="25">
        <v>45200</v>
      </c>
      <c r="C90" s="5" t="s">
        <v>97</v>
      </c>
      <c r="D90" s="5" t="s">
        <v>8</v>
      </c>
      <c r="E90" s="12">
        <v>55</v>
      </c>
      <c r="F90" s="2" t="str">
        <f t="shared" si="6"/>
        <v>Adult</v>
      </c>
      <c r="G90" s="5" t="s">
        <v>11</v>
      </c>
      <c r="H90" s="8">
        <v>4</v>
      </c>
      <c r="I90" s="2">
        <v>500</v>
      </c>
      <c r="J90" s="2">
        <v>2000</v>
      </c>
      <c r="K90" t="str">
        <f t="shared" si="7"/>
        <v>High</v>
      </c>
      <c r="L90" s="12">
        <f t="shared" si="8"/>
        <v>2023</v>
      </c>
      <c r="M90" s="12">
        <f t="shared" si="9"/>
        <v>4</v>
      </c>
      <c r="N90" s="5" t="str">
        <f t="shared" si="10"/>
        <v>Sunday</v>
      </c>
      <c r="O90" s="5" t="str">
        <f t="shared" si="11"/>
        <v>October</v>
      </c>
    </row>
    <row r="91" spans="1:15" x14ac:dyDescent="0.3">
      <c r="A91" s="8">
        <v>90</v>
      </c>
      <c r="B91" s="25">
        <v>45052</v>
      </c>
      <c r="C91" s="5" t="s">
        <v>98</v>
      </c>
      <c r="D91" s="5" t="s">
        <v>8</v>
      </c>
      <c r="E91" s="12">
        <v>51</v>
      </c>
      <c r="F91" s="2" t="str">
        <f t="shared" si="6"/>
        <v>Adult</v>
      </c>
      <c r="G91" s="5" t="s">
        <v>11</v>
      </c>
      <c r="H91" s="8">
        <v>1</v>
      </c>
      <c r="I91" s="2">
        <v>30</v>
      </c>
      <c r="J91" s="2">
        <v>30</v>
      </c>
      <c r="K91" t="str">
        <f t="shared" si="7"/>
        <v>Low</v>
      </c>
      <c r="L91" s="12">
        <f t="shared" si="8"/>
        <v>2023</v>
      </c>
      <c r="M91" s="12">
        <f t="shared" si="9"/>
        <v>2</v>
      </c>
      <c r="N91" s="5" t="str">
        <f t="shared" si="10"/>
        <v>Saturday</v>
      </c>
      <c r="O91" s="5" t="str">
        <f t="shared" si="11"/>
        <v>May</v>
      </c>
    </row>
    <row r="92" spans="1:15" x14ac:dyDescent="0.3">
      <c r="A92" s="8">
        <v>91</v>
      </c>
      <c r="B92" s="25">
        <v>45010</v>
      </c>
      <c r="C92" s="5" t="s">
        <v>99</v>
      </c>
      <c r="D92" s="5" t="s">
        <v>8</v>
      </c>
      <c r="E92" s="12">
        <v>55</v>
      </c>
      <c r="F92" s="2" t="str">
        <f t="shared" si="6"/>
        <v>Adult</v>
      </c>
      <c r="G92" s="5" t="s">
        <v>11</v>
      </c>
      <c r="H92" s="8">
        <v>1</v>
      </c>
      <c r="I92" s="2">
        <v>500</v>
      </c>
      <c r="J92" s="2">
        <v>500</v>
      </c>
      <c r="K92" t="str">
        <f t="shared" si="7"/>
        <v>Low</v>
      </c>
      <c r="L92" s="12">
        <f t="shared" si="8"/>
        <v>2023</v>
      </c>
      <c r="M92" s="12">
        <f t="shared" si="9"/>
        <v>1</v>
      </c>
      <c r="N92" s="5" t="str">
        <f t="shared" si="10"/>
        <v>Saturday</v>
      </c>
      <c r="O92" s="5" t="str">
        <f t="shared" si="11"/>
        <v>March</v>
      </c>
    </row>
    <row r="93" spans="1:15" x14ac:dyDescent="0.3">
      <c r="A93" s="8">
        <v>92</v>
      </c>
      <c r="B93" s="25">
        <v>45163</v>
      </c>
      <c r="C93" s="5" t="s">
        <v>100</v>
      </c>
      <c r="D93" s="5" t="s">
        <v>8</v>
      </c>
      <c r="E93" s="12">
        <v>51</v>
      </c>
      <c r="F93" s="2" t="str">
        <f t="shared" si="6"/>
        <v>Adult</v>
      </c>
      <c r="G93" s="5" t="s">
        <v>11</v>
      </c>
      <c r="H93" s="8">
        <v>4</v>
      </c>
      <c r="I93" s="2">
        <v>30</v>
      </c>
      <c r="J93" s="2">
        <v>120</v>
      </c>
      <c r="K93" t="str">
        <f t="shared" si="7"/>
        <v>Low</v>
      </c>
      <c r="L93" s="12">
        <f t="shared" si="8"/>
        <v>2023</v>
      </c>
      <c r="M93" s="12">
        <f t="shared" si="9"/>
        <v>3</v>
      </c>
      <c r="N93" s="5" t="str">
        <f t="shared" si="10"/>
        <v>Friday</v>
      </c>
      <c r="O93" s="5" t="str">
        <f t="shared" si="11"/>
        <v>August</v>
      </c>
    </row>
    <row r="94" spans="1:15" x14ac:dyDescent="0.3">
      <c r="A94" s="8">
        <v>93</v>
      </c>
      <c r="B94" s="25">
        <v>45121</v>
      </c>
      <c r="C94" s="5" t="s">
        <v>101</v>
      </c>
      <c r="D94" s="5" t="s">
        <v>8</v>
      </c>
      <c r="E94" s="12">
        <v>35</v>
      </c>
      <c r="F94" s="2" t="str">
        <f t="shared" si="6"/>
        <v>Adult</v>
      </c>
      <c r="G94" s="5" t="s">
        <v>6</v>
      </c>
      <c r="H94" s="8">
        <v>4</v>
      </c>
      <c r="I94" s="2">
        <v>500</v>
      </c>
      <c r="J94" s="2">
        <v>2000</v>
      </c>
      <c r="K94" t="str">
        <f t="shared" si="7"/>
        <v>High</v>
      </c>
      <c r="L94" s="12">
        <f t="shared" si="8"/>
        <v>2023</v>
      </c>
      <c r="M94" s="12">
        <f t="shared" si="9"/>
        <v>3</v>
      </c>
      <c r="N94" s="5" t="str">
        <f t="shared" si="10"/>
        <v>Friday</v>
      </c>
      <c r="O94" s="5" t="str">
        <f t="shared" si="11"/>
        <v>July</v>
      </c>
    </row>
    <row r="95" spans="1:15" x14ac:dyDescent="0.3">
      <c r="A95" s="8">
        <v>94</v>
      </c>
      <c r="B95" s="25">
        <v>45065</v>
      </c>
      <c r="C95" s="5" t="s">
        <v>102</v>
      </c>
      <c r="D95" s="5" t="s">
        <v>8</v>
      </c>
      <c r="E95" s="12">
        <v>47</v>
      </c>
      <c r="F95" s="2" t="str">
        <f t="shared" si="6"/>
        <v>Adult</v>
      </c>
      <c r="G95" s="5" t="s">
        <v>6</v>
      </c>
      <c r="H95" s="8">
        <v>2</v>
      </c>
      <c r="I95" s="2">
        <v>500</v>
      </c>
      <c r="J95" s="2">
        <v>1000</v>
      </c>
      <c r="K95" t="str">
        <f t="shared" si="7"/>
        <v>Medium</v>
      </c>
      <c r="L95" s="12">
        <f t="shared" si="8"/>
        <v>2023</v>
      </c>
      <c r="M95" s="12">
        <f t="shared" si="9"/>
        <v>2</v>
      </c>
      <c r="N95" s="5" t="str">
        <f t="shared" si="10"/>
        <v>Friday</v>
      </c>
      <c r="O95" s="5" t="str">
        <f t="shared" si="11"/>
        <v>May</v>
      </c>
    </row>
    <row r="96" spans="1:15" x14ac:dyDescent="0.3">
      <c r="A96" s="8">
        <v>95</v>
      </c>
      <c r="B96" s="25">
        <v>45254</v>
      </c>
      <c r="C96" s="5" t="s">
        <v>103</v>
      </c>
      <c r="D96" s="5" t="s">
        <v>8</v>
      </c>
      <c r="E96" s="12">
        <v>32</v>
      </c>
      <c r="F96" s="2" t="str">
        <f t="shared" si="6"/>
        <v>Adult</v>
      </c>
      <c r="G96" s="5" t="s">
        <v>9</v>
      </c>
      <c r="H96" s="8">
        <v>2</v>
      </c>
      <c r="I96" s="2">
        <v>30</v>
      </c>
      <c r="J96" s="2">
        <v>60</v>
      </c>
      <c r="K96" t="str">
        <f t="shared" si="7"/>
        <v>Low</v>
      </c>
      <c r="L96" s="12">
        <f t="shared" si="8"/>
        <v>2023</v>
      </c>
      <c r="M96" s="12">
        <f t="shared" si="9"/>
        <v>4</v>
      </c>
      <c r="N96" s="5" t="str">
        <f t="shared" si="10"/>
        <v>Friday</v>
      </c>
      <c r="O96" s="5" t="str">
        <f t="shared" si="11"/>
        <v>November</v>
      </c>
    </row>
    <row r="97" spans="1:15" x14ac:dyDescent="0.3">
      <c r="A97" s="8">
        <v>96</v>
      </c>
      <c r="B97" s="25">
        <v>45279</v>
      </c>
      <c r="C97" s="5" t="s">
        <v>104</v>
      </c>
      <c r="D97" s="5" t="s">
        <v>8</v>
      </c>
      <c r="E97" s="12">
        <v>44</v>
      </c>
      <c r="F97" s="2" t="str">
        <f t="shared" si="6"/>
        <v>Adult</v>
      </c>
      <c r="G97" s="5" t="s">
        <v>9</v>
      </c>
      <c r="H97" s="8">
        <v>2</v>
      </c>
      <c r="I97" s="2">
        <v>300</v>
      </c>
      <c r="J97" s="2">
        <v>600</v>
      </c>
      <c r="K97" t="str">
        <f t="shared" si="7"/>
        <v>Medium</v>
      </c>
      <c r="L97" s="12">
        <f t="shared" si="8"/>
        <v>2023</v>
      </c>
      <c r="M97" s="12">
        <f t="shared" si="9"/>
        <v>4</v>
      </c>
      <c r="N97" s="5" t="str">
        <f t="shared" si="10"/>
        <v>Tuesday</v>
      </c>
      <c r="O97" s="5" t="str">
        <f t="shared" si="11"/>
        <v>December</v>
      </c>
    </row>
    <row r="98" spans="1:15" x14ac:dyDescent="0.3">
      <c r="A98" s="8">
        <v>97</v>
      </c>
      <c r="B98" s="25">
        <v>45212</v>
      </c>
      <c r="C98" s="5" t="s">
        <v>105</v>
      </c>
      <c r="D98" s="5" t="s">
        <v>8</v>
      </c>
      <c r="E98" s="12">
        <v>51</v>
      </c>
      <c r="F98" s="2" t="str">
        <f t="shared" si="6"/>
        <v>Adult</v>
      </c>
      <c r="G98" s="5" t="s">
        <v>6</v>
      </c>
      <c r="H98" s="8">
        <v>2</v>
      </c>
      <c r="I98" s="2">
        <v>500</v>
      </c>
      <c r="J98" s="2">
        <v>1000</v>
      </c>
      <c r="K98" t="str">
        <f t="shared" si="7"/>
        <v>Medium</v>
      </c>
      <c r="L98" s="12">
        <f t="shared" si="8"/>
        <v>2023</v>
      </c>
      <c r="M98" s="12">
        <f t="shared" si="9"/>
        <v>4</v>
      </c>
      <c r="N98" s="5" t="str">
        <f t="shared" si="10"/>
        <v>Friday</v>
      </c>
      <c r="O98" s="5" t="str">
        <f t="shared" si="11"/>
        <v>October</v>
      </c>
    </row>
    <row r="99" spans="1:15" x14ac:dyDescent="0.3">
      <c r="A99" s="8">
        <v>98</v>
      </c>
      <c r="B99" s="25">
        <v>45039</v>
      </c>
      <c r="C99" s="5" t="s">
        <v>106</v>
      </c>
      <c r="D99" s="5" t="s">
        <v>8</v>
      </c>
      <c r="E99" s="12">
        <v>55</v>
      </c>
      <c r="F99" s="2" t="str">
        <f t="shared" si="6"/>
        <v>Adult</v>
      </c>
      <c r="G99" s="5" t="s">
        <v>6</v>
      </c>
      <c r="H99" s="8">
        <v>2</v>
      </c>
      <c r="I99" s="2">
        <v>50</v>
      </c>
      <c r="J99" s="2">
        <v>100</v>
      </c>
      <c r="K99" t="str">
        <f t="shared" si="7"/>
        <v>Low</v>
      </c>
      <c r="L99" s="12">
        <f t="shared" si="8"/>
        <v>2023</v>
      </c>
      <c r="M99" s="12">
        <f t="shared" si="9"/>
        <v>2</v>
      </c>
      <c r="N99" s="5" t="str">
        <f t="shared" si="10"/>
        <v>Sunday</v>
      </c>
      <c r="O99" s="5" t="str">
        <f t="shared" si="11"/>
        <v>April</v>
      </c>
    </row>
    <row r="100" spans="1:15" x14ac:dyDescent="0.3">
      <c r="A100" s="8">
        <v>99</v>
      </c>
      <c r="B100" s="25">
        <v>45277</v>
      </c>
      <c r="C100" s="5" t="s">
        <v>107</v>
      </c>
      <c r="D100" s="5" t="s">
        <v>8</v>
      </c>
      <c r="E100" s="12">
        <v>50</v>
      </c>
      <c r="F100" s="2" t="str">
        <f t="shared" si="6"/>
        <v>Adult</v>
      </c>
      <c r="G100" s="5" t="s">
        <v>11</v>
      </c>
      <c r="H100" s="8">
        <v>4</v>
      </c>
      <c r="I100" s="2">
        <v>300</v>
      </c>
      <c r="J100" s="2">
        <v>1200</v>
      </c>
      <c r="K100" t="str">
        <f t="shared" si="7"/>
        <v>Medium</v>
      </c>
      <c r="L100" s="12">
        <f t="shared" si="8"/>
        <v>2023</v>
      </c>
      <c r="M100" s="12">
        <f t="shared" si="9"/>
        <v>4</v>
      </c>
      <c r="N100" s="5" t="str">
        <f t="shared" si="10"/>
        <v>Sunday</v>
      </c>
      <c r="O100" s="5" t="str">
        <f t="shared" si="11"/>
        <v>December</v>
      </c>
    </row>
    <row r="101" spans="1:15" x14ac:dyDescent="0.3">
      <c r="A101" s="8">
        <v>100</v>
      </c>
      <c r="B101" s="25">
        <v>45093</v>
      </c>
      <c r="C101" s="5" t="s">
        <v>108</v>
      </c>
      <c r="D101" s="5" t="s">
        <v>5</v>
      </c>
      <c r="E101" s="12">
        <v>41</v>
      </c>
      <c r="F101" s="2" t="str">
        <f t="shared" si="6"/>
        <v>Adult</v>
      </c>
      <c r="G101" s="5" t="s">
        <v>11</v>
      </c>
      <c r="H101" s="8">
        <v>1</v>
      </c>
      <c r="I101" s="2">
        <v>30</v>
      </c>
      <c r="J101" s="2">
        <v>30</v>
      </c>
      <c r="K101" t="str">
        <f t="shared" si="7"/>
        <v>Low</v>
      </c>
      <c r="L101" s="12">
        <f t="shared" si="8"/>
        <v>2023</v>
      </c>
      <c r="M101" s="12">
        <f t="shared" si="9"/>
        <v>2</v>
      </c>
      <c r="N101" s="5" t="str">
        <f t="shared" si="10"/>
        <v>Friday</v>
      </c>
      <c r="O101" s="5" t="str">
        <f t="shared" si="11"/>
        <v>June</v>
      </c>
    </row>
    <row r="102" spans="1:15" x14ac:dyDescent="0.3">
      <c r="A102" s="8">
        <v>101</v>
      </c>
      <c r="B102" s="25">
        <v>44955</v>
      </c>
      <c r="C102" s="5" t="s">
        <v>109</v>
      </c>
      <c r="D102" s="5" t="s">
        <v>5</v>
      </c>
      <c r="E102" s="12">
        <v>32</v>
      </c>
      <c r="F102" s="2" t="str">
        <f t="shared" si="6"/>
        <v>Adult</v>
      </c>
      <c r="G102" s="5" t="s">
        <v>9</v>
      </c>
      <c r="H102" s="8">
        <v>2</v>
      </c>
      <c r="I102" s="2">
        <v>300</v>
      </c>
      <c r="J102" s="2">
        <v>600</v>
      </c>
      <c r="K102" t="str">
        <f t="shared" si="7"/>
        <v>Medium</v>
      </c>
      <c r="L102" s="12">
        <f t="shared" si="8"/>
        <v>2023</v>
      </c>
      <c r="M102" s="12">
        <f t="shared" si="9"/>
        <v>1</v>
      </c>
      <c r="N102" s="5" t="str">
        <f t="shared" si="10"/>
        <v>Sunday</v>
      </c>
      <c r="O102" s="5" t="str">
        <f t="shared" si="11"/>
        <v>January</v>
      </c>
    </row>
    <row r="103" spans="1:15" x14ac:dyDescent="0.3">
      <c r="A103" s="8">
        <v>102</v>
      </c>
      <c r="B103" s="25">
        <v>45044</v>
      </c>
      <c r="C103" s="5" t="s">
        <v>110</v>
      </c>
      <c r="D103" s="5" t="s">
        <v>8</v>
      </c>
      <c r="E103" s="12">
        <v>47</v>
      </c>
      <c r="F103" s="2" t="str">
        <f t="shared" si="6"/>
        <v>Adult</v>
      </c>
      <c r="G103" s="5" t="s">
        <v>6</v>
      </c>
      <c r="H103" s="8">
        <v>2</v>
      </c>
      <c r="I103" s="2">
        <v>25</v>
      </c>
      <c r="J103" s="2">
        <v>50</v>
      </c>
      <c r="K103" t="str">
        <f t="shared" si="7"/>
        <v>Low</v>
      </c>
      <c r="L103" s="12">
        <f t="shared" si="8"/>
        <v>2023</v>
      </c>
      <c r="M103" s="12">
        <f t="shared" si="9"/>
        <v>2</v>
      </c>
      <c r="N103" s="5" t="str">
        <f t="shared" si="10"/>
        <v>Friday</v>
      </c>
      <c r="O103" s="5" t="str">
        <f t="shared" si="11"/>
        <v>April</v>
      </c>
    </row>
    <row r="104" spans="1:15" x14ac:dyDescent="0.3">
      <c r="A104" s="8">
        <v>103</v>
      </c>
      <c r="B104" s="25">
        <v>44943</v>
      </c>
      <c r="C104" s="5" t="s">
        <v>111</v>
      </c>
      <c r="D104" s="5" t="s">
        <v>8</v>
      </c>
      <c r="E104" s="12">
        <v>59</v>
      </c>
      <c r="F104" s="2" t="str">
        <f t="shared" si="6"/>
        <v>Adult</v>
      </c>
      <c r="G104" s="5" t="s">
        <v>9</v>
      </c>
      <c r="H104" s="8">
        <v>1</v>
      </c>
      <c r="I104" s="2">
        <v>25</v>
      </c>
      <c r="J104" s="2">
        <v>25</v>
      </c>
      <c r="K104" t="str">
        <f t="shared" si="7"/>
        <v>Low</v>
      </c>
      <c r="L104" s="12">
        <f t="shared" si="8"/>
        <v>2023</v>
      </c>
      <c r="M104" s="12">
        <f t="shared" si="9"/>
        <v>1</v>
      </c>
      <c r="N104" s="5" t="str">
        <f t="shared" si="10"/>
        <v>Tuesday</v>
      </c>
      <c r="O104" s="5" t="str">
        <f t="shared" si="11"/>
        <v>January</v>
      </c>
    </row>
    <row r="105" spans="1:15" x14ac:dyDescent="0.3">
      <c r="A105" s="8">
        <v>104</v>
      </c>
      <c r="B105" s="25">
        <v>45088</v>
      </c>
      <c r="C105" s="5" t="s">
        <v>112</v>
      </c>
      <c r="D105" s="5" t="s">
        <v>8</v>
      </c>
      <c r="E105" s="12">
        <v>34</v>
      </c>
      <c r="F105" s="2" t="str">
        <f t="shared" si="6"/>
        <v>Adult</v>
      </c>
      <c r="G105" s="5" t="s">
        <v>6</v>
      </c>
      <c r="H105" s="8">
        <v>2</v>
      </c>
      <c r="I105" s="2">
        <v>500</v>
      </c>
      <c r="J105" s="2">
        <v>1000</v>
      </c>
      <c r="K105" t="str">
        <f t="shared" si="7"/>
        <v>Medium</v>
      </c>
      <c r="L105" s="12">
        <f t="shared" si="8"/>
        <v>2023</v>
      </c>
      <c r="M105" s="12">
        <f t="shared" si="9"/>
        <v>2</v>
      </c>
      <c r="N105" s="5" t="str">
        <f t="shared" si="10"/>
        <v>Sunday</v>
      </c>
      <c r="O105" s="5" t="str">
        <f t="shared" si="11"/>
        <v>June</v>
      </c>
    </row>
    <row r="106" spans="1:15" x14ac:dyDescent="0.3">
      <c r="A106" s="8">
        <v>105</v>
      </c>
      <c r="B106" s="25">
        <v>45132</v>
      </c>
      <c r="C106" s="5" t="s">
        <v>113</v>
      </c>
      <c r="D106" s="5" t="s">
        <v>8</v>
      </c>
      <c r="E106" s="12">
        <v>22</v>
      </c>
      <c r="F106" s="2" t="str">
        <f t="shared" si="6"/>
        <v>Young</v>
      </c>
      <c r="G106" s="5" t="s">
        <v>11</v>
      </c>
      <c r="H106" s="8">
        <v>1</v>
      </c>
      <c r="I106" s="2">
        <v>500</v>
      </c>
      <c r="J106" s="2">
        <v>500</v>
      </c>
      <c r="K106" t="str">
        <f t="shared" si="7"/>
        <v>Low</v>
      </c>
      <c r="L106" s="12">
        <f t="shared" si="8"/>
        <v>2023</v>
      </c>
      <c r="M106" s="12">
        <f t="shared" si="9"/>
        <v>3</v>
      </c>
      <c r="N106" s="5" t="str">
        <f t="shared" si="10"/>
        <v>Tuesday</v>
      </c>
      <c r="O106" s="5" t="str">
        <f t="shared" si="11"/>
        <v>July</v>
      </c>
    </row>
    <row r="107" spans="1:15" x14ac:dyDescent="0.3">
      <c r="A107" s="8">
        <v>106</v>
      </c>
      <c r="B107" s="25">
        <v>45064</v>
      </c>
      <c r="C107" s="5" t="s">
        <v>114</v>
      </c>
      <c r="D107" s="5" t="s">
        <v>8</v>
      </c>
      <c r="E107" s="12">
        <v>46</v>
      </c>
      <c r="F107" s="2" t="str">
        <f t="shared" si="6"/>
        <v>Adult</v>
      </c>
      <c r="G107" s="5" t="s">
        <v>9</v>
      </c>
      <c r="H107" s="8">
        <v>1</v>
      </c>
      <c r="I107" s="2">
        <v>50</v>
      </c>
      <c r="J107" s="2">
        <v>50</v>
      </c>
      <c r="K107" t="str">
        <f t="shared" si="7"/>
        <v>Low</v>
      </c>
      <c r="L107" s="12">
        <f t="shared" si="8"/>
        <v>2023</v>
      </c>
      <c r="M107" s="12">
        <f t="shared" si="9"/>
        <v>2</v>
      </c>
      <c r="N107" s="5" t="str">
        <f t="shared" si="10"/>
        <v>Thursday</v>
      </c>
      <c r="O107" s="5" t="str">
        <f t="shared" si="11"/>
        <v>May</v>
      </c>
    </row>
    <row r="108" spans="1:15" x14ac:dyDescent="0.3">
      <c r="A108" s="8">
        <v>107</v>
      </c>
      <c r="B108" s="25">
        <v>44960</v>
      </c>
      <c r="C108" s="5" t="s">
        <v>115</v>
      </c>
      <c r="D108" s="5" t="s">
        <v>8</v>
      </c>
      <c r="E108" s="12">
        <v>21</v>
      </c>
      <c r="F108" s="2" t="str">
        <f t="shared" si="6"/>
        <v>Young</v>
      </c>
      <c r="G108" s="5" t="s">
        <v>9</v>
      </c>
      <c r="H108" s="8">
        <v>4</v>
      </c>
      <c r="I108" s="2">
        <v>300</v>
      </c>
      <c r="J108" s="2">
        <v>1200</v>
      </c>
      <c r="K108" t="str">
        <f t="shared" si="7"/>
        <v>Medium</v>
      </c>
      <c r="L108" s="12">
        <f t="shared" si="8"/>
        <v>2023</v>
      </c>
      <c r="M108" s="12">
        <f t="shared" si="9"/>
        <v>1</v>
      </c>
      <c r="N108" s="5" t="str">
        <f t="shared" si="10"/>
        <v>Friday</v>
      </c>
      <c r="O108" s="5" t="str">
        <f t="shared" si="11"/>
        <v>February</v>
      </c>
    </row>
    <row r="109" spans="1:15" x14ac:dyDescent="0.3">
      <c r="A109" s="8">
        <v>108</v>
      </c>
      <c r="B109" s="25">
        <v>45035</v>
      </c>
      <c r="C109" s="5" t="s">
        <v>116</v>
      </c>
      <c r="D109" s="5" t="s">
        <v>8</v>
      </c>
      <c r="E109" s="12">
        <v>27</v>
      </c>
      <c r="F109" s="2" t="str">
        <f t="shared" si="6"/>
        <v>Young</v>
      </c>
      <c r="G109" s="5" t="s">
        <v>6</v>
      </c>
      <c r="H109" s="8">
        <v>3</v>
      </c>
      <c r="I109" s="2">
        <v>25</v>
      </c>
      <c r="J109" s="2">
        <v>75</v>
      </c>
      <c r="K109" t="str">
        <f t="shared" si="7"/>
        <v>Low</v>
      </c>
      <c r="L109" s="12">
        <f t="shared" si="8"/>
        <v>2023</v>
      </c>
      <c r="M109" s="12">
        <f t="shared" si="9"/>
        <v>2</v>
      </c>
      <c r="N109" s="5" t="str">
        <f t="shared" si="10"/>
        <v>Wednesday</v>
      </c>
      <c r="O109" s="5" t="str">
        <f t="shared" si="11"/>
        <v>April</v>
      </c>
    </row>
    <row r="110" spans="1:15" x14ac:dyDescent="0.3">
      <c r="A110" s="8">
        <v>109</v>
      </c>
      <c r="B110" s="25">
        <v>45217</v>
      </c>
      <c r="C110" s="5" t="s">
        <v>117</v>
      </c>
      <c r="D110" s="5" t="s">
        <v>8</v>
      </c>
      <c r="E110" s="12">
        <v>34</v>
      </c>
      <c r="F110" s="2" t="str">
        <f t="shared" si="6"/>
        <v>Adult</v>
      </c>
      <c r="G110" s="5" t="s">
        <v>11</v>
      </c>
      <c r="H110" s="8">
        <v>4</v>
      </c>
      <c r="I110" s="2">
        <v>500</v>
      </c>
      <c r="J110" s="2">
        <v>2000</v>
      </c>
      <c r="K110" t="str">
        <f t="shared" si="7"/>
        <v>High</v>
      </c>
      <c r="L110" s="12">
        <f t="shared" si="8"/>
        <v>2023</v>
      </c>
      <c r="M110" s="12">
        <f t="shared" si="9"/>
        <v>4</v>
      </c>
      <c r="N110" s="5" t="str">
        <f t="shared" si="10"/>
        <v>Wednesday</v>
      </c>
      <c r="O110" s="5" t="str">
        <f t="shared" si="11"/>
        <v>October</v>
      </c>
    </row>
    <row r="111" spans="1:15" x14ac:dyDescent="0.3">
      <c r="A111" s="8">
        <v>110</v>
      </c>
      <c r="B111" s="25">
        <v>45088</v>
      </c>
      <c r="C111" s="5" t="s">
        <v>118</v>
      </c>
      <c r="D111" s="5" t="s">
        <v>5</v>
      </c>
      <c r="E111" s="12">
        <v>27</v>
      </c>
      <c r="F111" s="2" t="str">
        <f t="shared" si="6"/>
        <v>Young</v>
      </c>
      <c r="G111" s="5" t="s">
        <v>9</v>
      </c>
      <c r="H111" s="8">
        <v>3</v>
      </c>
      <c r="I111" s="2">
        <v>300</v>
      </c>
      <c r="J111" s="2">
        <v>900</v>
      </c>
      <c r="K111" t="str">
        <f t="shared" si="7"/>
        <v>Medium</v>
      </c>
      <c r="L111" s="12">
        <f t="shared" si="8"/>
        <v>2023</v>
      </c>
      <c r="M111" s="12">
        <f t="shared" si="9"/>
        <v>2</v>
      </c>
      <c r="N111" s="5" t="str">
        <f t="shared" si="10"/>
        <v>Sunday</v>
      </c>
      <c r="O111" s="5" t="str">
        <f t="shared" si="11"/>
        <v>June</v>
      </c>
    </row>
    <row r="112" spans="1:15" x14ac:dyDescent="0.3">
      <c r="A112" s="8">
        <v>111</v>
      </c>
      <c r="B112" s="25">
        <v>45035</v>
      </c>
      <c r="C112" s="5" t="s">
        <v>119</v>
      </c>
      <c r="D112" s="5" t="s">
        <v>8</v>
      </c>
      <c r="E112" s="12">
        <v>34</v>
      </c>
      <c r="F112" s="2" t="str">
        <f t="shared" si="6"/>
        <v>Adult</v>
      </c>
      <c r="G112" s="5" t="s">
        <v>11</v>
      </c>
      <c r="H112" s="8">
        <v>3</v>
      </c>
      <c r="I112" s="2">
        <v>500</v>
      </c>
      <c r="J112" s="2">
        <v>1500</v>
      </c>
      <c r="K112" t="str">
        <f t="shared" si="7"/>
        <v>Medium</v>
      </c>
      <c r="L112" s="12">
        <f t="shared" si="8"/>
        <v>2023</v>
      </c>
      <c r="M112" s="12">
        <f t="shared" si="9"/>
        <v>2</v>
      </c>
      <c r="N112" s="5" t="str">
        <f t="shared" si="10"/>
        <v>Wednesday</v>
      </c>
      <c r="O112" s="5" t="str">
        <f t="shared" si="11"/>
        <v>April</v>
      </c>
    </row>
    <row r="113" spans="1:15" x14ac:dyDescent="0.3">
      <c r="A113" s="8">
        <v>112</v>
      </c>
      <c r="B113" s="25">
        <v>45262</v>
      </c>
      <c r="C113" s="5" t="s">
        <v>120</v>
      </c>
      <c r="D113" s="5" t="s">
        <v>5</v>
      </c>
      <c r="E113" s="12">
        <v>37</v>
      </c>
      <c r="F113" s="2" t="str">
        <f t="shared" si="6"/>
        <v>Adult</v>
      </c>
      <c r="G113" s="5" t="s">
        <v>9</v>
      </c>
      <c r="H113" s="8">
        <v>3</v>
      </c>
      <c r="I113" s="2">
        <v>500</v>
      </c>
      <c r="J113" s="2">
        <v>1500</v>
      </c>
      <c r="K113" t="str">
        <f t="shared" si="7"/>
        <v>Medium</v>
      </c>
      <c r="L113" s="12">
        <f t="shared" si="8"/>
        <v>2023</v>
      </c>
      <c r="M113" s="12">
        <f t="shared" si="9"/>
        <v>4</v>
      </c>
      <c r="N113" s="5" t="str">
        <f t="shared" si="10"/>
        <v>Saturday</v>
      </c>
      <c r="O113" s="5" t="str">
        <f t="shared" si="11"/>
        <v>December</v>
      </c>
    </row>
    <row r="114" spans="1:15" x14ac:dyDescent="0.3">
      <c r="A114" s="8">
        <v>113</v>
      </c>
      <c r="B114" s="25">
        <v>45182</v>
      </c>
      <c r="C114" s="5" t="s">
        <v>121</v>
      </c>
      <c r="D114" s="5" t="s">
        <v>8</v>
      </c>
      <c r="E114" s="12">
        <v>41</v>
      </c>
      <c r="F114" s="2" t="str">
        <f t="shared" si="6"/>
        <v>Adult</v>
      </c>
      <c r="G114" s="5" t="s">
        <v>11</v>
      </c>
      <c r="H114" s="8">
        <v>2</v>
      </c>
      <c r="I114" s="2">
        <v>25</v>
      </c>
      <c r="J114" s="2">
        <v>50</v>
      </c>
      <c r="K114" t="str">
        <f t="shared" si="7"/>
        <v>Low</v>
      </c>
      <c r="L114" s="12">
        <f t="shared" si="8"/>
        <v>2023</v>
      </c>
      <c r="M114" s="12">
        <f t="shared" si="9"/>
        <v>3</v>
      </c>
      <c r="N114" s="5" t="str">
        <f t="shared" si="10"/>
        <v>Wednesday</v>
      </c>
      <c r="O114" s="5" t="str">
        <f t="shared" si="11"/>
        <v>September</v>
      </c>
    </row>
    <row r="115" spans="1:15" x14ac:dyDescent="0.3">
      <c r="A115" s="8">
        <v>114</v>
      </c>
      <c r="B115" s="25">
        <v>45129</v>
      </c>
      <c r="C115" s="5" t="s">
        <v>122</v>
      </c>
      <c r="D115" s="5" t="s">
        <v>8</v>
      </c>
      <c r="E115" s="12">
        <v>22</v>
      </c>
      <c r="F115" s="2" t="str">
        <f t="shared" si="6"/>
        <v>Young</v>
      </c>
      <c r="G115" s="5" t="s">
        <v>6</v>
      </c>
      <c r="H115" s="8">
        <v>4</v>
      </c>
      <c r="I115" s="2">
        <v>25</v>
      </c>
      <c r="J115" s="2">
        <v>100</v>
      </c>
      <c r="K115" t="str">
        <f t="shared" si="7"/>
        <v>Low</v>
      </c>
      <c r="L115" s="12">
        <f t="shared" si="8"/>
        <v>2023</v>
      </c>
      <c r="M115" s="12">
        <f t="shared" si="9"/>
        <v>3</v>
      </c>
      <c r="N115" s="5" t="str">
        <f t="shared" si="10"/>
        <v>Saturday</v>
      </c>
      <c r="O115" s="5" t="str">
        <f t="shared" si="11"/>
        <v>July</v>
      </c>
    </row>
    <row r="116" spans="1:15" x14ac:dyDescent="0.3">
      <c r="A116" s="8">
        <v>115</v>
      </c>
      <c r="B116" s="25">
        <v>45256</v>
      </c>
      <c r="C116" s="5" t="s">
        <v>123</v>
      </c>
      <c r="D116" s="5" t="s">
        <v>5</v>
      </c>
      <c r="E116" s="12">
        <v>51</v>
      </c>
      <c r="F116" s="2" t="str">
        <f t="shared" si="6"/>
        <v>Adult</v>
      </c>
      <c r="G116" s="5" t="s">
        <v>9</v>
      </c>
      <c r="H116" s="8">
        <v>3</v>
      </c>
      <c r="I116" s="2">
        <v>500</v>
      </c>
      <c r="J116" s="2">
        <v>1500</v>
      </c>
      <c r="K116" t="str">
        <f t="shared" si="7"/>
        <v>Medium</v>
      </c>
      <c r="L116" s="12">
        <f t="shared" si="8"/>
        <v>2023</v>
      </c>
      <c r="M116" s="12">
        <f t="shared" si="9"/>
        <v>4</v>
      </c>
      <c r="N116" s="5" t="str">
        <f t="shared" si="10"/>
        <v>Sunday</v>
      </c>
      <c r="O116" s="5" t="str">
        <f t="shared" si="11"/>
        <v>November</v>
      </c>
    </row>
    <row r="117" spans="1:15" x14ac:dyDescent="0.3">
      <c r="A117" s="8">
        <v>116</v>
      </c>
      <c r="B117" s="25">
        <v>45161</v>
      </c>
      <c r="C117" s="5" t="s">
        <v>124</v>
      </c>
      <c r="D117" s="5" t="s">
        <v>8</v>
      </c>
      <c r="E117" s="12">
        <v>23</v>
      </c>
      <c r="F117" s="2" t="str">
        <f t="shared" si="6"/>
        <v>Young</v>
      </c>
      <c r="G117" s="5" t="s">
        <v>9</v>
      </c>
      <c r="H117" s="8">
        <v>1</v>
      </c>
      <c r="I117" s="2">
        <v>30</v>
      </c>
      <c r="J117" s="2">
        <v>30</v>
      </c>
      <c r="K117" t="str">
        <f t="shared" si="7"/>
        <v>Low</v>
      </c>
      <c r="L117" s="12">
        <f t="shared" si="8"/>
        <v>2023</v>
      </c>
      <c r="M117" s="12">
        <f t="shared" si="9"/>
        <v>3</v>
      </c>
      <c r="N117" s="5" t="str">
        <f t="shared" si="10"/>
        <v>Wednesday</v>
      </c>
      <c r="O117" s="5" t="str">
        <f t="shared" si="11"/>
        <v>August</v>
      </c>
    </row>
    <row r="118" spans="1:15" x14ac:dyDescent="0.3">
      <c r="A118" s="8">
        <v>117</v>
      </c>
      <c r="B118" s="25">
        <v>45000</v>
      </c>
      <c r="C118" s="5" t="s">
        <v>125</v>
      </c>
      <c r="D118" s="5" t="s">
        <v>5</v>
      </c>
      <c r="E118" s="12">
        <v>19</v>
      </c>
      <c r="F118" s="2" t="str">
        <f t="shared" si="6"/>
        <v>Young</v>
      </c>
      <c r="G118" s="5" t="s">
        <v>11</v>
      </c>
      <c r="H118" s="8">
        <v>2</v>
      </c>
      <c r="I118" s="2">
        <v>500</v>
      </c>
      <c r="J118" s="2">
        <v>1000</v>
      </c>
      <c r="K118" t="str">
        <f t="shared" si="7"/>
        <v>Medium</v>
      </c>
      <c r="L118" s="12">
        <f t="shared" si="8"/>
        <v>2023</v>
      </c>
      <c r="M118" s="12">
        <f t="shared" si="9"/>
        <v>1</v>
      </c>
      <c r="N118" s="5" t="str">
        <f t="shared" si="10"/>
        <v>Wednesday</v>
      </c>
      <c r="O118" s="5" t="str">
        <f t="shared" si="11"/>
        <v>March</v>
      </c>
    </row>
    <row r="119" spans="1:15" x14ac:dyDescent="0.3">
      <c r="A119" s="8">
        <v>118</v>
      </c>
      <c r="B119" s="25">
        <v>45062</v>
      </c>
      <c r="C119" s="5" t="s">
        <v>126</v>
      </c>
      <c r="D119" s="5" t="s">
        <v>8</v>
      </c>
      <c r="E119" s="12">
        <v>30</v>
      </c>
      <c r="F119" s="2" t="str">
        <f t="shared" si="6"/>
        <v>Young</v>
      </c>
      <c r="G119" s="5" t="s">
        <v>11</v>
      </c>
      <c r="H119" s="8">
        <v>4</v>
      </c>
      <c r="I119" s="2">
        <v>500</v>
      </c>
      <c r="J119" s="2">
        <v>2000</v>
      </c>
      <c r="K119" t="str">
        <f t="shared" si="7"/>
        <v>High</v>
      </c>
      <c r="L119" s="12">
        <f t="shared" si="8"/>
        <v>2023</v>
      </c>
      <c r="M119" s="12">
        <f t="shared" si="9"/>
        <v>2</v>
      </c>
      <c r="N119" s="5" t="str">
        <f t="shared" si="10"/>
        <v>Tuesday</v>
      </c>
      <c r="O119" s="5" t="str">
        <f t="shared" si="11"/>
        <v>May</v>
      </c>
    </row>
    <row r="120" spans="1:15" x14ac:dyDescent="0.3">
      <c r="A120" s="8">
        <v>119</v>
      </c>
      <c r="B120" s="25">
        <v>44998</v>
      </c>
      <c r="C120" s="5" t="s">
        <v>127</v>
      </c>
      <c r="D120" s="5" t="s">
        <v>8</v>
      </c>
      <c r="E120" s="12">
        <v>60</v>
      </c>
      <c r="F120" s="2" t="str">
        <f t="shared" si="6"/>
        <v>Adult</v>
      </c>
      <c r="G120" s="5" t="s">
        <v>9</v>
      </c>
      <c r="H120" s="8">
        <v>3</v>
      </c>
      <c r="I120" s="2">
        <v>50</v>
      </c>
      <c r="J120" s="2">
        <v>150</v>
      </c>
      <c r="K120" t="str">
        <f t="shared" si="7"/>
        <v>Low</v>
      </c>
      <c r="L120" s="12">
        <f t="shared" si="8"/>
        <v>2023</v>
      </c>
      <c r="M120" s="12">
        <f t="shared" si="9"/>
        <v>1</v>
      </c>
      <c r="N120" s="5" t="str">
        <f t="shared" si="10"/>
        <v>Monday</v>
      </c>
      <c r="O120" s="5" t="str">
        <f t="shared" si="11"/>
        <v>March</v>
      </c>
    </row>
    <row r="121" spans="1:15" x14ac:dyDescent="0.3">
      <c r="A121" s="8">
        <v>120</v>
      </c>
      <c r="B121" s="25">
        <v>45053</v>
      </c>
      <c r="C121" s="5" t="s">
        <v>128</v>
      </c>
      <c r="D121" s="5" t="s">
        <v>5</v>
      </c>
      <c r="E121" s="12">
        <v>60</v>
      </c>
      <c r="F121" s="2" t="str">
        <f t="shared" si="6"/>
        <v>Adult</v>
      </c>
      <c r="G121" s="5" t="s">
        <v>6</v>
      </c>
      <c r="H121" s="8">
        <v>1</v>
      </c>
      <c r="I121" s="2">
        <v>50</v>
      </c>
      <c r="J121" s="2">
        <v>50</v>
      </c>
      <c r="K121" t="str">
        <f t="shared" si="7"/>
        <v>Low</v>
      </c>
      <c r="L121" s="12">
        <f t="shared" si="8"/>
        <v>2023</v>
      </c>
      <c r="M121" s="12">
        <f t="shared" si="9"/>
        <v>2</v>
      </c>
      <c r="N121" s="5" t="str">
        <f t="shared" si="10"/>
        <v>Sunday</v>
      </c>
      <c r="O121" s="5" t="str">
        <f t="shared" si="11"/>
        <v>May</v>
      </c>
    </row>
    <row r="122" spans="1:15" x14ac:dyDescent="0.3">
      <c r="A122" s="8">
        <v>121</v>
      </c>
      <c r="B122" s="25">
        <v>45214</v>
      </c>
      <c r="C122" s="5" t="s">
        <v>129</v>
      </c>
      <c r="D122" s="5" t="s">
        <v>8</v>
      </c>
      <c r="E122" s="12">
        <v>28</v>
      </c>
      <c r="F122" s="2" t="str">
        <f t="shared" si="6"/>
        <v>Young</v>
      </c>
      <c r="G122" s="5" t="s">
        <v>11</v>
      </c>
      <c r="H122" s="8">
        <v>4</v>
      </c>
      <c r="I122" s="2">
        <v>50</v>
      </c>
      <c r="J122" s="2">
        <v>200</v>
      </c>
      <c r="K122" t="str">
        <f t="shared" si="7"/>
        <v>Low</v>
      </c>
      <c r="L122" s="12">
        <f t="shared" si="8"/>
        <v>2023</v>
      </c>
      <c r="M122" s="12">
        <f t="shared" si="9"/>
        <v>4</v>
      </c>
      <c r="N122" s="5" t="str">
        <f t="shared" si="10"/>
        <v>Sunday</v>
      </c>
      <c r="O122" s="5" t="str">
        <f t="shared" si="11"/>
        <v>October</v>
      </c>
    </row>
    <row r="123" spans="1:15" x14ac:dyDescent="0.3">
      <c r="A123" s="8">
        <v>122</v>
      </c>
      <c r="B123" s="25">
        <v>45202</v>
      </c>
      <c r="C123" s="5" t="s">
        <v>130</v>
      </c>
      <c r="D123" s="5" t="s">
        <v>5</v>
      </c>
      <c r="E123" s="12">
        <v>64</v>
      </c>
      <c r="F123" s="2" t="str">
        <f t="shared" si="6"/>
        <v>Senior</v>
      </c>
      <c r="G123" s="5" t="s">
        <v>11</v>
      </c>
      <c r="H123" s="8">
        <v>4</v>
      </c>
      <c r="I123" s="2">
        <v>30</v>
      </c>
      <c r="J123" s="2">
        <v>120</v>
      </c>
      <c r="K123" t="str">
        <f t="shared" si="7"/>
        <v>Low</v>
      </c>
      <c r="L123" s="12">
        <f t="shared" si="8"/>
        <v>2023</v>
      </c>
      <c r="M123" s="12">
        <f t="shared" si="9"/>
        <v>4</v>
      </c>
      <c r="N123" s="5" t="str">
        <f t="shared" si="10"/>
        <v>Tuesday</v>
      </c>
      <c r="O123" s="5" t="str">
        <f t="shared" si="11"/>
        <v>October</v>
      </c>
    </row>
    <row r="124" spans="1:15" x14ac:dyDescent="0.3">
      <c r="A124" s="8">
        <v>123</v>
      </c>
      <c r="B124" s="25">
        <v>45061</v>
      </c>
      <c r="C124" s="5" t="s">
        <v>131</v>
      </c>
      <c r="D124" s="5" t="s">
        <v>8</v>
      </c>
      <c r="E124" s="12">
        <v>40</v>
      </c>
      <c r="F124" s="2" t="str">
        <f t="shared" si="6"/>
        <v>Adult</v>
      </c>
      <c r="G124" s="5" t="s">
        <v>11</v>
      </c>
      <c r="H124" s="8">
        <v>2</v>
      </c>
      <c r="I124" s="2">
        <v>30</v>
      </c>
      <c r="J124" s="2">
        <v>60</v>
      </c>
      <c r="K124" t="str">
        <f t="shared" si="7"/>
        <v>Low</v>
      </c>
      <c r="L124" s="12">
        <f t="shared" si="8"/>
        <v>2023</v>
      </c>
      <c r="M124" s="12">
        <f t="shared" si="9"/>
        <v>2</v>
      </c>
      <c r="N124" s="5" t="str">
        <f t="shared" si="10"/>
        <v>Monday</v>
      </c>
      <c r="O124" s="5" t="str">
        <f t="shared" si="11"/>
        <v>May</v>
      </c>
    </row>
    <row r="125" spans="1:15" x14ac:dyDescent="0.3">
      <c r="A125" s="8">
        <v>124</v>
      </c>
      <c r="B125" s="25">
        <v>45226</v>
      </c>
      <c r="C125" s="5" t="s">
        <v>132</v>
      </c>
      <c r="D125" s="5" t="s">
        <v>5</v>
      </c>
      <c r="E125" s="12">
        <v>33</v>
      </c>
      <c r="F125" s="2" t="str">
        <f t="shared" si="6"/>
        <v>Adult</v>
      </c>
      <c r="G125" s="5" t="s">
        <v>9</v>
      </c>
      <c r="H125" s="8">
        <v>4</v>
      </c>
      <c r="I125" s="2">
        <v>500</v>
      </c>
      <c r="J125" s="2">
        <v>2000</v>
      </c>
      <c r="K125" t="str">
        <f t="shared" si="7"/>
        <v>High</v>
      </c>
      <c r="L125" s="12">
        <f t="shared" si="8"/>
        <v>2023</v>
      </c>
      <c r="M125" s="12">
        <f t="shared" si="9"/>
        <v>4</v>
      </c>
      <c r="N125" s="5" t="str">
        <f t="shared" si="10"/>
        <v>Friday</v>
      </c>
      <c r="O125" s="5" t="str">
        <f t="shared" si="11"/>
        <v>October</v>
      </c>
    </row>
    <row r="126" spans="1:15" x14ac:dyDescent="0.3">
      <c r="A126" s="8">
        <v>125</v>
      </c>
      <c r="B126" s="25">
        <v>45146</v>
      </c>
      <c r="C126" s="5" t="s">
        <v>133</v>
      </c>
      <c r="D126" s="5" t="s">
        <v>5</v>
      </c>
      <c r="E126" s="12">
        <v>48</v>
      </c>
      <c r="F126" s="2" t="str">
        <f t="shared" si="6"/>
        <v>Adult</v>
      </c>
      <c r="G126" s="5" t="s">
        <v>9</v>
      </c>
      <c r="H126" s="8">
        <v>2</v>
      </c>
      <c r="I126" s="2">
        <v>50</v>
      </c>
      <c r="J126" s="2">
        <v>100</v>
      </c>
      <c r="K126" t="str">
        <f t="shared" si="7"/>
        <v>Low</v>
      </c>
      <c r="L126" s="12">
        <f t="shared" si="8"/>
        <v>2023</v>
      </c>
      <c r="M126" s="12">
        <f t="shared" si="9"/>
        <v>3</v>
      </c>
      <c r="N126" s="5" t="str">
        <f t="shared" si="10"/>
        <v>Tuesday</v>
      </c>
      <c r="O126" s="5" t="str">
        <f t="shared" si="11"/>
        <v>August</v>
      </c>
    </row>
    <row r="127" spans="1:15" x14ac:dyDescent="0.3">
      <c r="A127" s="8">
        <v>126</v>
      </c>
      <c r="B127" s="25">
        <v>45225</v>
      </c>
      <c r="C127" s="5" t="s">
        <v>134</v>
      </c>
      <c r="D127" s="5" t="s">
        <v>8</v>
      </c>
      <c r="E127" s="12">
        <v>28</v>
      </c>
      <c r="F127" s="2" t="str">
        <f t="shared" si="6"/>
        <v>Young</v>
      </c>
      <c r="G127" s="5" t="s">
        <v>9</v>
      </c>
      <c r="H127" s="8">
        <v>3</v>
      </c>
      <c r="I127" s="2">
        <v>30</v>
      </c>
      <c r="J127" s="2">
        <v>90</v>
      </c>
      <c r="K127" t="str">
        <f t="shared" si="7"/>
        <v>Low</v>
      </c>
      <c r="L127" s="12">
        <f t="shared" si="8"/>
        <v>2023</v>
      </c>
      <c r="M127" s="12">
        <f t="shared" si="9"/>
        <v>4</v>
      </c>
      <c r="N127" s="5" t="str">
        <f t="shared" si="10"/>
        <v>Thursday</v>
      </c>
      <c r="O127" s="5" t="str">
        <f t="shared" si="11"/>
        <v>October</v>
      </c>
    </row>
    <row r="128" spans="1:15" x14ac:dyDescent="0.3">
      <c r="A128" s="8">
        <v>127</v>
      </c>
      <c r="B128" s="25">
        <v>45131</v>
      </c>
      <c r="C128" s="5" t="s">
        <v>135</v>
      </c>
      <c r="D128" s="5" t="s">
        <v>8</v>
      </c>
      <c r="E128" s="12">
        <v>33</v>
      </c>
      <c r="F128" s="2" t="str">
        <f t="shared" si="6"/>
        <v>Adult</v>
      </c>
      <c r="G128" s="5" t="s">
        <v>9</v>
      </c>
      <c r="H128" s="8">
        <v>2</v>
      </c>
      <c r="I128" s="2">
        <v>25</v>
      </c>
      <c r="J128" s="2">
        <v>50</v>
      </c>
      <c r="K128" t="str">
        <f t="shared" si="7"/>
        <v>Low</v>
      </c>
      <c r="L128" s="12">
        <f t="shared" si="8"/>
        <v>2023</v>
      </c>
      <c r="M128" s="12">
        <f t="shared" si="9"/>
        <v>3</v>
      </c>
      <c r="N128" s="5" t="str">
        <f t="shared" si="10"/>
        <v>Monday</v>
      </c>
      <c r="O128" s="5" t="str">
        <f t="shared" si="11"/>
        <v>July</v>
      </c>
    </row>
    <row r="129" spans="1:15" x14ac:dyDescent="0.3">
      <c r="A129" s="8">
        <v>128</v>
      </c>
      <c r="B129" s="25">
        <v>45112</v>
      </c>
      <c r="C129" s="5" t="s">
        <v>136</v>
      </c>
      <c r="D129" s="5" t="s">
        <v>5</v>
      </c>
      <c r="E129" s="12">
        <v>25</v>
      </c>
      <c r="F129" s="2" t="str">
        <f t="shared" si="6"/>
        <v>Young</v>
      </c>
      <c r="G129" s="5" t="s">
        <v>6</v>
      </c>
      <c r="H129" s="8">
        <v>1</v>
      </c>
      <c r="I129" s="2">
        <v>500</v>
      </c>
      <c r="J129" s="2">
        <v>500</v>
      </c>
      <c r="K129" t="str">
        <f t="shared" si="7"/>
        <v>Low</v>
      </c>
      <c r="L129" s="12">
        <f t="shared" si="8"/>
        <v>2023</v>
      </c>
      <c r="M129" s="12">
        <f t="shared" si="9"/>
        <v>3</v>
      </c>
      <c r="N129" s="5" t="str">
        <f t="shared" si="10"/>
        <v>Wednesday</v>
      </c>
      <c r="O129" s="5" t="str">
        <f t="shared" si="11"/>
        <v>July</v>
      </c>
    </row>
    <row r="130" spans="1:15" x14ac:dyDescent="0.3">
      <c r="A130" s="8">
        <v>129</v>
      </c>
      <c r="B130" s="25">
        <v>45039</v>
      </c>
      <c r="C130" s="5" t="s">
        <v>137</v>
      </c>
      <c r="D130" s="5" t="s">
        <v>8</v>
      </c>
      <c r="E130" s="12">
        <v>21</v>
      </c>
      <c r="F130" s="2" t="str">
        <f t="shared" si="6"/>
        <v>Young</v>
      </c>
      <c r="G130" s="5" t="s">
        <v>6</v>
      </c>
      <c r="H130" s="8">
        <v>2</v>
      </c>
      <c r="I130" s="2">
        <v>300</v>
      </c>
      <c r="J130" s="2">
        <v>600</v>
      </c>
      <c r="K130" t="str">
        <f t="shared" si="7"/>
        <v>Medium</v>
      </c>
      <c r="L130" s="12">
        <f t="shared" si="8"/>
        <v>2023</v>
      </c>
      <c r="M130" s="12">
        <f t="shared" si="9"/>
        <v>2</v>
      </c>
      <c r="N130" s="5" t="str">
        <f t="shared" si="10"/>
        <v>Sunday</v>
      </c>
      <c r="O130" s="5" t="str">
        <f t="shared" si="11"/>
        <v>April</v>
      </c>
    </row>
    <row r="131" spans="1:15" x14ac:dyDescent="0.3">
      <c r="A131" s="8">
        <v>130</v>
      </c>
      <c r="B131" s="25">
        <v>44997</v>
      </c>
      <c r="C131" s="5" t="s">
        <v>138</v>
      </c>
      <c r="D131" s="5" t="s">
        <v>8</v>
      </c>
      <c r="E131" s="12">
        <v>57</v>
      </c>
      <c r="F131" s="2" t="str">
        <f t="shared" ref="F131:F194" si="12">IF(E131&gt;60,"Senior",IF(E131&gt;30,"Adult","Young"))</f>
        <v>Adult</v>
      </c>
      <c r="G131" s="5" t="s">
        <v>9</v>
      </c>
      <c r="H131" s="8">
        <v>1</v>
      </c>
      <c r="I131" s="2">
        <v>500</v>
      </c>
      <c r="J131" s="2">
        <v>500</v>
      </c>
      <c r="K131" t="str">
        <f t="shared" ref="K131:K194" si="13">IF(J131&gt;1500,"High",IF(J131&gt;500,"Medium","Low"))</f>
        <v>Low</v>
      </c>
      <c r="L131" s="12">
        <f t="shared" ref="L131:L194" si="14">YEAR(B131)</f>
        <v>2023</v>
      </c>
      <c r="M131" s="12">
        <f t="shared" ref="M131:M194" si="15">ROUNDUP(MONTH(B131)/3,0)</f>
        <v>1</v>
      </c>
      <c r="N131" s="5" t="str">
        <f t="shared" ref="N131:N194" si="16">TEXT(B131,"dddd")</f>
        <v>Sunday</v>
      </c>
      <c r="O131" s="5" t="str">
        <f t="shared" ref="O131:O194" si="17">TEXT(B131,"mmmm")</f>
        <v>March</v>
      </c>
    </row>
    <row r="132" spans="1:15" x14ac:dyDescent="0.3">
      <c r="A132" s="8">
        <v>131</v>
      </c>
      <c r="B132" s="25">
        <v>45187</v>
      </c>
      <c r="C132" s="5" t="s">
        <v>139</v>
      </c>
      <c r="D132" s="5" t="s">
        <v>8</v>
      </c>
      <c r="E132" s="12">
        <v>21</v>
      </c>
      <c r="F132" s="2" t="str">
        <f t="shared" si="12"/>
        <v>Young</v>
      </c>
      <c r="G132" s="5" t="s">
        <v>6</v>
      </c>
      <c r="H132" s="8">
        <v>2</v>
      </c>
      <c r="I132" s="2">
        <v>300</v>
      </c>
      <c r="J132" s="2">
        <v>600</v>
      </c>
      <c r="K132" t="str">
        <f t="shared" si="13"/>
        <v>Medium</v>
      </c>
      <c r="L132" s="12">
        <f t="shared" si="14"/>
        <v>2023</v>
      </c>
      <c r="M132" s="12">
        <f t="shared" si="15"/>
        <v>3</v>
      </c>
      <c r="N132" s="5" t="str">
        <f t="shared" si="16"/>
        <v>Monday</v>
      </c>
      <c r="O132" s="5" t="str">
        <f t="shared" si="17"/>
        <v>September</v>
      </c>
    </row>
    <row r="133" spans="1:15" x14ac:dyDescent="0.3">
      <c r="A133" s="8">
        <v>132</v>
      </c>
      <c r="B133" s="25">
        <v>45179</v>
      </c>
      <c r="C133" s="5" t="s">
        <v>140</v>
      </c>
      <c r="D133" s="5" t="s">
        <v>5</v>
      </c>
      <c r="E133" s="12">
        <v>42</v>
      </c>
      <c r="F133" s="2" t="str">
        <f t="shared" si="12"/>
        <v>Adult</v>
      </c>
      <c r="G133" s="5" t="s">
        <v>11</v>
      </c>
      <c r="H133" s="8">
        <v>4</v>
      </c>
      <c r="I133" s="2">
        <v>50</v>
      </c>
      <c r="J133" s="2">
        <v>200</v>
      </c>
      <c r="K133" t="str">
        <f t="shared" si="13"/>
        <v>Low</v>
      </c>
      <c r="L133" s="12">
        <f t="shared" si="14"/>
        <v>2023</v>
      </c>
      <c r="M133" s="12">
        <f t="shared" si="15"/>
        <v>3</v>
      </c>
      <c r="N133" s="5" t="str">
        <f t="shared" si="16"/>
        <v>Sunday</v>
      </c>
      <c r="O133" s="5" t="str">
        <f t="shared" si="17"/>
        <v>September</v>
      </c>
    </row>
    <row r="134" spans="1:15" x14ac:dyDescent="0.3">
      <c r="A134" s="8">
        <v>133</v>
      </c>
      <c r="B134" s="25">
        <v>44973</v>
      </c>
      <c r="C134" s="5" t="s">
        <v>141</v>
      </c>
      <c r="D134" s="5" t="s">
        <v>5</v>
      </c>
      <c r="E134" s="12">
        <v>20</v>
      </c>
      <c r="F134" s="2" t="str">
        <f t="shared" si="12"/>
        <v>Young</v>
      </c>
      <c r="G134" s="5" t="s">
        <v>11</v>
      </c>
      <c r="H134" s="8">
        <v>3</v>
      </c>
      <c r="I134" s="2">
        <v>300</v>
      </c>
      <c r="J134" s="2">
        <v>900</v>
      </c>
      <c r="K134" t="str">
        <f t="shared" si="13"/>
        <v>Medium</v>
      </c>
      <c r="L134" s="12">
        <f t="shared" si="14"/>
        <v>2023</v>
      </c>
      <c r="M134" s="12">
        <f t="shared" si="15"/>
        <v>1</v>
      </c>
      <c r="N134" s="5" t="str">
        <f t="shared" si="16"/>
        <v>Thursday</v>
      </c>
      <c r="O134" s="5" t="str">
        <f t="shared" si="17"/>
        <v>February</v>
      </c>
    </row>
    <row r="135" spans="1:15" x14ac:dyDescent="0.3">
      <c r="A135" s="8">
        <v>134</v>
      </c>
      <c r="B135" s="25">
        <v>44951</v>
      </c>
      <c r="C135" s="5" t="s">
        <v>142</v>
      </c>
      <c r="D135" s="5" t="s">
        <v>5</v>
      </c>
      <c r="E135" s="12">
        <v>49</v>
      </c>
      <c r="F135" s="2" t="str">
        <f t="shared" si="12"/>
        <v>Adult</v>
      </c>
      <c r="G135" s="5" t="s">
        <v>11</v>
      </c>
      <c r="H135" s="8">
        <v>1</v>
      </c>
      <c r="I135" s="2">
        <v>50</v>
      </c>
      <c r="J135" s="2">
        <v>50</v>
      </c>
      <c r="K135" t="str">
        <f t="shared" si="13"/>
        <v>Low</v>
      </c>
      <c r="L135" s="12">
        <f t="shared" si="14"/>
        <v>2023</v>
      </c>
      <c r="M135" s="12">
        <f t="shared" si="15"/>
        <v>1</v>
      </c>
      <c r="N135" s="5" t="str">
        <f t="shared" si="16"/>
        <v>Wednesday</v>
      </c>
      <c r="O135" s="5" t="str">
        <f t="shared" si="17"/>
        <v>January</v>
      </c>
    </row>
    <row r="136" spans="1:15" x14ac:dyDescent="0.3">
      <c r="A136" s="8">
        <v>135</v>
      </c>
      <c r="B136" s="25">
        <v>44983</v>
      </c>
      <c r="C136" s="5" t="s">
        <v>143</v>
      </c>
      <c r="D136" s="5" t="s">
        <v>5</v>
      </c>
      <c r="E136" s="12">
        <v>20</v>
      </c>
      <c r="F136" s="2" t="str">
        <f t="shared" si="12"/>
        <v>Young</v>
      </c>
      <c r="G136" s="5" t="s">
        <v>9</v>
      </c>
      <c r="H136" s="8">
        <v>2</v>
      </c>
      <c r="I136" s="2">
        <v>25</v>
      </c>
      <c r="J136" s="2">
        <v>50</v>
      </c>
      <c r="K136" t="str">
        <f t="shared" si="13"/>
        <v>Low</v>
      </c>
      <c r="L136" s="12">
        <f t="shared" si="14"/>
        <v>2023</v>
      </c>
      <c r="M136" s="12">
        <f t="shared" si="15"/>
        <v>1</v>
      </c>
      <c r="N136" s="5" t="str">
        <f t="shared" si="16"/>
        <v>Sunday</v>
      </c>
      <c r="O136" s="5" t="str">
        <f t="shared" si="17"/>
        <v>February</v>
      </c>
    </row>
    <row r="137" spans="1:15" x14ac:dyDescent="0.3">
      <c r="A137" s="8">
        <v>136</v>
      </c>
      <c r="B137" s="25">
        <v>45005</v>
      </c>
      <c r="C137" s="5" t="s">
        <v>144</v>
      </c>
      <c r="D137" s="5" t="s">
        <v>5</v>
      </c>
      <c r="E137" s="12">
        <v>44</v>
      </c>
      <c r="F137" s="2" t="str">
        <f t="shared" si="12"/>
        <v>Adult</v>
      </c>
      <c r="G137" s="5" t="s">
        <v>11</v>
      </c>
      <c r="H137" s="8">
        <v>2</v>
      </c>
      <c r="I137" s="2">
        <v>300</v>
      </c>
      <c r="J137" s="2">
        <v>600</v>
      </c>
      <c r="K137" t="str">
        <f t="shared" si="13"/>
        <v>Medium</v>
      </c>
      <c r="L137" s="12">
        <f t="shared" si="14"/>
        <v>2023</v>
      </c>
      <c r="M137" s="12">
        <f t="shared" si="15"/>
        <v>1</v>
      </c>
      <c r="N137" s="5" t="str">
        <f t="shared" si="16"/>
        <v>Monday</v>
      </c>
      <c r="O137" s="5" t="str">
        <f t="shared" si="17"/>
        <v>March</v>
      </c>
    </row>
    <row r="138" spans="1:15" x14ac:dyDescent="0.3">
      <c r="A138" s="8">
        <v>137</v>
      </c>
      <c r="B138" s="25">
        <v>45248</v>
      </c>
      <c r="C138" s="5" t="s">
        <v>145</v>
      </c>
      <c r="D138" s="5" t="s">
        <v>5</v>
      </c>
      <c r="E138" s="12">
        <v>46</v>
      </c>
      <c r="F138" s="2" t="str">
        <f t="shared" si="12"/>
        <v>Adult</v>
      </c>
      <c r="G138" s="5" t="s">
        <v>6</v>
      </c>
      <c r="H138" s="8">
        <v>2</v>
      </c>
      <c r="I138" s="2">
        <v>500</v>
      </c>
      <c r="J138" s="2">
        <v>1000</v>
      </c>
      <c r="K138" t="str">
        <f t="shared" si="13"/>
        <v>Medium</v>
      </c>
      <c r="L138" s="12">
        <f t="shared" si="14"/>
        <v>2023</v>
      </c>
      <c r="M138" s="12">
        <f t="shared" si="15"/>
        <v>4</v>
      </c>
      <c r="N138" s="5" t="str">
        <f t="shared" si="16"/>
        <v>Saturday</v>
      </c>
      <c r="O138" s="5" t="str">
        <f t="shared" si="17"/>
        <v>November</v>
      </c>
    </row>
    <row r="139" spans="1:15" x14ac:dyDescent="0.3">
      <c r="A139" s="8">
        <v>138</v>
      </c>
      <c r="B139" s="25">
        <v>45008</v>
      </c>
      <c r="C139" s="5" t="s">
        <v>146</v>
      </c>
      <c r="D139" s="5" t="s">
        <v>5</v>
      </c>
      <c r="E139" s="12">
        <v>49</v>
      </c>
      <c r="F139" s="2" t="str">
        <f t="shared" si="12"/>
        <v>Adult</v>
      </c>
      <c r="G139" s="5" t="s">
        <v>9</v>
      </c>
      <c r="H139" s="8">
        <v>4</v>
      </c>
      <c r="I139" s="2">
        <v>50</v>
      </c>
      <c r="J139" s="2">
        <v>200</v>
      </c>
      <c r="K139" t="str">
        <f t="shared" si="13"/>
        <v>Low</v>
      </c>
      <c r="L139" s="12">
        <f t="shared" si="14"/>
        <v>2023</v>
      </c>
      <c r="M139" s="12">
        <f t="shared" si="15"/>
        <v>1</v>
      </c>
      <c r="N139" s="5" t="str">
        <f t="shared" si="16"/>
        <v>Thursday</v>
      </c>
      <c r="O139" s="5" t="str">
        <f t="shared" si="17"/>
        <v>March</v>
      </c>
    </row>
    <row r="140" spans="1:15" x14ac:dyDescent="0.3">
      <c r="A140" s="8">
        <v>139</v>
      </c>
      <c r="B140" s="25">
        <v>45275</v>
      </c>
      <c r="C140" s="5" t="s">
        <v>147</v>
      </c>
      <c r="D140" s="5" t="s">
        <v>5</v>
      </c>
      <c r="E140" s="12">
        <v>36</v>
      </c>
      <c r="F140" s="2" t="str">
        <f t="shared" si="12"/>
        <v>Adult</v>
      </c>
      <c r="G140" s="5" t="s">
        <v>6</v>
      </c>
      <c r="H140" s="8">
        <v>4</v>
      </c>
      <c r="I140" s="2">
        <v>500</v>
      </c>
      <c r="J140" s="2">
        <v>2000</v>
      </c>
      <c r="K140" t="str">
        <f t="shared" si="13"/>
        <v>High</v>
      </c>
      <c r="L140" s="12">
        <f t="shared" si="14"/>
        <v>2023</v>
      </c>
      <c r="M140" s="12">
        <f t="shared" si="15"/>
        <v>4</v>
      </c>
      <c r="N140" s="5" t="str">
        <f t="shared" si="16"/>
        <v>Friday</v>
      </c>
      <c r="O140" s="5" t="str">
        <f t="shared" si="17"/>
        <v>December</v>
      </c>
    </row>
    <row r="141" spans="1:15" x14ac:dyDescent="0.3">
      <c r="A141" s="8">
        <v>140</v>
      </c>
      <c r="B141" s="25">
        <v>45143</v>
      </c>
      <c r="C141" s="5" t="s">
        <v>148</v>
      </c>
      <c r="D141" s="5" t="s">
        <v>5</v>
      </c>
      <c r="E141" s="12">
        <v>38</v>
      </c>
      <c r="F141" s="2" t="str">
        <f t="shared" si="12"/>
        <v>Adult</v>
      </c>
      <c r="G141" s="5" t="s">
        <v>11</v>
      </c>
      <c r="H141" s="8">
        <v>1</v>
      </c>
      <c r="I141" s="2">
        <v>30</v>
      </c>
      <c r="J141" s="2">
        <v>30</v>
      </c>
      <c r="K141" t="str">
        <f t="shared" si="13"/>
        <v>Low</v>
      </c>
      <c r="L141" s="12">
        <f t="shared" si="14"/>
        <v>2023</v>
      </c>
      <c r="M141" s="12">
        <f t="shared" si="15"/>
        <v>3</v>
      </c>
      <c r="N141" s="5" t="str">
        <f t="shared" si="16"/>
        <v>Saturday</v>
      </c>
      <c r="O141" s="5" t="str">
        <f t="shared" si="17"/>
        <v>August</v>
      </c>
    </row>
    <row r="142" spans="1:15" x14ac:dyDescent="0.3">
      <c r="A142" s="8">
        <v>141</v>
      </c>
      <c r="B142" s="25">
        <v>45232</v>
      </c>
      <c r="C142" s="5" t="s">
        <v>149</v>
      </c>
      <c r="D142" s="5" t="s">
        <v>8</v>
      </c>
      <c r="E142" s="12">
        <v>22</v>
      </c>
      <c r="F142" s="2" t="str">
        <f t="shared" si="12"/>
        <v>Young</v>
      </c>
      <c r="G142" s="5" t="s">
        <v>11</v>
      </c>
      <c r="H142" s="8">
        <v>1</v>
      </c>
      <c r="I142" s="2">
        <v>50</v>
      </c>
      <c r="J142" s="2">
        <v>50</v>
      </c>
      <c r="K142" t="str">
        <f t="shared" si="13"/>
        <v>Low</v>
      </c>
      <c r="L142" s="12">
        <f t="shared" si="14"/>
        <v>2023</v>
      </c>
      <c r="M142" s="12">
        <f t="shared" si="15"/>
        <v>4</v>
      </c>
      <c r="N142" s="5" t="str">
        <f t="shared" si="16"/>
        <v>Thursday</v>
      </c>
      <c r="O142" s="5" t="str">
        <f t="shared" si="17"/>
        <v>November</v>
      </c>
    </row>
    <row r="143" spans="1:15" x14ac:dyDescent="0.3">
      <c r="A143" s="8">
        <v>142</v>
      </c>
      <c r="B143" s="25">
        <v>44959</v>
      </c>
      <c r="C143" s="5" t="s">
        <v>150</v>
      </c>
      <c r="D143" s="5" t="s">
        <v>5</v>
      </c>
      <c r="E143" s="12">
        <v>35</v>
      </c>
      <c r="F143" s="2" t="str">
        <f t="shared" si="12"/>
        <v>Adult</v>
      </c>
      <c r="G143" s="5" t="s">
        <v>11</v>
      </c>
      <c r="H143" s="8">
        <v>4</v>
      </c>
      <c r="I143" s="2">
        <v>300</v>
      </c>
      <c r="J143" s="2">
        <v>1200</v>
      </c>
      <c r="K143" t="str">
        <f t="shared" si="13"/>
        <v>Medium</v>
      </c>
      <c r="L143" s="12">
        <f t="shared" si="14"/>
        <v>2023</v>
      </c>
      <c r="M143" s="12">
        <f t="shared" si="15"/>
        <v>1</v>
      </c>
      <c r="N143" s="5" t="str">
        <f t="shared" si="16"/>
        <v>Thursday</v>
      </c>
      <c r="O143" s="5" t="str">
        <f t="shared" si="17"/>
        <v>February</v>
      </c>
    </row>
    <row r="144" spans="1:15" x14ac:dyDescent="0.3">
      <c r="A144" s="8">
        <v>143</v>
      </c>
      <c r="B144" s="25">
        <v>45124</v>
      </c>
      <c r="C144" s="5" t="s">
        <v>151</v>
      </c>
      <c r="D144" s="5" t="s">
        <v>8</v>
      </c>
      <c r="E144" s="12">
        <v>45</v>
      </c>
      <c r="F144" s="2" t="str">
        <f t="shared" si="12"/>
        <v>Adult</v>
      </c>
      <c r="G144" s="5" t="s">
        <v>9</v>
      </c>
      <c r="H144" s="8">
        <v>1</v>
      </c>
      <c r="I144" s="2">
        <v>50</v>
      </c>
      <c r="J144" s="2">
        <v>50</v>
      </c>
      <c r="K144" t="str">
        <f t="shared" si="13"/>
        <v>Low</v>
      </c>
      <c r="L144" s="12">
        <f t="shared" si="14"/>
        <v>2023</v>
      </c>
      <c r="M144" s="12">
        <f t="shared" si="15"/>
        <v>3</v>
      </c>
      <c r="N144" s="5" t="str">
        <f t="shared" si="16"/>
        <v>Monday</v>
      </c>
      <c r="O144" s="5" t="str">
        <f t="shared" si="17"/>
        <v>July</v>
      </c>
    </row>
    <row r="145" spans="1:15" x14ac:dyDescent="0.3">
      <c r="A145" s="8">
        <v>144</v>
      </c>
      <c r="B145" s="25">
        <v>45122</v>
      </c>
      <c r="C145" s="5" t="s">
        <v>152</v>
      </c>
      <c r="D145" s="5" t="s">
        <v>8</v>
      </c>
      <c r="E145" s="12">
        <v>59</v>
      </c>
      <c r="F145" s="2" t="str">
        <f t="shared" si="12"/>
        <v>Adult</v>
      </c>
      <c r="G145" s="5" t="s">
        <v>6</v>
      </c>
      <c r="H145" s="8">
        <v>3</v>
      </c>
      <c r="I145" s="2">
        <v>500</v>
      </c>
      <c r="J145" s="2">
        <v>1500</v>
      </c>
      <c r="K145" t="str">
        <f t="shared" si="13"/>
        <v>Medium</v>
      </c>
      <c r="L145" s="12">
        <f t="shared" si="14"/>
        <v>2023</v>
      </c>
      <c r="M145" s="12">
        <f t="shared" si="15"/>
        <v>3</v>
      </c>
      <c r="N145" s="5" t="str">
        <f t="shared" si="16"/>
        <v>Saturday</v>
      </c>
      <c r="O145" s="5" t="str">
        <f t="shared" si="17"/>
        <v>July</v>
      </c>
    </row>
    <row r="146" spans="1:15" x14ac:dyDescent="0.3">
      <c r="A146" s="8">
        <v>145</v>
      </c>
      <c r="B146" s="25">
        <v>45232</v>
      </c>
      <c r="C146" s="5" t="s">
        <v>153</v>
      </c>
      <c r="D146" s="5" t="s">
        <v>8</v>
      </c>
      <c r="E146" s="12">
        <v>39</v>
      </c>
      <c r="F146" s="2" t="str">
        <f t="shared" si="12"/>
        <v>Adult</v>
      </c>
      <c r="G146" s="5" t="s">
        <v>9</v>
      </c>
      <c r="H146" s="8">
        <v>3</v>
      </c>
      <c r="I146" s="2">
        <v>25</v>
      </c>
      <c r="J146" s="2">
        <v>75</v>
      </c>
      <c r="K146" t="str">
        <f t="shared" si="13"/>
        <v>Low</v>
      </c>
      <c r="L146" s="12">
        <f t="shared" si="14"/>
        <v>2023</v>
      </c>
      <c r="M146" s="12">
        <f t="shared" si="15"/>
        <v>4</v>
      </c>
      <c r="N146" s="5" t="str">
        <f t="shared" si="16"/>
        <v>Thursday</v>
      </c>
      <c r="O146" s="5" t="str">
        <f t="shared" si="17"/>
        <v>November</v>
      </c>
    </row>
    <row r="147" spans="1:15" x14ac:dyDescent="0.3">
      <c r="A147" s="8">
        <v>146</v>
      </c>
      <c r="B147" s="25">
        <v>45166</v>
      </c>
      <c r="C147" s="5" t="s">
        <v>154</v>
      </c>
      <c r="D147" s="5" t="s">
        <v>5</v>
      </c>
      <c r="E147" s="12">
        <v>38</v>
      </c>
      <c r="F147" s="2" t="str">
        <f t="shared" si="12"/>
        <v>Adult</v>
      </c>
      <c r="G147" s="5" t="s">
        <v>9</v>
      </c>
      <c r="H147" s="8">
        <v>4</v>
      </c>
      <c r="I147" s="2">
        <v>50</v>
      </c>
      <c r="J147" s="2">
        <v>200</v>
      </c>
      <c r="K147" t="str">
        <f t="shared" si="13"/>
        <v>Low</v>
      </c>
      <c r="L147" s="12">
        <f t="shared" si="14"/>
        <v>2023</v>
      </c>
      <c r="M147" s="12">
        <f t="shared" si="15"/>
        <v>3</v>
      </c>
      <c r="N147" s="5" t="str">
        <f t="shared" si="16"/>
        <v>Monday</v>
      </c>
      <c r="O147" s="5" t="str">
        <f t="shared" si="17"/>
        <v>August</v>
      </c>
    </row>
    <row r="148" spans="1:15" x14ac:dyDescent="0.3">
      <c r="A148" s="8">
        <v>147</v>
      </c>
      <c r="B148" s="25">
        <v>45197</v>
      </c>
      <c r="C148" s="5" t="s">
        <v>155</v>
      </c>
      <c r="D148" s="5" t="s">
        <v>5</v>
      </c>
      <c r="E148" s="12">
        <v>23</v>
      </c>
      <c r="F148" s="2" t="str">
        <f t="shared" si="12"/>
        <v>Young</v>
      </c>
      <c r="G148" s="5" t="s">
        <v>11</v>
      </c>
      <c r="H148" s="8">
        <v>1</v>
      </c>
      <c r="I148" s="2">
        <v>300</v>
      </c>
      <c r="J148" s="2">
        <v>300</v>
      </c>
      <c r="K148" t="str">
        <f t="shared" si="13"/>
        <v>Low</v>
      </c>
      <c r="L148" s="12">
        <f t="shared" si="14"/>
        <v>2023</v>
      </c>
      <c r="M148" s="12">
        <f t="shared" si="15"/>
        <v>3</v>
      </c>
      <c r="N148" s="5" t="str">
        <f t="shared" si="16"/>
        <v>Thursday</v>
      </c>
      <c r="O148" s="5" t="str">
        <f t="shared" si="17"/>
        <v>September</v>
      </c>
    </row>
    <row r="149" spans="1:15" x14ac:dyDescent="0.3">
      <c r="A149" s="8">
        <v>148</v>
      </c>
      <c r="B149" s="25">
        <v>45055</v>
      </c>
      <c r="C149" s="5" t="s">
        <v>156</v>
      </c>
      <c r="D149" s="5" t="s">
        <v>5</v>
      </c>
      <c r="E149" s="12">
        <v>18</v>
      </c>
      <c r="F149" s="2" t="str">
        <f t="shared" si="12"/>
        <v>Young</v>
      </c>
      <c r="G149" s="5" t="s">
        <v>9</v>
      </c>
      <c r="H149" s="8">
        <v>2</v>
      </c>
      <c r="I149" s="2">
        <v>30</v>
      </c>
      <c r="J149" s="2">
        <v>60</v>
      </c>
      <c r="K149" t="str">
        <f t="shared" si="13"/>
        <v>Low</v>
      </c>
      <c r="L149" s="12">
        <f t="shared" si="14"/>
        <v>2023</v>
      </c>
      <c r="M149" s="12">
        <f t="shared" si="15"/>
        <v>2</v>
      </c>
      <c r="N149" s="5" t="str">
        <f t="shared" si="16"/>
        <v>Tuesday</v>
      </c>
      <c r="O149" s="5" t="str">
        <f t="shared" si="17"/>
        <v>May</v>
      </c>
    </row>
    <row r="150" spans="1:15" x14ac:dyDescent="0.3">
      <c r="A150" s="8">
        <v>149</v>
      </c>
      <c r="B150" s="25">
        <v>45210</v>
      </c>
      <c r="C150" s="5" t="s">
        <v>157</v>
      </c>
      <c r="D150" s="5" t="s">
        <v>5</v>
      </c>
      <c r="E150" s="12">
        <v>22</v>
      </c>
      <c r="F150" s="2" t="str">
        <f t="shared" si="12"/>
        <v>Young</v>
      </c>
      <c r="G150" s="5" t="s">
        <v>9</v>
      </c>
      <c r="H150" s="8">
        <v>3</v>
      </c>
      <c r="I150" s="2">
        <v>25</v>
      </c>
      <c r="J150" s="2">
        <v>75</v>
      </c>
      <c r="K150" t="str">
        <f t="shared" si="13"/>
        <v>Low</v>
      </c>
      <c r="L150" s="12">
        <f t="shared" si="14"/>
        <v>2023</v>
      </c>
      <c r="M150" s="12">
        <f t="shared" si="15"/>
        <v>4</v>
      </c>
      <c r="N150" s="5" t="str">
        <f t="shared" si="16"/>
        <v>Wednesday</v>
      </c>
      <c r="O150" s="5" t="str">
        <f t="shared" si="17"/>
        <v>October</v>
      </c>
    </row>
    <row r="151" spans="1:15" x14ac:dyDescent="0.3">
      <c r="A151" s="8">
        <v>150</v>
      </c>
      <c r="B151" s="25">
        <v>44932</v>
      </c>
      <c r="C151" s="5" t="s">
        <v>158</v>
      </c>
      <c r="D151" s="5" t="s">
        <v>8</v>
      </c>
      <c r="E151" s="12">
        <v>58</v>
      </c>
      <c r="F151" s="2" t="str">
        <f t="shared" si="12"/>
        <v>Adult</v>
      </c>
      <c r="G151" s="5" t="s">
        <v>11</v>
      </c>
      <c r="H151" s="8">
        <v>4</v>
      </c>
      <c r="I151" s="2">
        <v>30</v>
      </c>
      <c r="J151" s="2">
        <v>120</v>
      </c>
      <c r="K151" t="str">
        <f t="shared" si="13"/>
        <v>Low</v>
      </c>
      <c r="L151" s="12">
        <f t="shared" si="14"/>
        <v>2023</v>
      </c>
      <c r="M151" s="12">
        <f t="shared" si="15"/>
        <v>1</v>
      </c>
      <c r="N151" s="5" t="str">
        <f t="shared" si="16"/>
        <v>Friday</v>
      </c>
      <c r="O151" s="5" t="str">
        <f t="shared" si="17"/>
        <v>January</v>
      </c>
    </row>
    <row r="152" spans="1:15" x14ac:dyDescent="0.3">
      <c r="A152" s="8">
        <v>151</v>
      </c>
      <c r="B152" s="25">
        <v>45275</v>
      </c>
      <c r="C152" s="5" t="s">
        <v>159</v>
      </c>
      <c r="D152" s="5" t="s">
        <v>5</v>
      </c>
      <c r="E152" s="12">
        <v>29</v>
      </c>
      <c r="F152" s="2" t="str">
        <f t="shared" si="12"/>
        <v>Young</v>
      </c>
      <c r="G152" s="5" t="s">
        <v>9</v>
      </c>
      <c r="H152" s="8">
        <v>1</v>
      </c>
      <c r="I152" s="2">
        <v>50</v>
      </c>
      <c r="J152" s="2">
        <v>50</v>
      </c>
      <c r="K152" t="str">
        <f t="shared" si="13"/>
        <v>Low</v>
      </c>
      <c r="L152" s="12">
        <f t="shared" si="14"/>
        <v>2023</v>
      </c>
      <c r="M152" s="12">
        <f t="shared" si="15"/>
        <v>4</v>
      </c>
      <c r="N152" s="5" t="str">
        <f t="shared" si="16"/>
        <v>Friday</v>
      </c>
      <c r="O152" s="5" t="str">
        <f t="shared" si="17"/>
        <v>December</v>
      </c>
    </row>
    <row r="153" spans="1:15" x14ac:dyDescent="0.3">
      <c r="A153" s="8">
        <v>152</v>
      </c>
      <c r="B153" s="25">
        <v>44985</v>
      </c>
      <c r="C153" s="5" t="s">
        <v>160</v>
      </c>
      <c r="D153" s="5" t="s">
        <v>5</v>
      </c>
      <c r="E153" s="12">
        <v>43</v>
      </c>
      <c r="F153" s="2" t="str">
        <f t="shared" si="12"/>
        <v>Adult</v>
      </c>
      <c r="G153" s="5" t="s">
        <v>11</v>
      </c>
      <c r="H153" s="8">
        <v>4</v>
      </c>
      <c r="I153" s="2">
        <v>500</v>
      </c>
      <c r="J153" s="2">
        <v>2000</v>
      </c>
      <c r="K153" t="str">
        <f t="shared" si="13"/>
        <v>High</v>
      </c>
      <c r="L153" s="12">
        <f t="shared" si="14"/>
        <v>2023</v>
      </c>
      <c r="M153" s="12">
        <f t="shared" si="15"/>
        <v>1</v>
      </c>
      <c r="N153" s="5" t="str">
        <f t="shared" si="16"/>
        <v>Tuesday</v>
      </c>
      <c r="O153" s="5" t="str">
        <f t="shared" si="17"/>
        <v>February</v>
      </c>
    </row>
    <row r="154" spans="1:15" x14ac:dyDescent="0.3">
      <c r="A154" s="8">
        <v>153</v>
      </c>
      <c r="B154" s="25">
        <v>45276</v>
      </c>
      <c r="C154" s="5" t="s">
        <v>161</v>
      </c>
      <c r="D154" s="5" t="s">
        <v>5</v>
      </c>
      <c r="E154" s="12">
        <v>63</v>
      </c>
      <c r="F154" s="2" t="str">
        <f t="shared" si="12"/>
        <v>Senior</v>
      </c>
      <c r="G154" s="5" t="s">
        <v>11</v>
      </c>
      <c r="H154" s="8">
        <v>2</v>
      </c>
      <c r="I154" s="2">
        <v>500</v>
      </c>
      <c r="J154" s="2">
        <v>1000</v>
      </c>
      <c r="K154" t="str">
        <f t="shared" si="13"/>
        <v>Medium</v>
      </c>
      <c r="L154" s="12">
        <f t="shared" si="14"/>
        <v>2023</v>
      </c>
      <c r="M154" s="12">
        <f t="shared" si="15"/>
        <v>4</v>
      </c>
      <c r="N154" s="5" t="str">
        <f t="shared" si="16"/>
        <v>Saturday</v>
      </c>
      <c r="O154" s="5" t="str">
        <f t="shared" si="17"/>
        <v>December</v>
      </c>
    </row>
    <row r="155" spans="1:15" x14ac:dyDescent="0.3">
      <c r="A155" s="8">
        <v>154</v>
      </c>
      <c r="B155" s="25">
        <v>45201</v>
      </c>
      <c r="C155" s="5" t="s">
        <v>162</v>
      </c>
      <c r="D155" s="5" t="s">
        <v>5</v>
      </c>
      <c r="E155" s="12">
        <v>51</v>
      </c>
      <c r="F155" s="2" t="str">
        <f t="shared" si="12"/>
        <v>Adult</v>
      </c>
      <c r="G155" s="5" t="s">
        <v>11</v>
      </c>
      <c r="H155" s="8">
        <v>3</v>
      </c>
      <c r="I155" s="2">
        <v>300</v>
      </c>
      <c r="J155" s="2">
        <v>900</v>
      </c>
      <c r="K155" t="str">
        <f t="shared" si="13"/>
        <v>Medium</v>
      </c>
      <c r="L155" s="12">
        <f t="shared" si="14"/>
        <v>2023</v>
      </c>
      <c r="M155" s="12">
        <f t="shared" si="15"/>
        <v>4</v>
      </c>
      <c r="N155" s="5" t="str">
        <f t="shared" si="16"/>
        <v>Monday</v>
      </c>
      <c r="O155" s="5" t="str">
        <f t="shared" si="17"/>
        <v>October</v>
      </c>
    </row>
    <row r="156" spans="1:15" x14ac:dyDescent="0.3">
      <c r="A156" s="8">
        <v>155</v>
      </c>
      <c r="B156" s="25">
        <v>45063</v>
      </c>
      <c r="C156" s="5" t="s">
        <v>163</v>
      </c>
      <c r="D156" s="5" t="s">
        <v>5</v>
      </c>
      <c r="E156" s="12">
        <v>31</v>
      </c>
      <c r="F156" s="2" t="str">
        <f t="shared" si="12"/>
        <v>Adult</v>
      </c>
      <c r="G156" s="5" t="s">
        <v>11</v>
      </c>
      <c r="H156" s="8">
        <v>4</v>
      </c>
      <c r="I156" s="2">
        <v>500</v>
      </c>
      <c r="J156" s="2">
        <v>2000</v>
      </c>
      <c r="K156" t="str">
        <f t="shared" si="13"/>
        <v>High</v>
      </c>
      <c r="L156" s="12">
        <f t="shared" si="14"/>
        <v>2023</v>
      </c>
      <c r="M156" s="12">
        <f t="shared" si="15"/>
        <v>2</v>
      </c>
      <c r="N156" s="5" t="str">
        <f t="shared" si="16"/>
        <v>Wednesday</v>
      </c>
      <c r="O156" s="5" t="str">
        <f t="shared" si="17"/>
        <v>May</v>
      </c>
    </row>
    <row r="157" spans="1:15" x14ac:dyDescent="0.3">
      <c r="A157" s="8">
        <v>156</v>
      </c>
      <c r="B157" s="25">
        <v>45255</v>
      </c>
      <c r="C157" s="5" t="s">
        <v>164</v>
      </c>
      <c r="D157" s="5" t="s">
        <v>8</v>
      </c>
      <c r="E157" s="12">
        <v>43</v>
      </c>
      <c r="F157" s="2" t="str">
        <f t="shared" si="12"/>
        <v>Adult</v>
      </c>
      <c r="G157" s="5" t="s">
        <v>9</v>
      </c>
      <c r="H157" s="8">
        <v>4</v>
      </c>
      <c r="I157" s="2">
        <v>25</v>
      </c>
      <c r="J157" s="2">
        <v>100</v>
      </c>
      <c r="K157" t="str">
        <f t="shared" si="13"/>
        <v>Low</v>
      </c>
      <c r="L157" s="12">
        <f t="shared" si="14"/>
        <v>2023</v>
      </c>
      <c r="M157" s="12">
        <f t="shared" si="15"/>
        <v>4</v>
      </c>
      <c r="N157" s="5" t="str">
        <f t="shared" si="16"/>
        <v>Saturday</v>
      </c>
      <c r="O157" s="5" t="str">
        <f t="shared" si="17"/>
        <v>November</v>
      </c>
    </row>
    <row r="158" spans="1:15" x14ac:dyDescent="0.3">
      <c r="A158" s="8">
        <v>157</v>
      </c>
      <c r="B158" s="25">
        <v>45101</v>
      </c>
      <c r="C158" s="5" t="s">
        <v>165</v>
      </c>
      <c r="D158" s="5" t="s">
        <v>5</v>
      </c>
      <c r="E158" s="12">
        <v>62</v>
      </c>
      <c r="F158" s="2" t="str">
        <f t="shared" si="12"/>
        <v>Senior</v>
      </c>
      <c r="G158" s="5" t="s">
        <v>11</v>
      </c>
      <c r="H158" s="8">
        <v>4</v>
      </c>
      <c r="I158" s="2">
        <v>500</v>
      </c>
      <c r="J158" s="2">
        <v>2000</v>
      </c>
      <c r="K158" t="str">
        <f t="shared" si="13"/>
        <v>High</v>
      </c>
      <c r="L158" s="12">
        <f t="shared" si="14"/>
        <v>2023</v>
      </c>
      <c r="M158" s="12">
        <f t="shared" si="15"/>
        <v>2</v>
      </c>
      <c r="N158" s="5" t="str">
        <f t="shared" si="16"/>
        <v>Saturday</v>
      </c>
      <c r="O158" s="5" t="str">
        <f t="shared" si="17"/>
        <v>June</v>
      </c>
    </row>
    <row r="159" spans="1:15" x14ac:dyDescent="0.3">
      <c r="A159" s="8">
        <v>158</v>
      </c>
      <c r="B159" s="25">
        <v>44984</v>
      </c>
      <c r="C159" s="5" t="s">
        <v>166</v>
      </c>
      <c r="D159" s="5" t="s">
        <v>8</v>
      </c>
      <c r="E159" s="12">
        <v>44</v>
      </c>
      <c r="F159" s="2" t="str">
        <f t="shared" si="12"/>
        <v>Adult</v>
      </c>
      <c r="G159" s="5" t="s">
        <v>11</v>
      </c>
      <c r="H159" s="8">
        <v>2</v>
      </c>
      <c r="I159" s="2">
        <v>300</v>
      </c>
      <c r="J159" s="2">
        <v>600</v>
      </c>
      <c r="K159" t="str">
        <f t="shared" si="13"/>
        <v>Medium</v>
      </c>
      <c r="L159" s="12">
        <f t="shared" si="14"/>
        <v>2023</v>
      </c>
      <c r="M159" s="12">
        <f t="shared" si="15"/>
        <v>1</v>
      </c>
      <c r="N159" s="5" t="str">
        <f t="shared" si="16"/>
        <v>Monday</v>
      </c>
      <c r="O159" s="5" t="str">
        <f t="shared" si="17"/>
        <v>February</v>
      </c>
    </row>
    <row r="160" spans="1:15" x14ac:dyDescent="0.3">
      <c r="A160" s="8">
        <v>159</v>
      </c>
      <c r="B160" s="25">
        <v>45077</v>
      </c>
      <c r="C160" s="5" t="s">
        <v>167</v>
      </c>
      <c r="D160" s="5" t="s">
        <v>5</v>
      </c>
      <c r="E160" s="12">
        <v>26</v>
      </c>
      <c r="F160" s="2" t="str">
        <f t="shared" si="12"/>
        <v>Young</v>
      </c>
      <c r="G160" s="5" t="s">
        <v>9</v>
      </c>
      <c r="H160" s="8">
        <v>4</v>
      </c>
      <c r="I160" s="2">
        <v>50</v>
      </c>
      <c r="J160" s="2">
        <v>200</v>
      </c>
      <c r="K160" t="str">
        <f t="shared" si="13"/>
        <v>Low</v>
      </c>
      <c r="L160" s="12">
        <f t="shared" si="14"/>
        <v>2023</v>
      </c>
      <c r="M160" s="12">
        <f t="shared" si="15"/>
        <v>2</v>
      </c>
      <c r="N160" s="5" t="str">
        <f t="shared" si="16"/>
        <v>Wednesday</v>
      </c>
      <c r="O160" s="5" t="str">
        <f t="shared" si="17"/>
        <v>May</v>
      </c>
    </row>
    <row r="161" spans="1:15" x14ac:dyDescent="0.3">
      <c r="A161" s="8">
        <v>160</v>
      </c>
      <c r="B161" s="25">
        <v>45149</v>
      </c>
      <c r="C161" s="5" t="s">
        <v>168</v>
      </c>
      <c r="D161" s="5" t="s">
        <v>8</v>
      </c>
      <c r="E161" s="12">
        <v>43</v>
      </c>
      <c r="F161" s="2" t="str">
        <f t="shared" si="12"/>
        <v>Adult</v>
      </c>
      <c r="G161" s="5" t="s">
        <v>9</v>
      </c>
      <c r="H161" s="8">
        <v>2</v>
      </c>
      <c r="I161" s="2">
        <v>50</v>
      </c>
      <c r="J161" s="2">
        <v>100</v>
      </c>
      <c r="K161" t="str">
        <f t="shared" si="13"/>
        <v>Low</v>
      </c>
      <c r="L161" s="12">
        <f t="shared" si="14"/>
        <v>2023</v>
      </c>
      <c r="M161" s="12">
        <f t="shared" si="15"/>
        <v>3</v>
      </c>
      <c r="N161" s="5" t="str">
        <f t="shared" si="16"/>
        <v>Friday</v>
      </c>
      <c r="O161" s="5" t="str">
        <f t="shared" si="17"/>
        <v>August</v>
      </c>
    </row>
    <row r="162" spans="1:15" x14ac:dyDescent="0.3">
      <c r="A162" s="8">
        <v>161</v>
      </c>
      <c r="B162" s="25">
        <v>45007</v>
      </c>
      <c r="C162" s="5" t="s">
        <v>169</v>
      </c>
      <c r="D162" s="5" t="s">
        <v>5</v>
      </c>
      <c r="E162" s="12">
        <v>64</v>
      </c>
      <c r="F162" s="2" t="str">
        <f t="shared" si="12"/>
        <v>Senior</v>
      </c>
      <c r="G162" s="5" t="s">
        <v>6</v>
      </c>
      <c r="H162" s="8">
        <v>2</v>
      </c>
      <c r="I162" s="2">
        <v>500</v>
      </c>
      <c r="J162" s="2">
        <v>1000</v>
      </c>
      <c r="K162" t="str">
        <f t="shared" si="13"/>
        <v>Medium</v>
      </c>
      <c r="L162" s="12">
        <f t="shared" si="14"/>
        <v>2023</v>
      </c>
      <c r="M162" s="12">
        <f t="shared" si="15"/>
        <v>1</v>
      </c>
      <c r="N162" s="5" t="str">
        <f t="shared" si="16"/>
        <v>Wednesday</v>
      </c>
      <c r="O162" s="5" t="str">
        <f t="shared" si="17"/>
        <v>March</v>
      </c>
    </row>
    <row r="163" spans="1:15" x14ac:dyDescent="0.3">
      <c r="A163" s="8">
        <v>162</v>
      </c>
      <c r="B163" s="25">
        <v>45159</v>
      </c>
      <c r="C163" s="5" t="s">
        <v>170</v>
      </c>
      <c r="D163" s="5" t="s">
        <v>5</v>
      </c>
      <c r="E163" s="12">
        <v>39</v>
      </c>
      <c r="F163" s="2" t="str">
        <f t="shared" si="12"/>
        <v>Adult</v>
      </c>
      <c r="G163" s="5" t="s">
        <v>9</v>
      </c>
      <c r="H163" s="8">
        <v>2</v>
      </c>
      <c r="I163" s="2">
        <v>30</v>
      </c>
      <c r="J163" s="2">
        <v>60</v>
      </c>
      <c r="K163" t="str">
        <f t="shared" si="13"/>
        <v>Low</v>
      </c>
      <c r="L163" s="12">
        <f t="shared" si="14"/>
        <v>2023</v>
      </c>
      <c r="M163" s="12">
        <f t="shared" si="15"/>
        <v>3</v>
      </c>
      <c r="N163" s="5" t="str">
        <f t="shared" si="16"/>
        <v>Monday</v>
      </c>
      <c r="O163" s="5" t="str">
        <f t="shared" si="17"/>
        <v>August</v>
      </c>
    </row>
    <row r="164" spans="1:15" x14ac:dyDescent="0.3">
      <c r="A164" s="8">
        <v>163</v>
      </c>
      <c r="B164" s="25">
        <v>44928</v>
      </c>
      <c r="C164" s="5" t="s">
        <v>171</v>
      </c>
      <c r="D164" s="5" t="s">
        <v>8</v>
      </c>
      <c r="E164" s="12">
        <v>64</v>
      </c>
      <c r="F164" s="2" t="str">
        <f t="shared" si="12"/>
        <v>Senior</v>
      </c>
      <c r="G164" s="5" t="s">
        <v>9</v>
      </c>
      <c r="H164" s="8">
        <v>3</v>
      </c>
      <c r="I164" s="2">
        <v>50</v>
      </c>
      <c r="J164" s="2">
        <v>150</v>
      </c>
      <c r="K164" t="str">
        <f t="shared" si="13"/>
        <v>Low</v>
      </c>
      <c r="L164" s="12">
        <f t="shared" si="14"/>
        <v>2023</v>
      </c>
      <c r="M164" s="12">
        <f t="shared" si="15"/>
        <v>1</v>
      </c>
      <c r="N164" s="5" t="str">
        <f t="shared" si="16"/>
        <v>Monday</v>
      </c>
      <c r="O164" s="5" t="str">
        <f t="shared" si="17"/>
        <v>January</v>
      </c>
    </row>
    <row r="165" spans="1:15" x14ac:dyDescent="0.3">
      <c r="A165" s="8">
        <v>164</v>
      </c>
      <c r="B165" s="25">
        <v>45061</v>
      </c>
      <c r="C165" s="5" t="s">
        <v>172</v>
      </c>
      <c r="D165" s="5" t="s">
        <v>8</v>
      </c>
      <c r="E165" s="12">
        <v>47</v>
      </c>
      <c r="F165" s="2" t="str">
        <f t="shared" si="12"/>
        <v>Adult</v>
      </c>
      <c r="G165" s="5" t="s">
        <v>6</v>
      </c>
      <c r="H165" s="8">
        <v>3</v>
      </c>
      <c r="I165" s="2">
        <v>500</v>
      </c>
      <c r="J165" s="2">
        <v>1500</v>
      </c>
      <c r="K165" t="str">
        <f t="shared" si="13"/>
        <v>Medium</v>
      </c>
      <c r="L165" s="12">
        <f t="shared" si="14"/>
        <v>2023</v>
      </c>
      <c r="M165" s="12">
        <f t="shared" si="15"/>
        <v>2</v>
      </c>
      <c r="N165" s="5" t="str">
        <f t="shared" si="16"/>
        <v>Monday</v>
      </c>
      <c r="O165" s="5" t="str">
        <f t="shared" si="17"/>
        <v>May</v>
      </c>
    </row>
    <row r="166" spans="1:15" x14ac:dyDescent="0.3">
      <c r="A166" s="8">
        <v>165</v>
      </c>
      <c r="B166" s="25">
        <v>45183</v>
      </c>
      <c r="C166" s="5" t="s">
        <v>173</v>
      </c>
      <c r="D166" s="5" t="s">
        <v>8</v>
      </c>
      <c r="E166" s="12">
        <v>60</v>
      </c>
      <c r="F166" s="2" t="str">
        <f t="shared" si="12"/>
        <v>Adult</v>
      </c>
      <c r="G166" s="5" t="s">
        <v>9</v>
      </c>
      <c r="H166" s="8">
        <v>4</v>
      </c>
      <c r="I166" s="2">
        <v>300</v>
      </c>
      <c r="J166" s="2">
        <v>1200</v>
      </c>
      <c r="K166" t="str">
        <f t="shared" si="13"/>
        <v>Medium</v>
      </c>
      <c r="L166" s="12">
        <f t="shared" si="14"/>
        <v>2023</v>
      </c>
      <c r="M166" s="12">
        <f t="shared" si="15"/>
        <v>3</v>
      </c>
      <c r="N166" s="5" t="str">
        <f t="shared" si="16"/>
        <v>Thursday</v>
      </c>
      <c r="O166" s="5" t="str">
        <f t="shared" si="17"/>
        <v>September</v>
      </c>
    </row>
    <row r="167" spans="1:15" x14ac:dyDescent="0.3">
      <c r="A167" s="8">
        <v>166</v>
      </c>
      <c r="B167" s="25">
        <v>45018</v>
      </c>
      <c r="C167" s="5" t="s">
        <v>174</v>
      </c>
      <c r="D167" s="5" t="s">
        <v>5</v>
      </c>
      <c r="E167" s="12">
        <v>34</v>
      </c>
      <c r="F167" s="2" t="str">
        <f t="shared" si="12"/>
        <v>Adult</v>
      </c>
      <c r="G167" s="5" t="s">
        <v>9</v>
      </c>
      <c r="H167" s="8">
        <v>4</v>
      </c>
      <c r="I167" s="2">
        <v>500</v>
      </c>
      <c r="J167" s="2">
        <v>2000</v>
      </c>
      <c r="K167" t="str">
        <f t="shared" si="13"/>
        <v>High</v>
      </c>
      <c r="L167" s="12">
        <f t="shared" si="14"/>
        <v>2023</v>
      </c>
      <c r="M167" s="12">
        <f t="shared" si="15"/>
        <v>2</v>
      </c>
      <c r="N167" s="5" t="str">
        <f t="shared" si="16"/>
        <v>Sunday</v>
      </c>
      <c r="O167" s="5" t="str">
        <f t="shared" si="17"/>
        <v>April</v>
      </c>
    </row>
    <row r="168" spans="1:15" x14ac:dyDescent="0.3">
      <c r="A168" s="8">
        <v>167</v>
      </c>
      <c r="B168" s="25">
        <v>45186</v>
      </c>
      <c r="C168" s="5" t="s">
        <v>175</v>
      </c>
      <c r="D168" s="5" t="s">
        <v>8</v>
      </c>
      <c r="E168" s="12">
        <v>43</v>
      </c>
      <c r="F168" s="2" t="str">
        <f t="shared" si="12"/>
        <v>Adult</v>
      </c>
      <c r="G168" s="5" t="s">
        <v>9</v>
      </c>
      <c r="H168" s="8">
        <v>3</v>
      </c>
      <c r="I168" s="2">
        <v>50</v>
      </c>
      <c r="J168" s="2">
        <v>150</v>
      </c>
      <c r="K168" t="str">
        <f t="shared" si="13"/>
        <v>Low</v>
      </c>
      <c r="L168" s="12">
        <f t="shared" si="14"/>
        <v>2023</v>
      </c>
      <c r="M168" s="12">
        <f t="shared" si="15"/>
        <v>3</v>
      </c>
      <c r="N168" s="5" t="str">
        <f t="shared" si="16"/>
        <v>Sunday</v>
      </c>
      <c r="O168" s="5" t="str">
        <f t="shared" si="17"/>
        <v>September</v>
      </c>
    </row>
    <row r="169" spans="1:15" x14ac:dyDescent="0.3">
      <c r="A169" s="8">
        <v>168</v>
      </c>
      <c r="B169" s="25">
        <v>44981</v>
      </c>
      <c r="C169" s="5" t="s">
        <v>176</v>
      </c>
      <c r="D169" s="5" t="s">
        <v>5</v>
      </c>
      <c r="E169" s="12">
        <v>53</v>
      </c>
      <c r="F169" s="2" t="str">
        <f t="shared" si="12"/>
        <v>Adult</v>
      </c>
      <c r="G169" s="5" t="s">
        <v>9</v>
      </c>
      <c r="H169" s="8">
        <v>1</v>
      </c>
      <c r="I169" s="2">
        <v>300</v>
      </c>
      <c r="J169" s="2">
        <v>300</v>
      </c>
      <c r="K169" t="str">
        <f t="shared" si="13"/>
        <v>Low</v>
      </c>
      <c r="L169" s="12">
        <f t="shared" si="14"/>
        <v>2023</v>
      </c>
      <c r="M169" s="12">
        <f t="shared" si="15"/>
        <v>1</v>
      </c>
      <c r="N169" s="5" t="str">
        <f t="shared" si="16"/>
        <v>Friday</v>
      </c>
      <c r="O169" s="5" t="str">
        <f t="shared" si="17"/>
        <v>February</v>
      </c>
    </row>
    <row r="170" spans="1:15" x14ac:dyDescent="0.3">
      <c r="A170" s="8">
        <v>169</v>
      </c>
      <c r="B170" s="25">
        <v>45247</v>
      </c>
      <c r="C170" s="5" t="s">
        <v>177</v>
      </c>
      <c r="D170" s="5" t="s">
        <v>5</v>
      </c>
      <c r="E170" s="12">
        <v>18</v>
      </c>
      <c r="F170" s="2" t="str">
        <f t="shared" si="12"/>
        <v>Young</v>
      </c>
      <c r="G170" s="5" t="s">
        <v>6</v>
      </c>
      <c r="H170" s="8">
        <v>3</v>
      </c>
      <c r="I170" s="2">
        <v>500</v>
      </c>
      <c r="J170" s="2">
        <v>1500</v>
      </c>
      <c r="K170" t="str">
        <f t="shared" si="13"/>
        <v>Medium</v>
      </c>
      <c r="L170" s="12">
        <f t="shared" si="14"/>
        <v>2023</v>
      </c>
      <c r="M170" s="12">
        <f t="shared" si="15"/>
        <v>4</v>
      </c>
      <c r="N170" s="5" t="str">
        <f t="shared" si="16"/>
        <v>Friday</v>
      </c>
      <c r="O170" s="5" t="str">
        <f t="shared" si="17"/>
        <v>November</v>
      </c>
    </row>
    <row r="171" spans="1:15" x14ac:dyDescent="0.3">
      <c r="A171" s="8">
        <v>170</v>
      </c>
      <c r="B171" s="25">
        <v>45079</v>
      </c>
      <c r="C171" s="5" t="s">
        <v>178</v>
      </c>
      <c r="D171" s="5" t="s">
        <v>8</v>
      </c>
      <c r="E171" s="12">
        <v>25</v>
      </c>
      <c r="F171" s="2" t="str">
        <f t="shared" si="12"/>
        <v>Young</v>
      </c>
      <c r="G171" s="5" t="s">
        <v>9</v>
      </c>
      <c r="H171" s="8">
        <v>2</v>
      </c>
      <c r="I171" s="2">
        <v>25</v>
      </c>
      <c r="J171" s="2">
        <v>50</v>
      </c>
      <c r="K171" t="str">
        <f t="shared" si="13"/>
        <v>Low</v>
      </c>
      <c r="L171" s="12">
        <f t="shared" si="14"/>
        <v>2023</v>
      </c>
      <c r="M171" s="12">
        <f t="shared" si="15"/>
        <v>2</v>
      </c>
      <c r="N171" s="5" t="str">
        <f t="shared" si="16"/>
        <v>Friday</v>
      </c>
      <c r="O171" s="5" t="str">
        <f t="shared" si="17"/>
        <v>June</v>
      </c>
    </row>
    <row r="172" spans="1:15" x14ac:dyDescent="0.3">
      <c r="A172" s="8">
        <v>171</v>
      </c>
      <c r="B172" s="25">
        <v>45254</v>
      </c>
      <c r="C172" s="5" t="s">
        <v>179</v>
      </c>
      <c r="D172" s="5" t="s">
        <v>8</v>
      </c>
      <c r="E172" s="12">
        <v>52</v>
      </c>
      <c r="F172" s="2" t="str">
        <f t="shared" si="12"/>
        <v>Adult</v>
      </c>
      <c r="G172" s="5" t="s">
        <v>9</v>
      </c>
      <c r="H172" s="8">
        <v>3</v>
      </c>
      <c r="I172" s="2">
        <v>300</v>
      </c>
      <c r="J172" s="2">
        <v>900</v>
      </c>
      <c r="K172" t="str">
        <f t="shared" si="13"/>
        <v>Medium</v>
      </c>
      <c r="L172" s="12">
        <f t="shared" si="14"/>
        <v>2023</v>
      </c>
      <c r="M172" s="12">
        <f t="shared" si="15"/>
        <v>4</v>
      </c>
      <c r="N172" s="5" t="str">
        <f t="shared" si="16"/>
        <v>Friday</v>
      </c>
      <c r="O172" s="5" t="str">
        <f t="shared" si="17"/>
        <v>November</v>
      </c>
    </row>
    <row r="173" spans="1:15" x14ac:dyDescent="0.3">
      <c r="A173" s="8">
        <v>172</v>
      </c>
      <c r="B173" s="25">
        <v>45186</v>
      </c>
      <c r="C173" s="5" t="s">
        <v>180</v>
      </c>
      <c r="D173" s="5" t="s">
        <v>5</v>
      </c>
      <c r="E173" s="12">
        <v>32</v>
      </c>
      <c r="F173" s="2" t="str">
        <f t="shared" si="12"/>
        <v>Adult</v>
      </c>
      <c r="G173" s="5" t="s">
        <v>6</v>
      </c>
      <c r="H173" s="8">
        <v>2</v>
      </c>
      <c r="I173" s="2">
        <v>25</v>
      </c>
      <c r="J173" s="2">
        <v>50</v>
      </c>
      <c r="K173" t="str">
        <f t="shared" si="13"/>
        <v>Low</v>
      </c>
      <c r="L173" s="12">
        <f t="shared" si="14"/>
        <v>2023</v>
      </c>
      <c r="M173" s="12">
        <f t="shared" si="15"/>
        <v>3</v>
      </c>
      <c r="N173" s="5" t="str">
        <f t="shared" si="16"/>
        <v>Sunday</v>
      </c>
      <c r="O173" s="5" t="str">
        <f t="shared" si="17"/>
        <v>September</v>
      </c>
    </row>
    <row r="174" spans="1:15" x14ac:dyDescent="0.3">
      <c r="A174" s="8">
        <v>173</v>
      </c>
      <c r="B174" s="25">
        <v>45238</v>
      </c>
      <c r="C174" s="5" t="s">
        <v>181</v>
      </c>
      <c r="D174" s="5" t="s">
        <v>5</v>
      </c>
      <c r="E174" s="12">
        <v>64</v>
      </c>
      <c r="F174" s="2" t="str">
        <f t="shared" si="12"/>
        <v>Senior</v>
      </c>
      <c r="G174" s="5" t="s">
        <v>11</v>
      </c>
      <c r="H174" s="8">
        <v>4</v>
      </c>
      <c r="I174" s="2">
        <v>30</v>
      </c>
      <c r="J174" s="2">
        <v>120</v>
      </c>
      <c r="K174" t="str">
        <f t="shared" si="13"/>
        <v>Low</v>
      </c>
      <c r="L174" s="12">
        <f t="shared" si="14"/>
        <v>2023</v>
      </c>
      <c r="M174" s="12">
        <f t="shared" si="15"/>
        <v>4</v>
      </c>
      <c r="N174" s="5" t="str">
        <f t="shared" si="16"/>
        <v>Wednesday</v>
      </c>
      <c r="O174" s="5" t="str">
        <f t="shared" si="17"/>
        <v>November</v>
      </c>
    </row>
    <row r="175" spans="1:15" x14ac:dyDescent="0.3">
      <c r="A175" s="8">
        <v>174</v>
      </c>
      <c r="B175" s="25">
        <v>45028</v>
      </c>
      <c r="C175" s="5" t="s">
        <v>182</v>
      </c>
      <c r="D175" s="5" t="s">
        <v>8</v>
      </c>
      <c r="E175" s="12">
        <v>39</v>
      </c>
      <c r="F175" s="2" t="str">
        <f t="shared" si="12"/>
        <v>Adult</v>
      </c>
      <c r="G175" s="5" t="s">
        <v>6</v>
      </c>
      <c r="H175" s="8">
        <v>1</v>
      </c>
      <c r="I175" s="2">
        <v>300</v>
      </c>
      <c r="J175" s="2">
        <v>300</v>
      </c>
      <c r="K175" t="str">
        <f t="shared" si="13"/>
        <v>Low</v>
      </c>
      <c r="L175" s="12">
        <f t="shared" si="14"/>
        <v>2023</v>
      </c>
      <c r="M175" s="12">
        <f t="shared" si="15"/>
        <v>2</v>
      </c>
      <c r="N175" s="5" t="str">
        <f t="shared" si="16"/>
        <v>Wednesday</v>
      </c>
      <c r="O175" s="5" t="str">
        <f t="shared" si="17"/>
        <v>April</v>
      </c>
    </row>
    <row r="176" spans="1:15" x14ac:dyDescent="0.3">
      <c r="A176" s="8">
        <v>175</v>
      </c>
      <c r="B176" s="25">
        <v>45005</v>
      </c>
      <c r="C176" s="5" t="s">
        <v>183</v>
      </c>
      <c r="D176" s="5" t="s">
        <v>8</v>
      </c>
      <c r="E176" s="12">
        <v>31</v>
      </c>
      <c r="F176" s="2" t="str">
        <f t="shared" si="12"/>
        <v>Adult</v>
      </c>
      <c r="G176" s="5" t="s">
        <v>11</v>
      </c>
      <c r="H176" s="8">
        <v>4</v>
      </c>
      <c r="I176" s="2">
        <v>25</v>
      </c>
      <c r="J176" s="2">
        <v>100</v>
      </c>
      <c r="K176" t="str">
        <f t="shared" si="13"/>
        <v>Low</v>
      </c>
      <c r="L176" s="12">
        <f t="shared" si="14"/>
        <v>2023</v>
      </c>
      <c r="M176" s="12">
        <f t="shared" si="15"/>
        <v>1</v>
      </c>
      <c r="N176" s="5" t="str">
        <f t="shared" si="16"/>
        <v>Monday</v>
      </c>
      <c r="O176" s="5" t="str">
        <f t="shared" si="17"/>
        <v>March</v>
      </c>
    </row>
    <row r="177" spans="1:15" x14ac:dyDescent="0.3">
      <c r="A177" s="8">
        <v>176</v>
      </c>
      <c r="B177" s="25">
        <v>45118</v>
      </c>
      <c r="C177" s="5" t="s">
        <v>184</v>
      </c>
      <c r="D177" s="5" t="s">
        <v>8</v>
      </c>
      <c r="E177" s="12">
        <v>43</v>
      </c>
      <c r="F177" s="2" t="str">
        <f t="shared" si="12"/>
        <v>Adult</v>
      </c>
      <c r="G177" s="5" t="s">
        <v>6</v>
      </c>
      <c r="H177" s="8">
        <v>2</v>
      </c>
      <c r="I177" s="2">
        <v>50</v>
      </c>
      <c r="J177" s="2">
        <v>100</v>
      </c>
      <c r="K177" t="str">
        <f t="shared" si="13"/>
        <v>Low</v>
      </c>
      <c r="L177" s="12">
        <f t="shared" si="14"/>
        <v>2023</v>
      </c>
      <c r="M177" s="12">
        <f t="shared" si="15"/>
        <v>3</v>
      </c>
      <c r="N177" s="5" t="str">
        <f t="shared" si="16"/>
        <v>Tuesday</v>
      </c>
      <c r="O177" s="5" t="str">
        <f t="shared" si="17"/>
        <v>July</v>
      </c>
    </row>
    <row r="178" spans="1:15" x14ac:dyDescent="0.3">
      <c r="A178" s="8">
        <v>177</v>
      </c>
      <c r="B178" s="25">
        <v>45009</v>
      </c>
      <c r="C178" s="5" t="s">
        <v>185</v>
      </c>
      <c r="D178" s="5" t="s">
        <v>5</v>
      </c>
      <c r="E178" s="12">
        <v>45</v>
      </c>
      <c r="F178" s="2" t="str">
        <f t="shared" si="12"/>
        <v>Adult</v>
      </c>
      <c r="G178" s="5" t="s">
        <v>6</v>
      </c>
      <c r="H178" s="8">
        <v>2</v>
      </c>
      <c r="I178" s="2">
        <v>50</v>
      </c>
      <c r="J178" s="2">
        <v>100</v>
      </c>
      <c r="K178" t="str">
        <f t="shared" si="13"/>
        <v>Low</v>
      </c>
      <c r="L178" s="12">
        <f t="shared" si="14"/>
        <v>2023</v>
      </c>
      <c r="M178" s="12">
        <f t="shared" si="15"/>
        <v>1</v>
      </c>
      <c r="N178" s="5" t="str">
        <f t="shared" si="16"/>
        <v>Friday</v>
      </c>
      <c r="O178" s="5" t="str">
        <f t="shared" si="17"/>
        <v>March</v>
      </c>
    </row>
    <row r="179" spans="1:15" x14ac:dyDescent="0.3">
      <c r="A179" s="8">
        <v>178</v>
      </c>
      <c r="B179" s="25">
        <v>45203</v>
      </c>
      <c r="C179" s="5" t="s">
        <v>186</v>
      </c>
      <c r="D179" s="5" t="s">
        <v>5</v>
      </c>
      <c r="E179" s="12">
        <v>40</v>
      </c>
      <c r="F179" s="2" t="str">
        <f t="shared" si="12"/>
        <v>Adult</v>
      </c>
      <c r="G179" s="5" t="s">
        <v>9</v>
      </c>
      <c r="H179" s="8">
        <v>2</v>
      </c>
      <c r="I179" s="2">
        <v>30</v>
      </c>
      <c r="J179" s="2">
        <v>60</v>
      </c>
      <c r="K179" t="str">
        <f t="shared" si="13"/>
        <v>Low</v>
      </c>
      <c r="L179" s="12">
        <f t="shared" si="14"/>
        <v>2023</v>
      </c>
      <c r="M179" s="12">
        <f t="shared" si="15"/>
        <v>4</v>
      </c>
      <c r="N179" s="5" t="str">
        <f t="shared" si="16"/>
        <v>Wednesday</v>
      </c>
      <c r="O179" s="5" t="str">
        <f t="shared" si="17"/>
        <v>October</v>
      </c>
    </row>
    <row r="180" spans="1:15" x14ac:dyDescent="0.3">
      <c r="A180" s="8">
        <v>179</v>
      </c>
      <c r="B180" s="25">
        <v>45198</v>
      </c>
      <c r="C180" s="5" t="s">
        <v>187</v>
      </c>
      <c r="D180" s="5" t="s">
        <v>5</v>
      </c>
      <c r="E180" s="12">
        <v>31</v>
      </c>
      <c r="F180" s="2" t="str">
        <f t="shared" si="12"/>
        <v>Adult</v>
      </c>
      <c r="G180" s="5" t="s">
        <v>11</v>
      </c>
      <c r="H180" s="8">
        <v>1</v>
      </c>
      <c r="I180" s="2">
        <v>300</v>
      </c>
      <c r="J180" s="2">
        <v>300</v>
      </c>
      <c r="K180" t="str">
        <f t="shared" si="13"/>
        <v>Low</v>
      </c>
      <c r="L180" s="12">
        <f t="shared" si="14"/>
        <v>2023</v>
      </c>
      <c r="M180" s="12">
        <f t="shared" si="15"/>
        <v>3</v>
      </c>
      <c r="N180" s="5" t="str">
        <f t="shared" si="16"/>
        <v>Friday</v>
      </c>
      <c r="O180" s="5" t="str">
        <f t="shared" si="17"/>
        <v>September</v>
      </c>
    </row>
    <row r="181" spans="1:15" x14ac:dyDescent="0.3">
      <c r="A181" s="8">
        <v>180</v>
      </c>
      <c r="B181" s="25">
        <v>44927</v>
      </c>
      <c r="C181" s="5" t="s">
        <v>188</v>
      </c>
      <c r="D181" s="5" t="s">
        <v>5</v>
      </c>
      <c r="E181" s="12">
        <v>41</v>
      </c>
      <c r="F181" s="2" t="str">
        <f t="shared" si="12"/>
        <v>Adult</v>
      </c>
      <c r="G181" s="5" t="s">
        <v>9</v>
      </c>
      <c r="H181" s="8">
        <v>3</v>
      </c>
      <c r="I181" s="2">
        <v>300</v>
      </c>
      <c r="J181" s="2">
        <v>900</v>
      </c>
      <c r="K181" t="str">
        <f t="shared" si="13"/>
        <v>Medium</v>
      </c>
      <c r="L181" s="12">
        <f t="shared" si="14"/>
        <v>2023</v>
      </c>
      <c r="M181" s="12">
        <f t="shared" si="15"/>
        <v>1</v>
      </c>
      <c r="N181" s="5" t="str">
        <f t="shared" si="16"/>
        <v>Sunday</v>
      </c>
      <c r="O181" s="5" t="str">
        <f t="shared" si="17"/>
        <v>January</v>
      </c>
    </row>
    <row r="182" spans="1:15" x14ac:dyDescent="0.3">
      <c r="A182" s="8">
        <v>181</v>
      </c>
      <c r="B182" s="25">
        <v>45233</v>
      </c>
      <c r="C182" s="5" t="s">
        <v>189</v>
      </c>
      <c r="D182" s="5" t="s">
        <v>5</v>
      </c>
      <c r="E182" s="12">
        <v>19</v>
      </c>
      <c r="F182" s="2" t="str">
        <f t="shared" si="12"/>
        <v>Young</v>
      </c>
      <c r="G182" s="5" t="s">
        <v>11</v>
      </c>
      <c r="H182" s="8">
        <v>4</v>
      </c>
      <c r="I182" s="2">
        <v>300</v>
      </c>
      <c r="J182" s="2">
        <v>1200</v>
      </c>
      <c r="K182" t="str">
        <f t="shared" si="13"/>
        <v>Medium</v>
      </c>
      <c r="L182" s="12">
        <f t="shared" si="14"/>
        <v>2023</v>
      </c>
      <c r="M182" s="12">
        <f t="shared" si="15"/>
        <v>4</v>
      </c>
      <c r="N182" s="5" t="str">
        <f t="shared" si="16"/>
        <v>Friday</v>
      </c>
      <c r="O182" s="5" t="str">
        <f t="shared" si="17"/>
        <v>November</v>
      </c>
    </row>
    <row r="183" spans="1:15" x14ac:dyDescent="0.3">
      <c r="A183" s="8">
        <v>182</v>
      </c>
      <c r="B183" s="25">
        <v>45092</v>
      </c>
      <c r="C183" s="5" t="s">
        <v>190</v>
      </c>
      <c r="D183" s="5" t="s">
        <v>5</v>
      </c>
      <c r="E183" s="12">
        <v>62</v>
      </c>
      <c r="F183" s="2" t="str">
        <f t="shared" si="12"/>
        <v>Senior</v>
      </c>
      <c r="G183" s="5" t="s">
        <v>6</v>
      </c>
      <c r="H183" s="8">
        <v>4</v>
      </c>
      <c r="I183" s="2">
        <v>30</v>
      </c>
      <c r="J183" s="2">
        <v>120</v>
      </c>
      <c r="K183" t="str">
        <f t="shared" si="13"/>
        <v>Low</v>
      </c>
      <c r="L183" s="12">
        <f t="shared" si="14"/>
        <v>2023</v>
      </c>
      <c r="M183" s="12">
        <f t="shared" si="15"/>
        <v>2</v>
      </c>
      <c r="N183" s="5" t="str">
        <f t="shared" si="16"/>
        <v>Thursday</v>
      </c>
      <c r="O183" s="5" t="str">
        <f t="shared" si="17"/>
        <v>June</v>
      </c>
    </row>
    <row r="184" spans="1:15" x14ac:dyDescent="0.3">
      <c r="A184" s="8">
        <v>183</v>
      </c>
      <c r="B184" s="25">
        <v>45177</v>
      </c>
      <c r="C184" s="5" t="s">
        <v>191</v>
      </c>
      <c r="D184" s="5" t="s">
        <v>8</v>
      </c>
      <c r="E184" s="12">
        <v>43</v>
      </c>
      <c r="F184" s="2" t="str">
        <f t="shared" si="12"/>
        <v>Adult</v>
      </c>
      <c r="G184" s="5" t="s">
        <v>6</v>
      </c>
      <c r="H184" s="8">
        <v>3</v>
      </c>
      <c r="I184" s="2">
        <v>300</v>
      </c>
      <c r="J184" s="2">
        <v>900</v>
      </c>
      <c r="K184" t="str">
        <f t="shared" si="13"/>
        <v>Medium</v>
      </c>
      <c r="L184" s="12">
        <f t="shared" si="14"/>
        <v>2023</v>
      </c>
      <c r="M184" s="12">
        <f t="shared" si="15"/>
        <v>3</v>
      </c>
      <c r="N184" s="5" t="str">
        <f t="shared" si="16"/>
        <v>Friday</v>
      </c>
      <c r="O184" s="5" t="str">
        <f t="shared" si="17"/>
        <v>September</v>
      </c>
    </row>
    <row r="185" spans="1:15" x14ac:dyDescent="0.3">
      <c r="A185" s="8">
        <v>184</v>
      </c>
      <c r="B185" s="25">
        <v>44936</v>
      </c>
      <c r="C185" s="5" t="s">
        <v>192</v>
      </c>
      <c r="D185" s="5" t="s">
        <v>5</v>
      </c>
      <c r="E185" s="12">
        <v>31</v>
      </c>
      <c r="F185" s="2" t="str">
        <f t="shared" si="12"/>
        <v>Adult</v>
      </c>
      <c r="G185" s="5" t="s">
        <v>11</v>
      </c>
      <c r="H185" s="8">
        <v>4</v>
      </c>
      <c r="I185" s="2">
        <v>50</v>
      </c>
      <c r="J185" s="2">
        <v>200</v>
      </c>
      <c r="K185" t="str">
        <f t="shared" si="13"/>
        <v>Low</v>
      </c>
      <c r="L185" s="12">
        <f t="shared" si="14"/>
        <v>2023</v>
      </c>
      <c r="M185" s="12">
        <f t="shared" si="15"/>
        <v>1</v>
      </c>
      <c r="N185" s="5" t="str">
        <f t="shared" si="16"/>
        <v>Tuesday</v>
      </c>
      <c r="O185" s="5" t="str">
        <f t="shared" si="17"/>
        <v>January</v>
      </c>
    </row>
    <row r="186" spans="1:15" x14ac:dyDescent="0.3">
      <c r="A186" s="8">
        <v>185</v>
      </c>
      <c r="B186" s="25">
        <v>44984</v>
      </c>
      <c r="C186" s="5" t="s">
        <v>193</v>
      </c>
      <c r="D186" s="5" t="s">
        <v>5</v>
      </c>
      <c r="E186" s="12">
        <v>24</v>
      </c>
      <c r="F186" s="2" t="str">
        <f t="shared" si="12"/>
        <v>Young</v>
      </c>
      <c r="G186" s="5" t="s">
        <v>9</v>
      </c>
      <c r="H186" s="8">
        <v>1</v>
      </c>
      <c r="I186" s="2">
        <v>25</v>
      </c>
      <c r="J186" s="2">
        <v>25</v>
      </c>
      <c r="K186" t="str">
        <f t="shared" si="13"/>
        <v>Low</v>
      </c>
      <c r="L186" s="12">
        <f t="shared" si="14"/>
        <v>2023</v>
      </c>
      <c r="M186" s="12">
        <f t="shared" si="15"/>
        <v>1</v>
      </c>
      <c r="N186" s="5" t="str">
        <f t="shared" si="16"/>
        <v>Monday</v>
      </c>
      <c r="O186" s="5" t="str">
        <f t="shared" si="17"/>
        <v>February</v>
      </c>
    </row>
    <row r="187" spans="1:15" x14ac:dyDescent="0.3">
      <c r="A187" s="8">
        <v>186</v>
      </c>
      <c r="B187" s="25">
        <v>45112</v>
      </c>
      <c r="C187" s="5" t="s">
        <v>194</v>
      </c>
      <c r="D187" s="5" t="s">
        <v>5</v>
      </c>
      <c r="E187" s="12">
        <v>20</v>
      </c>
      <c r="F187" s="2" t="str">
        <f t="shared" si="12"/>
        <v>Young</v>
      </c>
      <c r="G187" s="5" t="s">
        <v>9</v>
      </c>
      <c r="H187" s="8">
        <v>4</v>
      </c>
      <c r="I187" s="2">
        <v>50</v>
      </c>
      <c r="J187" s="2">
        <v>200</v>
      </c>
      <c r="K187" t="str">
        <f t="shared" si="13"/>
        <v>Low</v>
      </c>
      <c r="L187" s="12">
        <f t="shared" si="14"/>
        <v>2023</v>
      </c>
      <c r="M187" s="12">
        <f t="shared" si="15"/>
        <v>3</v>
      </c>
      <c r="N187" s="5" t="str">
        <f t="shared" si="16"/>
        <v>Wednesday</v>
      </c>
      <c r="O187" s="5" t="str">
        <f t="shared" si="17"/>
        <v>July</v>
      </c>
    </row>
    <row r="188" spans="1:15" x14ac:dyDescent="0.3">
      <c r="A188" s="8">
        <v>187</v>
      </c>
      <c r="B188" s="25">
        <v>45084</v>
      </c>
      <c r="C188" s="5" t="s">
        <v>195</v>
      </c>
      <c r="D188" s="5" t="s">
        <v>8</v>
      </c>
      <c r="E188" s="12">
        <v>64</v>
      </c>
      <c r="F188" s="2" t="str">
        <f t="shared" si="12"/>
        <v>Senior</v>
      </c>
      <c r="G188" s="5" t="s">
        <v>9</v>
      </c>
      <c r="H188" s="8">
        <v>2</v>
      </c>
      <c r="I188" s="2">
        <v>50</v>
      </c>
      <c r="J188" s="2">
        <v>100</v>
      </c>
      <c r="K188" t="str">
        <f t="shared" si="13"/>
        <v>Low</v>
      </c>
      <c r="L188" s="12">
        <f t="shared" si="14"/>
        <v>2023</v>
      </c>
      <c r="M188" s="12">
        <f t="shared" si="15"/>
        <v>2</v>
      </c>
      <c r="N188" s="5" t="str">
        <f t="shared" si="16"/>
        <v>Wednesday</v>
      </c>
      <c r="O188" s="5" t="str">
        <f t="shared" si="17"/>
        <v>June</v>
      </c>
    </row>
    <row r="189" spans="1:15" x14ac:dyDescent="0.3">
      <c r="A189" s="8">
        <v>188</v>
      </c>
      <c r="B189" s="25">
        <v>45049</v>
      </c>
      <c r="C189" s="5" t="s">
        <v>196</v>
      </c>
      <c r="D189" s="5" t="s">
        <v>5</v>
      </c>
      <c r="E189" s="12">
        <v>40</v>
      </c>
      <c r="F189" s="2" t="str">
        <f t="shared" si="12"/>
        <v>Adult</v>
      </c>
      <c r="G189" s="5" t="s">
        <v>9</v>
      </c>
      <c r="H189" s="8">
        <v>3</v>
      </c>
      <c r="I189" s="2">
        <v>25</v>
      </c>
      <c r="J189" s="2">
        <v>75</v>
      </c>
      <c r="K189" t="str">
        <f t="shared" si="13"/>
        <v>Low</v>
      </c>
      <c r="L189" s="12">
        <f t="shared" si="14"/>
        <v>2023</v>
      </c>
      <c r="M189" s="12">
        <f t="shared" si="15"/>
        <v>2</v>
      </c>
      <c r="N189" s="5" t="str">
        <f t="shared" si="16"/>
        <v>Wednesday</v>
      </c>
      <c r="O189" s="5" t="str">
        <f t="shared" si="17"/>
        <v>May</v>
      </c>
    </row>
    <row r="190" spans="1:15" x14ac:dyDescent="0.3">
      <c r="A190" s="8">
        <v>189</v>
      </c>
      <c r="B190" s="25">
        <v>44956</v>
      </c>
      <c r="C190" s="5" t="s">
        <v>197</v>
      </c>
      <c r="D190" s="5" t="s">
        <v>5</v>
      </c>
      <c r="E190" s="12">
        <v>63</v>
      </c>
      <c r="F190" s="2" t="str">
        <f t="shared" si="12"/>
        <v>Senior</v>
      </c>
      <c r="G190" s="5" t="s">
        <v>6</v>
      </c>
      <c r="H190" s="8">
        <v>1</v>
      </c>
      <c r="I190" s="2">
        <v>50</v>
      </c>
      <c r="J190" s="2">
        <v>50</v>
      </c>
      <c r="K190" t="str">
        <f t="shared" si="13"/>
        <v>Low</v>
      </c>
      <c r="L190" s="12">
        <f t="shared" si="14"/>
        <v>2023</v>
      </c>
      <c r="M190" s="12">
        <f t="shared" si="15"/>
        <v>1</v>
      </c>
      <c r="N190" s="5" t="str">
        <f t="shared" si="16"/>
        <v>Monday</v>
      </c>
      <c r="O190" s="5" t="str">
        <f t="shared" si="17"/>
        <v>January</v>
      </c>
    </row>
    <row r="191" spans="1:15" x14ac:dyDescent="0.3">
      <c r="A191" s="8">
        <v>190</v>
      </c>
      <c r="B191" s="25">
        <v>45050</v>
      </c>
      <c r="C191" s="5" t="s">
        <v>198</v>
      </c>
      <c r="D191" s="5" t="s">
        <v>8</v>
      </c>
      <c r="E191" s="12">
        <v>60</v>
      </c>
      <c r="F191" s="2" t="str">
        <f t="shared" si="12"/>
        <v>Adult</v>
      </c>
      <c r="G191" s="5" t="s">
        <v>6</v>
      </c>
      <c r="H191" s="8">
        <v>3</v>
      </c>
      <c r="I191" s="2">
        <v>30</v>
      </c>
      <c r="J191" s="2">
        <v>90</v>
      </c>
      <c r="K191" t="str">
        <f t="shared" si="13"/>
        <v>Low</v>
      </c>
      <c r="L191" s="12">
        <f t="shared" si="14"/>
        <v>2023</v>
      </c>
      <c r="M191" s="12">
        <f t="shared" si="15"/>
        <v>2</v>
      </c>
      <c r="N191" s="5" t="str">
        <f t="shared" si="16"/>
        <v>Thursday</v>
      </c>
      <c r="O191" s="5" t="str">
        <f t="shared" si="17"/>
        <v>May</v>
      </c>
    </row>
    <row r="192" spans="1:15" x14ac:dyDescent="0.3">
      <c r="A192" s="8">
        <v>191</v>
      </c>
      <c r="B192" s="25">
        <v>45217</v>
      </c>
      <c r="C192" s="5" t="s">
        <v>199</v>
      </c>
      <c r="D192" s="5" t="s">
        <v>5</v>
      </c>
      <c r="E192" s="12">
        <v>64</v>
      </c>
      <c r="F192" s="2" t="str">
        <f t="shared" si="12"/>
        <v>Senior</v>
      </c>
      <c r="G192" s="5" t="s">
        <v>6</v>
      </c>
      <c r="H192" s="8">
        <v>1</v>
      </c>
      <c r="I192" s="2">
        <v>25</v>
      </c>
      <c r="J192" s="2">
        <v>25</v>
      </c>
      <c r="K192" t="str">
        <f t="shared" si="13"/>
        <v>Low</v>
      </c>
      <c r="L192" s="12">
        <f t="shared" si="14"/>
        <v>2023</v>
      </c>
      <c r="M192" s="12">
        <f t="shared" si="15"/>
        <v>4</v>
      </c>
      <c r="N192" s="5" t="str">
        <f t="shared" si="16"/>
        <v>Wednesday</v>
      </c>
      <c r="O192" s="5" t="str">
        <f t="shared" si="17"/>
        <v>October</v>
      </c>
    </row>
    <row r="193" spans="1:15" x14ac:dyDescent="0.3">
      <c r="A193" s="8">
        <v>192</v>
      </c>
      <c r="B193" s="25">
        <v>44967</v>
      </c>
      <c r="C193" s="5" t="s">
        <v>200</v>
      </c>
      <c r="D193" s="5" t="s">
        <v>5</v>
      </c>
      <c r="E193" s="12">
        <v>62</v>
      </c>
      <c r="F193" s="2" t="str">
        <f t="shared" si="12"/>
        <v>Senior</v>
      </c>
      <c r="G193" s="5" t="s">
        <v>6</v>
      </c>
      <c r="H193" s="8">
        <v>2</v>
      </c>
      <c r="I193" s="2">
        <v>50</v>
      </c>
      <c r="J193" s="2">
        <v>100</v>
      </c>
      <c r="K193" t="str">
        <f t="shared" si="13"/>
        <v>Low</v>
      </c>
      <c r="L193" s="12">
        <f t="shared" si="14"/>
        <v>2023</v>
      </c>
      <c r="M193" s="12">
        <f t="shared" si="15"/>
        <v>1</v>
      </c>
      <c r="N193" s="5" t="str">
        <f t="shared" si="16"/>
        <v>Friday</v>
      </c>
      <c r="O193" s="5" t="str">
        <f t="shared" si="17"/>
        <v>February</v>
      </c>
    </row>
    <row r="194" spans="1:15" x14ac:dyDescent="0.3">
      <c r="A194" s="8">
        <v>193</v>
      </c>
      <c r="B194" s="25">
        <v>44970</v>
      </c>
      <c r="C194" s="5" t="s">
        <v>201</v>
      </c>
      <c r="D194" s="5" t="s">
        <v>5</v>
      </c>
      <c r="E194" s="12">
        <v>35</v>
      </c>
      <c r="F194" s="2" t="str">
        <f t="shared" si="12"/>
        <v>Adult</v>
      </c>
      <c r="G194" s="5" t="s">
        <v>6</v>
      </c>
      <c r="H194" s="8">
        <v>3</v>
      </c>
      <c r="I194" s="2">
        <v>500</v>
      </c>
      <c r="J194" s="2">
        <v>1500</v>
      </c>
      <c r="K194" t="str">
        <f t="shared" si="13"/>
        <v>Medium</v>
      </c>
      <c r="L194" s="12">
        <f t="shared" si="14"/>
        <v>2023</v>
      </c>
      <c r="M194" s="12">
        <f t="shared" si="15"/>
        <v>1</v>
      </c>
      <c r="N194" s="5" t="str">
        <f t="shared" si="16"/>
        <v>Monday</v>
      </c>
      <c r="O194" s="5" t="str">
        <f t="shared" si="17"/>
        <v>February</v>
      </c>
    </row>
    <row r="195" spans="1:15" x14ac:dyDescent="0.3">
      <c r="A195" s="8">
        <v>194</v>
      </c>
      <c r="B195" s="25">
        <v>45175</v>
      </c>
      <c r="C195" s="5" t="s">
        <v>202</v>
      </c>
      <c r="D195" s="5" t="s">
        <v>5</v>
      </c>
      <c r="E195" s="12">
        <v>55</v>
      </c>
      <c r="F195" s="2" t="str">
        <f t="shared" ref="F195:F258" si="18">IF(E195&gt;60,"Senior",IF(E195&gt;30,"Adult","Young"))</f>
        <v>Adult</v>
      </c>
      <c r="G195" s="5" t="s">
        <v>9</v>
      </c>
      <c r="H195" s="8">
        <v>4</v>
      </c>
      <c r="I195" s="2">
        <v>50</v>
      </c>
      <c r="J195" s="2">
        <v>200</v>
      </c>
      <c r="K195" t="str">
        <f t="shared" ref="K195:K258" si="19">IF(J195&gt;1500,"High",IF(J195&gt;500,"Medium","Low"))</f>
        <v>Low</v>
      </c>
      <c r="L195" s="12">
        <f t="shared" ref="L195:L258" si="20">YEAR(B195)</f>
        <v>2023</v>
      </c>
      <c r="M195" s="12">
        <f t="shared" ref="M195:M258" si="21">ROUNDUP(MONTH(B195)/3,0)</f>
        <v>3</v>
      </c>
      <c r="N195" s="5" t="str">
        <f t="shared" ref="N195:N258" si="22">TEXT(B195,"dddd")</f>
        <v>Wednesday</v>
      </c>
      <c r="O195" s="5" t="str">
        <f t="shared" ref="O195:O258" si="23">TEXT(B195,"mmmm")</f>
        <v>September</v>
      </c>
    </row>
    <row r="196" spans="1:15" x14ac:dyDescent="0.3">
      <c r="A196" s="8">
        <v>195</v>
      </c>
      <c r="B196" s="25">
        <v>44962</v>
      </c>
      <c r="C196" s="5" t="s">
        <v>203</v>
      </c>
      <c r="D196" s="5" t="s">
        <v>5</v>
      </c>
      <c r="E196" s="12">
        <v>52</v>
      </c>
      <c r="F196" s="2" t="str">
        <f t="shared" si="18"/>
        <v>Adult</v>
      </c>
      <c r="G196" s="5" t="s">
        <v>9</v>
      </c>
      <c r="H196" s="8">
        <v>1</v>
      </c>
      <c r="I196" s="2">
        <v>30</v>
      </c>
      <c r="J196" s="2">
        <v>30</v>
      </c>
      <c r="K196" t="str">
        <f t="shared" si="19"/>
        <v>Low</v>
      </c>
      <c r="L196" s="12">
        <f t="shared" si="20"/>
        <v>2023</v>
      </c>
      <c r="M196" s="12">
        <f t="shared" si="21"/>
        <v>1</v>
      </c>
      <c r="N196" s="5" t="str">
        <f t="shared" si="22"/>
        <v>Sunday</v>
      </c>
      <c r="O196" s="5" t="str">
        <f t="shared" si="23"/>
        <v>February</v>
      </c>
    </row>
    <row r="197" spans="1:15" x14ac:dyDescent="0.3">
      <c r="A197" s="8">
        <v>196</v>
      </c>
      <c r="B197" s="25">
        <v>45199</v>
      </c>
      <c r="C197" s="5" t="s">
        <v>204</v>
      </c>
      <c r="D197" s="5" t="s">
        <v>8</v>
      </c>
      <c r="E197" s="12">
        <v>32</v>
      </c>
      <c r="F197" s="2" t="str">
        <f t="shared" si="18"/>
        <v>Adult</v>
      </c>
      <c r="G197" s="5" t="s">
        <v>9</v>
      </c>
      <c r="H197" s="8">
        <v>3</v>
      </c>
      <c r="I197" s="2">
        <v>300</v>
      </c>
      <c r="J197" s="2">
        <v>900</v>
      </c>
      <c r="K197" t="str">
        <f t="shared" si="19"/>
        <v>Medium</v>
      </c>
      <c r="L197" s="12">
        <f t="shared" si="20"/>
        <v>2023</v>
      </c>
      <c r="M197" s="12">
        <f t="shared" si="21"/>
        <v>3</v>
      </c>
      <c r="N197" s="5" t="str">
        <f t="shared" si="22"/>
        <v>Saturday</v>
      </c>
      <c r="O197" s="5" t="str">
        <f t="shared" si="23"/>
        <v>September</v>
      </c>
    </row>
    <row r="198" spans="1:15" x14ac:dyDescent="0.3">
      <c r="A198" s="8">
        <v>197</v>
      </c>
      <c r="B198" s="25">
        <v>44991</v>
      </c>
      <c r="C198" s="5" t="s">
        <v>205</v>
      </c>
      <c r="D198" s="5" t="s">
        <v>8</v>
      </c>
      <c r="E198" s="12">
        <v>42</v>
      </c>
      <c r="F198" s="2" t="str">
        <f t="shared" si="18"/>
        <v>Adult</v>
      </c>
      <c r="G198" s="5" t="s">
        <v>9</v>
      </c>
      <c r="H198" s="8">
        <v>4</v>
      </c>
      <c r="I198" s="2">
        <v>50</v>
      </c>
      <c r="J198" s="2">
        <v>200</v>
      </c>
      <c r="K198" t="str">
        <f t="shared" si="19"/>
        <v>Low</v>
      </c>
      <c r="L198" s="12">
        <f t="shared" si="20"/>
        <v>2023</v>
      </c>
      <c r="M198" s="12">
        <f t="shared" si="21"/>
        <v>1</v>
      </c>
      <c r="N198" s="5" t="str">
        <f t="shared" si="22"/>
        <v>Monday</v>
      </c>
      <c r="O198" s="5" t="str">
        <f t="shared" si="23"/>
        <v>March</v>
      </c>
    </row>
    <row r="199" spans="1:15" x14ac:dyDescent="0.3">
      <c r="A199" s="8">
        <v>198</v>
      </c>
      <c r="B199" s="25">
        <v>44992</v>
      </c>
      <c r="C199" s="5" t="s">
        <v>206</v>
      </c>
      <c r="D199" s="5" t="s">
        <v>8</v>
      </c>
      <c r="E199" s="12">
        <v>54</v>
      </c>
      <c r="F199" s="2" t="str">
        <f t="shared" si="18"/>
        <v>Adult</v>
      </c>
      <c r="G199" s="5" t="s">
        <v>6</v>
      </c>
      <c r="H199" s="8">
        <v>3</v>
      </c>
      <c r="I199" s="2">
        <v>300</v>
      </c>
      <c r="J199" s="2">
        <v>900</v>
      </c>
      <c r="K199" t="str">
        <f t="shared" si="19"/>
        <v>Medium</v>
      </c>
      <c r="L199" s="12">
        <f t="shared" si="20"/>
        <v>2023</v>
      </c>
      <c r="M199" s="12">
        <f t="shared" si="21"/>
        <v>1</v>
      </c>
      <c r="N199" s="5" t="str">
        <f t="shared" si="22"/>
        <v>Tuesday</v>
      </c>
      <c r="O199" s="5" t="str">
        <f t="shared" si="23"/>
        <v>March</v>
      </c>
    </row>
    <row r="200" spans="1:15" x14ac:dyDescent="0.3">
      <c r="A200" s="8">
        <v>199</v>
      </c>
      <c r="B200" s="25">
        <v>45264</v>
      </c>
      <c r="C200" s="5" t="s">
        <v>207</v>
      </c>
      <c r="D200" s="5" t="s">
        <v>5</v>
      </c>
      <c r="E200" s="12">
        <v>45</v>
      </c>
      <c r="F200" s="2" t="str">
        <f t="shared" si="18"/>
        <v>Adult</v>
      </c>
      <c r="G200" s="5" t="s">
        <v>6</v>
      </c>
      <c r="H200" s="8">
        <v>3</v>
      </c>
      <c r="I200" s="2">
        <v>500</v>
      </c>
      <c r="J200" s="2">
        <v>1500</v>
      </c>
      <c r="K200" t="str">
        <f t="shared" si="19"/>
        <v>Medium</v>
      </c>
      <c r="L200" s="12">
        <f t="shared" si="20"/>
        <v>2023</v>
      </c>
      <c r="M200" s="12">
        <f t="shared" si="21"/>
        <v>4</v>
      </c>
      <c r="N200" s="5" t="str">
        <f t="shared" si="22"/>
        <v>Monday</v>
      </c>
      <c r="O200" s="5" t="str">
        <f t="shared" si="23"/>
        <v>December</v>
      </c>
    </row>
    <row r="201" spans="1:15" x14ac:dyDescent="0.3">
      <c r="A201" s="8">
        <v>200</v>
      </c>
      <c r="B201" s="25">
        <v>45170</v>
      </c>
      <c r="C201" s="5" t="s">
        <v>208</v>
      </c>
      <c r="D201" s="5" t="s">
        <v>5</v>
      </c>
      <c r="E201" s="12">
        <v>27</v>
      </c>
      <c r="F201" s="2" t="str">
        <f t="shared" si="18"/>
        <v>Young</v>
      </c>
      <c r="G201" s="5" t="s">
        <v>6</v>
      </c>
      <c r="H201" s="8">
        <v>3</v>
      </c>
      <c r="I201" s="2">
        <v>50</v>
      </c>
      <c r="J201" s="2">
        <v>150</v>
      </c>
      <c r="K201" t="str">
        <f t="shared" si="19"/>
        <v>Low</v>
      </c>
      <c r="L201" s="12">
        <f t="shared" si="20"/>
        <v>2023</v>
      </c>
      <c r="M201" s="12">
        <f t="shared" si="21"/>
        <v>3</v>
      </c>
      <c r="N201" s="5" t="str">
        <f t="shared" si="22"/>
        <v>Friday</v>
      </c>
      <c r="O201" s="5" t="str">
        <f t="shared" si="23"/>
        <v>September</v>
      </c>
    </row>
    <row r="202" spans="1:15" x14ac:dyDescent="0.3">
      <c r="A202" s="8">
        <v>201</v>
      </c>
      <c r="B202" s="25">
        <v>45208</v>
      </c>
      <c r="C202" s="5" t="s">
        <v>209</v>
      </c>
      <c r="D202" s="5" t="s">
        <v>5</v>
      </c>
      <c r="E202" s="12">
        <v>56</v>
      </c>
      <c r="F202" s="2" t="str">
        <f t="shared" si="18"/>
        <v>Adult</v>
      </c>
      <c r="G202" s="5" t="s">
        <v>11</v>
      </c>
      <c r="H202" s="8">
        <v>1</v>
      </c>
      <c r="I202" s="2">
        <v>25</v>
      </c>
      <c r="J202" s="2">
        <v>25</v>
      </c>
      <c r="K202" t="str">
        <f t="shared" si="19"/>
        <v>Low</v>
      </c>
      <c r="L202" s="12">
        <f t="shared" si="20"/>
        <v>2023</v>
      </c>
      <c r="M202" s="12">
        <f t="shared" si="21"/>
        <v>4</v>
      </c>
      <c r="N202" s="5" t="str">
        <f t="shared" si="22"/>
        <v>Monday</v>
      </c>
      <c r="O202" s="5" t="str">
        <f t="shared" si="23"/>
        <v>October</v>
      </c>
    </row>
    <row r="203" spans="1:15" x14ac:dyDescent="0.3">
      <c r="A203" s="8">
        <v>202</v>
      </c>
      <c r="B203" s="25">
        <v>45011</v>
      </c>
      <c r="C203" s="5" t="s">
        <v>210</v>
      </c>
      <c r="D203" s="5" t="s">
        <v>8</v>
      </c>
      <c r="E203" s="12">
        <v>34</v>
      </c>
      <c r="F203" s="2" t="str">
        <f t="shared" si="18"/>
        <v>Adult</v>
      </c>
      <c r="G203" s="5" t="s">
        <v>9</v>
      </c>
      <c r="H203" s="8">
        <v>4</v>
      </c>
      <c r="I203" s="2">
        <v>300</v>
      </c>
      <c r="J203" s="2">
        <v>1200</v>
      </c>
      <c r="K203" t="str">
        <f t="shared" si="19"/>
        <v>Medium</v>
      </c>
      <c r="L203" s="12">
        <f t="shared" si="20"/>
        <v>2023</v>
      </c>
      <c r="M203" s="12">
        <f t="shared" si="21"/>
        <v>1</v>
      </c>
      <c r="N203" s="5" t="str">
        <f t="shared" si="22"/>
        <v>Sunday</v>
      </c>
      <c r="O203" s="5" t="str">
        <f t="shared" si="23"/>
        <v>March</v>
      </c>
    </row>
    <row r="204" spans="1:15" x14ac:dyDescent="0.3">
      <c r="A204" s="8">
        <v>203</v>
      </c>
      <c r="B204" s="25">
        <v>45062</v>
      </c>
      <c r="C204" s="5" t="s">
        <v>211</v>
      </c>
      <c r="D204" s="5" t="s">
        <v>5</v>
      </c>
      <c r="E204" s="12">
        <v>56</v>
      </c>
      <c r="F204" s="2" t="str">
        <f t="shared" si="18"/>
        <v>Adult</v>
      </c>
      <c r="G204" s="5" t="s">
        <v>9</v>
      </c>
      <c r="H204" s="8">
        <v>2</v>
      </c>
      <c r="I204" s="2">
        <v>500</v>
      </c>
      <c r="J204" s="2">
        <v>1000</v>
      </c>
      <c r="K204" t="str">
        <f t="shared" si="19"/>
        <v>Medium</v>
      </c>
      <c r="L204" s="12">
        <f t="shared" si="20"/>
        <v>2023</v>
      </c>
      <c r="M204" s="12">
        <f t="shared" si="21"/>
        <v>2</v>
      </c>
      <c r="N204" s="5" t="str">
        <f t="shared" si="22"/>
        <v>Tuesday</v>
      </c>
      <c r="O204" s="5" t="str">
        <f t="shared" si="23"/>
        <v>May</v>
      </c>
    </row>
    <row r="205" spans="1:15" x14ac:dyDescent="0.3">
      <c r="A205" s="8">
        <v>204</v>
      </c>
      <c r="B205" s="25">
        <v>45197</v>
      </c>
      <c r="C205" s="5" t="s">
        <v>212</v>
      </c>
      <c r="D205" s="5" t="s">
        <v>5</v>
      </c>
      <c r="E205" s="12">
        <v>39</v>
      </c>
      <c r="F205" s="2" t="str">
        <f t="shared" si="18"/>
        <v>Adult</v>
      </c>
      <c r="G205" s="5" t="s">
        <v>6</v>
      </c>
      <c r="H205" s="8">
        <v>1</v>
      </c>
      <c r="I205" s="2">
        <v>25</v>
      </c>
      <c r="J205" s="2">
        <v>25</v>
      </c>
      <c r="K205" t="str">
        <f t="shared" si="19"/>
        <v>Low</v>
      </c>
      <c r="L205" s="12">
        <f t="shared" si="20"/>
        <v>2023</v>
      </c>
      <c r="M205" s="12">
        <f t="shared" si="21"/>
        <v>3</v>
      </c>
      <c r="N205" s="5" t="str">
        <f t="shared" si="22"/>
        <v>Thursday</v>
      </c>
      <c r="O205" s="5" t="str">
        <f t="shared" si="23"/>
        <v>September</v>
      </c>
    </row>
    <row r="206" spans="1:15" x14ac:dyDescent="0.3">
      <c r="A206" s="8">
        <v>205</v>
      </c>
      <c r="B206" s="25">
        <v>45237</v>
      </c>
      <c r="C206" s="5" t="s">
        <v>213</v>
      </c>
      <c r="D206" s="5" t="s">
        <v>8</v>
      </c>
      <c r="E206" s="12">
        <v>43</v>
      </c>
      <c r="F206" s="2" t="str">
        <f t="shared" si="18"/>
        <v>Adult</v>
      </c>
      <c r="G206" s="5" t="s">
        <v>9</v>
      </c>
      <c r="H206" s="8">
        <v>1</v>
      </c>
      <c r="I206" s="2">
        <v>25</v>
      </c>
      <c r="J206" s="2">
        <v>25</v>
      </c>
      <c r="K206" t="str">
        <f t="shared" si="19"/>
        <v>Low</v>
      </c>
      <c r="L206" s="12">
        <f t="shared" si="20"/>
        <v>2023</v>
      </c>
      <c r="M206" s="12">
        <f t="shared" si="21"/>
        <v>4</v>
      </c>
      <c r="N206" s="5" t="str">
        <f t="shared" si="22"/>
        <v>Tuesday</v>
      </c>
      <c r="O206" s="5" t="str">
        <f t="shared" si="23"/>
        <v>November</v>
      </c>
    </row>
    <row r="207" spans="1:15" x14ac:dyDescent="0.3">
      <c r="A207" s="8">
        <v>206</v>
      </c>
      <c r="B207" s="25">
        <v>45143</v>
      </c>
      <c r="C207" s="5" t="s">
        <v>214</v>
      </c>
      <c r="D207" s="5" t="s">
        <v>5</v>
      </c>
      <c r="E207" s="12">
        <v>61</v>
      </c>
      <c r="F207" s="2" t="str">
        <f t="shared" si="18"/>
        <v>Senior</v>
      </c>
      <c r="G207" s="5" t="s">
        <v>9</v>
      </c>
      <c r="H207" s="8">
        <v>1</v>
      </c>
      <c r="I207" s="2">
        <v>25</v>
      </c>
      <c r="J207" s="2">
        <v>25</v>
      </c>
      <c r="K207" t="str">
        <f t="shared" si="19"/>
        <v>Low</v>
      </c>
      <c r="L207" s="12">
        <f t="shared" si="20"/>
        <v>2023</v>
      </c>
      <c r="M207" s="12">
        <f t="shared" si="21"/>
        <v>3</v>
      </c>
      <c r="N207" s="5" t="str">
        <f t="shared" si="22"/>
        <v>Saturday</v>
      </c>
      <c r="O207" s="5" t="str">
        <f t="shared" si="23"/>
        <v>August</v>
      </c>
    </row>
    <row r="208" spans="1:15" x14ac:dyDescent="0.3">
      <c r="A208" s="8">
        <v>207</v>
      </c>
      <c r="B208" s="25">
        <v>45035</v>
      </c>
      <c r="C208" s="5" t="s">
        <v>215</v>
      </c>
      <c r="D208" s="5" t="s">
        <v>8</v>
      </c>
      <c r="E208" s="12">
        <v>42</v>
      </c>
      <c r="F208" s="2" t="str">
        <f t="shared" si="18"/>
        <v>Adult</v>
      </c>
      <c r="G208" s="5" t="s">
        <v>6</v>
      </c>
      <c r="H208" s="8">
        <v>2</v>
      </c>
      <c r="I208" s="2">
        <v>25</v>
      </c>
      <c r="J208" s="2">
        <v>50</v>
      </c>
      <c r="K208" t="str">
        <f t="shared" si="19"/>
        <v>Low</v>
      </c>
      <c r="L208" s="12">
        <f t="shared" si="20"/>
        <v>2023</v>
      </c>
      <c r="M208" s="12">
        <f t="shared" si="21"/>
        <v>2</v>
      </c>
      <c r="N208" s="5" t="str">
        <f t="shared" si="22"/>
        <v>Wednesday</v>
      </c>
      <c r="O208" s="5" t="str">
        <f t="shared" si="23"/>
        <v>April</v>
      </c>
    </row>
    <row r="209" spans="1:15" x14ac:dyDescent="0.3">
      <c r="A209" s="8">
        <v>208</v>
      </c>
      <c r="B209" s="25">
        <v>45203</v>
      </c>
      <c r="C209" s="5" t="s">
        <v>216</v>
      </c>
      <c r="D209" s="5" t="s">
        <v>8</v>
      </c>
      <c r="E209" s="12">
        <v>34</v>
      </c>
      <c r="F209" s="2" t="str">
        <f t="shared" si="18"/>
        <v>Adult</v>
      </c>
      <c r="G209" s="5" t="s">
        <v>11</v>
      </c>
      <c r="H209" s="8">
        <v>4</v>
      </c>
      <c r="I209" s="2">
        <v>50</v>
      </c>
      <c r="J209" s="2">
        <v>200</v>
      </c>
      <c r="K209" t="str">
        <f t="shared" si="19"/>
        <v>Low</v>
      </c>
      <c r="L209" s="12">
        <f t="shared" si="20"/>
        <v>2023</v>
      </c>
      <c r="M209" s="12">
        <f t="shared" si="21"/>
        <v>4</v>
      </c>
      <c r="N209" s="5" t="str">
        <f t="shared" si="22"/>
        <v>Wednesday</v>
      </c>
      <c r="O209" s="5" t="str">
        <f t="shared" si="23"/>
        <v>October</v>
      </c>
    </row>
    <row r="210" spans="1:15" x14ac:dyDescent="0.3">
      <c r="A210" s="8">
        <v>209</v>
      </c>
      <c r="B210" s="25">
        <v>45280</v>
      </c>
      <c r="C210" s="5" t="s">
        <v>217</v>
      </c>
      <c r="D210" s="5" t="s">
        <v>8</v>
      </c>
      <c r="E210" s="12">
        <v>30</v>
      </c>
      <c r="F210" s="2" t="str">
        <f t="shared" si="18"/>
        <v>Young</v>
      </c>
      <c r="G210" s="5" t="s">
        <v>11</v>
      </c>
      <c r="H210" s="8">
        <v>4</v>
      </c>
      <c r="I210" s="2">
        <v>50</v>
      </c>
      <c r="J210" s="2">
        <v>200</v>
      </c>
      <c r="K210" t="str">
        <f t="shared" si="19"/>
        <v>Low</v>
      </c>
      <c r="L210" s="12">
        <f t="shared" si="20"/>
        <v>2023</v>
      </c>
      <c r="M210" s="12">
        <f t="shared" si="21"/>
        <v>4</v>
      </c>
      <c r="N210" s="5" t="str">
        <f t="shared" si="22"/>
        <v>Wednesday</v>
      </c>
      <c r="O210" s="5" t="str">
        <f t="shared" si="23"/>
        <v>December</v>
      </c>
    </row>
    <row r="211" spans="1:15" x14ac:dyDescent="0.3">
      <c r="A211" s="8">
        <v>210</v>
      </c>
      <c r="B211" s="25">
        <v>45029</v>
      </c>
      <c r="C211" s="5" t="s">
        <v>218</v>
      </c>
      <c r="D211" s="5" t="s">
        <v>5</v>
      </c>
      <c r="E211" s="12">
        <v>37</v>
      </c>
      <c r="F211" s="2" t="str">
        <f t="shared" si="18"/>
        <v>Adult</v>
      </c>
      <c r="G211" s="5" t="s">
        <v>11</v>
      </c>
      <c r="H211" s="8">
        <v>4</v>
      </c>
      <c r="I211" s="2">
        <v>50</v>
      </c>
      <c r="J211" s="2">
        <v>200</v>
      </c>
      <c r="K211" t="str">
        <f t="shared" si="19"/>
        <v>Low</v>
      </c>
      <c r="L211" s="12">
        <f t="shared" si="20"/>
        <v>2023</v>
      </c>
      <c r="M211" s="12">
        <f t="shared" si="21"/>
        <v>2</v>
      </c>
      <c r="N211" s="5" t="str">
        <f t="shared" si="22"/>
        <v>Thursday</v>
      </c>
      <c r="O211" s="5" t="str">
        <f t="shared" si="23"/>
        <v>April</v>
      </c>
    </row>
    <row r="212" spans="1:15" x14ac:dyDescent="0.3">
      <c r="A212" s="8">
        <v>211</v>
      </c>
      <c r="B212" s="25">
        <v>45292</v>
      </c>
      <c r="C212" s="5" t="s">
        <v>219</v>
      </c>
      <c r="D212" s="5" t="s">
        <v>5</v>
      </c>
      <c r="E212" s="12">
        <v>42</v>
      </c>
      <c r="F212" s="2" t="str">
        <f t="shared" si="18"/>
        <v>Adult</v>
      </c>
      <c r="G212" s="5" t="s">
        <v>6</v>
      </c>
      <c r="H212" s="8">
        <v>3</v>
      </c>
      <c r="I212" s="2">
        <v>500</v>
      </c>
      <c r="J212" s="2">
        <v>1500</v>
      </c>
      <c r="K212" t="str">
        <f t="shared" si="19"/>
        <v>Medium</v>
      </c>
      <c r="L212" s="12">
        <f t="shared" si="20"/>
        <v>2024</v>
      </c>
      <c r="M212" s="12">
        <f t="shared" si="21"/>
        <v>1</v>
      </c>
      <c r="N212" s="5" t="str">
        <f t="shared" si="22"/>
        <v>Monday</v>
      </c>
      <c r="O212" s="5" t="str">
        <f t="shared" si="23"/>
        <v>January</v>
      </c>
    </row>
    <row r="213" spans="1:15" x14ac:dyDescent="0.3">
      <c r="A213" s="8">
        <v>212</v>
      </c>
      <c r="B213" s="25">
        <v>45086</v>
      </c>
      <c r="C213" s="5" t="s">
        <v>220</v>
      </c>
      <c r="D213" s="5" t="s">
        <v>5</v>
      </c>
      <c r="E213" s="12">
        <v>21</v>
      </c>
      <c r="F213" s="2" t="str">
        <f t="shared" si="18"/>
        <v>Young</v>
      </c>
      <c r="G213" s="5" t="s">
        <v>9</v>
      </c>
      <c r="H213" s="8">
        <v>3</v>
      </c>
      <c r="I213" s="2">
        <v>500</v>
      </c>
      <c r="J213" s="2">
        <v>1500</v>
      </c>
      <c r="K213" t="str">
        <f t="shared" si="19"/>
        <v>Medium</v>
      </c>
      <c r="L213" s="12">
        <f t="shared" si="20"/>
        <v>2023</v>
      </c>
      <c r="M213" s="12">
        <f t="shared" si="21"/>
        <v>2</v>
      </c>
      <c r="N213" s="5" t="str">
        <f t="shared" si="22"/>
        <v>Friday</v>
      </c>
      <c r="O213" s="5" t="str">
        <f t="shared" si="23"/>
        <v>June</v>
      </c>
    </row>
    <row r="214" spans="1:15" x14ac:dyDescent="0.3">
      <c r="A214" s="8">
        <v>213</v>
      </c>
      <c r="B214" s="25">
        <v>45131</v>
      </c>
      <c r="C214" s="5" t="s">
        <v>221</v>
      </c>
      <c r="D214" s="5" t="s">
        <v>5</v>
      </c>
      <c r="E214" s="12">
        <v>27</v>
      </c>
      <c r="F214" s="2" t="str">
        <f t="shared" si="18"/>
        <v>Young</v>
      </c>
      <c r="G214" s="5" t="s">
        <v>6</v>
      </c>
      <c r="H214" s="8">
        <v>3</v>
      </c>
      <c r="I214" s="2">
        <v>500</v>
      </c>
      <c r="J214" s="2">
        <v>1500</v>
      </c>
      <c r="K214" t="str">
        <f t="shared" si="19"/>
        <v>Medium</v>
      </c>
      <c r="L214" s="12">
        <f t="shared" si="20"/>
        <v>2023</v>
      </c>
      <c r="M214" s="12">
        <f t="shared" si="21"/>
        <v>3</v>
      </c>
      <c r="N214" s="5" t="str">
        <f t="shared" si="22"/>
        <v>Monday</v>
      </c>
      <c r="O214" s="5" t="str">
        <f t="shared" si="23"/>
        <v>July</v>
      </c>
    </row>
    <row r="215" spans="1:15" x14ac:dyDescent="0.3">
      <c r="A215" s="8">
        <v>214</v>
      </c>
      <c r="B215" s="25">
        <v>45270</v>
      </c>
      <c r="C215" s="5" t="s">
        <v>222</v>
      </c>
      <c r="D215" s="5" t="s">
        <v>5</v>
      </c>
      <c r="E215" s="12">
        <v>20</v>
      </c>
      <c r="F215" s="2" t="str">
        <f t="shared" si="18"/>
        <v>Young</v>
      </c>
      <c r="G215" s="5" t="s">
        <v>6</v>
      </c>
      <c r="H215" s="8">
        <v>2</v>
      </c>
      <c r="I215" s="2">
        <v>30</v>
      </c>
      <c r="J215" s="2">
        <v>60</v>
      </c>
      <c r="K215" t="str">
        <f t="shared" si="19"/>
        <v>Low</v>
      </c>
      <c r="L215" s="12">
        <f t="shared" si="20"/>
        <v>2023</v>
      </c>
      <c r="M215" s="12">
        <f t="shared" si="21"/>
        <v>4</v>
      </c>
      <c r="N215" s="5" t="str">
        <f t="shared" si="22"/>
        <v>Sunday</v>
      </c>
      <c r="O215" s="5" t="str">
        <f t="shared" si="23"/>
        <v>December</v>
      </c>
    </row>
    <row r="216" spans="1:15" x14ac:dyDescent="0.3">
      <c r="A216" s="8">
        <v>215</v>
      </c>
      <c r="B216" s="25">
        <v>45259</v>
      </c>
      <c r="C216" s="5" t="s">
        <v>223</v>
      </c>
      <c r="D216" s="5" t="s">
        <v>5</v>
      </c>
      <c r="E216" s="12">
        <v>58</v>
      </c>
      <c r="F216" s="2" t="str">
        <f t="shared" si="18"/>
        <v>Adult</v>
      </c>
      <c r="G216" s="5" t="s">
        <v>9</v>
      </c>
      <c r="H216" s="8">
        <v>3</v>
      </c>
      <c r="I216" s="2">
        <v>500</v>
      </c>
      <c r="J216" s="2">
        <v>1500</v>
      </c>
      <c r="K216" t="str">
        <f t="shared" si="19"/>
        <v>Medium</v>
      </c>
      <c r="L216" s="12">
        <f t="shared" si="20"/>
        <v>2023</v>
      </c>
      <c r="M216" s="12">
        <f t="shared" si="21"/>
        <v>4</v>
      </c>
      <c r="N216" s="5" t="str">
        <f t="shared" si="22"/>
        <v>Wednesday</v>
      </c>
      <c r="O216" s="5" t="str">
        <f t="shared" si="23"/>
        <v>November</v>
      </c>
    </row>
    <row r="217" spans="1:15" x14ac:dyDescent="0.3">
      <c r="A217" s="8">
        <v>216</v>
      </c>
      <c r="B217" s="25">
        <v>45118</v>
      </c>
      <c r="C217" s="5" t="s">
        <v>224</v>
      </c>
      <c r="D217" s="5" t="s">
        <v>5</v>
      </c>
      <c r="E217" s="12">
        <v>62</v>
      </c>
      <c r="F217" s="2" t="str">
        <f t="shared" si="18"/>
        <v>Senior</v>
      </c>
      <c r="G217" s="5" t="s">
        <v>11</v>
      </c>
      <c r="H217" s="8">
        <v>2</v>
      </c>
      <c r="I217" s="2">
        <v>50</v>
      </c>
      <c r="J217" s="2">
        <v>100</v>
      </c>
      <c r="K217" t="str">
        <f t="shared" si="19"/>
        <v>Low</v>
      </c>
      <c r="L217" s="12">
        <f t="shared" si="20"/>
        <v>2023</v>
      </c>
      <c r="M217" s="12">
        <f t="shared" si="21"/>
        <v>3</v>
      </c>
      <c r="N217" s="5" t="str">
        <f t="shared" si="22"/>
        <v>Tuesday</v>
      </c>
      <c r="O217" s="5" t="str">
        <f t="shared" si="23"/>
        <v>July</v>
      </c>
    </row>
    <row r="218" spans="1:15" x14ac:dyDescent="0.3">
      <c r="A218" s="8">
        <v>217</v>
      </c>
      <c r="B218" s="25">
        <v>45151</v>
      </c>
      <c r="C218" s="5" t="s">
        <v>225</v>
      </c>
      <c r="D218" s="5" t="s">
        <v>8</v>
      </c>
      <c r="E218" s="12">
        <v>35</v>
      </c>
      <c r="F218" s="2" t="str">
        <f t="shared" si="18"/>
        <v>Adult</v>
      </c>
      <c r="G218" s="5" t="s">
        <v>11</v>
      </c>
      <c r="H218" s="8">
        <v>4</v>
      </c>
      <c r="I218" s="2">
        <v>50</v>
      </c>
      <c r="J218" s="2">
        <v>200</v>
      </c>
      <c r="K218" t="str">
        <f t="shared" si="19"/>
        <v>Low</v>
      </c>
      <c r="L218" s="12">
        <f t="shared" si="20"/>
        <v>2023</v>
      </c>
      <c r="M218" s="12">
        <f t="shared" si="21"/>
        <v>3</v>
      </c>
      <c r="N218" s="5" t="str">
        <f t="shared" si="22"/>
        <v>Sunday</v>
      </c>
      <c r="O218" s="5" t="str">
        <f t="shared" si="23"/>
        <v>August</v>
      </c>
    </row>
    <row r="219" spans="1:15" x14ac:dyDescent="0.3">
      <c r="A219" s="8">
        <v>218</v>
      </c>
      <c r="B219" s="25">
        <v>45191</v>
      </c>
      <c r="C219" s="5" t="s">
        <v>226</v>
      </c>
      <c r="D219" s="5" t="s">
        <v>5</v>
      </c>
      <c r="E219" s="12">
        <v>64</v>
      </c>
      <c r="F219" s="2" t="str">
        <f t="shared" si="18"/>
        <v>Senior</v>
      </c>
      <c r="G219" s="5" t="s">
        <v>6</v>
      </c>
      <c r="H219" s="8">
        <v>3</v>
      </c>
      <c r="I219" s="2">
        <v>30</v>
      </c>
      <c r="J219" s="2">
        <v>90</v>
      </c>
      <c r="K219" t="str">
        <f t="shared" si="19"/>
        <v>Low</v>
      </c>
      <c r="L219" s="12">
        <f t="shared" si="20"/>
        <v>2023</v>
      </c>
      <c r="M219" s="12">
        <f t="shared" si="21"/>
        <v>3</v>
      </c>
      <c r="N219" s="5" t="str">
        <f t="shared" si="22"/>
        <v>Friday</v>
      </c>
      <c r="O219" s="5" t="str">
        <f t="shared" si="23"/>
        <v>September</v>
      </c>
    </row>
    <row r="220" spans="1:15" x14ac:dyDescent="0.3">
      <c r="A220" s="8">
        <v>219</v>
      </c>
      <c r="B220" s="25">
        <v>45158</v>
      </c>
      <c r="C220" s="5" t="s">
        <v>227</v>
      </c>
      <c r="D220" s="5" t="s">
        <v>8</v>
      </c>
      <c r="E220" s="12">
        <v>53</v>
      </c>
      <c r="F220" s="2" t="str">
        <f t="shared" si="18"/>
        <v>Adult</v>
      </c>
      <c r="G220" s="5" t="s">
        <v>11</v>
      </c>
      <c r="H220" s="8">
        <v>3</v>
      </c>
      <c r="I220" s="2">
        <v>30</v>
      </c>
      <c r="J220" s="2">
        <v>90</v>
      </c>
      <c r="K220" t="str">
        <f t="shared" si="19"/>
        <v>Low</v>
      </c>
      <c r="L220" s="12">
        <f t="shared" si="20"/>
        <v>2023</v>
      </c>
      <c r="M220" s="12">
        <f t="shared" si="21"/>
        <v>3</v>
      </c>
      <c r="N220" s="5" t="str">
        <f t="shared" si="22"/>
        <v>Sunday</v>
      </c>
      <c r="O220" s="5" t="str">
        <f t="shared" si="23"/>
        <v>August</v>
      </c>
    </row>
    <row r="221" spans="1:15" x14ac:dyDescent="0.3">
      <c r="A221" s="8">
        <v>220</v>
      </c>
      <c r="B221" s="25">
        <v>44988</v>
      </c>
      <c r="C221" s="5" t="s">
        <v>228</v>
      </c>
      <c r="D221" s="5" t="s">
        <v>5</v>
      </c>
      <c r="E221" s="12">
        <v>64</v>
      </c>
      <c r="F221" s="2" t="str">
        <f t="shared" si="18"/>
        <v>Senior</v>
      </c>
      <c r="G221" s="5" t="s">
        <v>6</v>
      </c>
      <c r="H221" s="8">
        <v>1</v>
      </c>
      <c r="I221" s="2">
        <v>500</v>
      </c>
      <c r="J221" s="2">
        <v>500</v>
      </c>
      <c r="K221" t="str">
        <f t="shared" si="19"/>
        <v>Low</v>
      </c>
      <c r="L221" s="12">
        <f t="shared" si="20"/>
        <v>2023</v>
      </c>
      <c r="M221" s="12">
        <f t="shared" si="21"/>
        <v>1</v>
      </c>
      <c r="N221" s="5" t="str">
        <f t="shared" si="22"/>
        <v>Friday</v>
      </c>
      <c r="O221" s="5" t="str">
        <f t="shared" si="23"/>
        <v>March</v>
      </c>
    </row>
    <row r="222" spans="1:15" x14ac:dyDescent="0.3">
      <c r="A222" s="8">
        <v>221</v>
      </c>
      <c r="B222" s="25">
        <v>45053</v>
      </c>
      <c r="C222" s="5" t="s">
        <v>229</v>
      </c>
      <c r="D222" s="5" t="s">
        <v>5</v>
      </c>
      <c r="E222" s="12">
        <v>39</v>
      </c>
      <c r="F222" s="2" t="str">
        <f t="shared" si="18"/>
        <v>Adult</v>
      </c>
      <c r="G222" s="5" t="s">
        <v>6</v>
      </c>
      <c r="H222" s="8">
        <v>2</v>
      </c>
      <c r="I222" s="2">
        <v>300</v>
      </c>
      <c r="J222" s="2">
        <v>600</v>
      </c>
      <c r="K222" t="str">
        <f t="shared" si="19"/>
        <v>Medium</v>
      </c>
      <c r="L222" s="12">
        <f t="shared" si="20"/>
        <v>2023</v>
      </c>
      <c r="M222" s="12">
        <f t="shared" si="21"/>
        <v>2</v>
      </c>
      <c r="N222" s="5" t="str">
        <f t="shared" si="22"/>
        <v>Sunday</v>
      </c>
      <c r="O222" s="5" t="str">
        <f t="shared" si="23"/>
        <v>May</v>
      </c>
    </row>
    <row r="223" spans="1:15" x14ac:dyDescent="0.3">
      <c r="A223" s="8">
        <v>222</v>
      </c>
      <c r="B223" s="25">
        <v>45042</v>
      </c>
      <c r="C223" s="5" t="s">
        <v>230</v>
      </c>
      <c r="D223" s="5" t="s">
        <v>5</v>
      </c>
      <c r="E223" s="12">
        <v>51</v>
      </c>
      <c r="F223" s="2" t="str">
        <f t="shared" si="18"/>
        <v>Adult</v>
      </c>
      <c r="G223" s="5" t="s">
        <v>9</v>
      </c>
      <c r="H223" s="8">
        <v>4</v>
      </c>
      <c r="I223" s="2">
        <v>30</v>
      </c>
      <c r="J223" s="2">
        <v>120</v>
      </c>
      <c r="K223" t="str">
        <f t="shared" si="19"/>
        <v>Low</v>
      </c>
      <c r="L223" s="12">
        <f t="shared" si="20"/>
        <v>2023</v>
      </c>
      <c r="M223" s="12">
        <f t="shared" si="21"/>
        <v>2</v>
      </c>
      <c r="N223" s="5" t="str">
        <f t="shared" si="22"/>
        <v>Wednesday</v>
      </c>
      <c r="O223" s="5" t="str">
        <f t="shared" si="23"/>
        <v>April</v>
      </c>
    </row>
    <row r="224" spans="1:15" x14ac:dyDescent="0.3">
      <c r="A224" s="8">
        <v>223</v>
      </c>
      <c r="B224" s="25">
        <v>44959</v>
      </c>
      <c r="C224" s="5" t="s">
        <v>231</v>
      </c>
      <c r="D224" s="5" t="s">
        <v>8</v>
      </c>
      <c r="E224" s="12">
        <v>64</v>
      </c>
      <c r="F224" s="2" t="str">
        <f t="shared" si="18"/>
        <v>Senior</v>
      </c>
      <c r="G224" s="5" t="s">
        <v>9</v>
      </c>
      <c r="H224" s="8">
        <v>1</v>
      </c>
      <c r="I224" s="2">
        <v>25</v>
      </c>
      <c r="J224" s="2">
        <v>25</v>
      </c>
      <c r="K224" t="str">
        <f t="shared" si="19"/>
        <v>Low</v>
      </c>
      <c r="L224" s="12">
        <f t="shared" si="20"/>
        <v>2023</v>
      </c>
      <c r="M224" s="12">
        <f t="shared" si="21"/>
        <v>1</v>
      </c>
      <c r="N224" s="5" t="str">
        <f t="shared" si="22"/>
        <v>Thursday</v>
      </c>
      <c r="O224" s="5" t="str">
        <f t="shared" si="23"/>
        <v>February</v>
      </c>
    </row>
    <row r="225" spans="1:15" x14ac:dyDescent="0.3">
      <c r="A225" s="8">
        <v>224</v>
      </c>
      <c r="B225" s="25">
        <v>45100</v>
      </c>
      <c r="C225" s="5" t="s">
        <v>232</v>
      </c>
      <c r="D225" s="5" t="s">
        <v>8</v>
      </c>
      <c r="E225" s="12">
        <v>25</v>
      </c>
      <c r="F225" s="2" t="str">
        <f t="shared" si="18"/>
        <v>Young</v>
      </c>
      <c r="G225" s="5" t="s">
        <v>9</v>
      </c>
      <c r="H225" s="8">
        <v>1</v>
      </c>
      <c r="I225" s="2">
        <v>50</v>
      </c>
      <c r="J225" s="2">
        <v>50</v>
      </c>
      <c r="K225" t="str">
        <f t="shared" si="19"/>
        <v>Low</v>
      </c>
      <c r="L225" s="12">
        <f t="shared" si="20"/>
        <v>2023</v>
      </c>
      <c r="M225" s="12">
        <f t="shared" si="21"/>
        <v>2</v>
      </c>
      <c r="N225" s="5" t="str">
        <f t="shared" si="22"/>
        <v>Friday</v>
      </c>
      <c r="O225" s="5" t="str">
        <f t="shared" si="23"/>
        <v>June</v>
      </c>
    </row>
    <row r="226" spans="1:15" x14ac:dyDescent="0.3">
      <c r="A226" s="8">
        <v>225</v>
      </c>
      <c r="B226" s="25">
        <v>44937</v>
      </c>
      <c r="C226" s="5" t="s">
        <v>233</v>
      </c>
      <c r="D226" s="5" t="s">
        <v>8</v>
      </c>
      <c r="E226" s="12">
        <v>57</v>
      </c>
      <c r="F226" s="2" t="str">
        <f t="shared" si="18"/>
        <v>Adult</v>
      </c>
      <c r="G226" s="5" t="s">
        <v>6</v>
      </c>
      <c r="H226" s="8">
        <v>4</v>
      </c>
      <c r="I226" s="2">
        <v>25</v>
      </c>
      <c r="J226" s="2">
        <v>100</v>
      </c>
      <c r="K226" t="str">
        <f t="shared" si="19"/>
        <v>Low</v>
      </c>
      <c r="L226" s="12">
        <f t="shared" si="20"/>
        <v>2023</v>
      </c>
      <c r="M226" s="12">
        <f t="shared" si="21"/>
        <v>1</v>
      </c>
      <c r="N226" s="5" t="str">
        <f t="shared" si="22"/>
        <v>Wednesday</v>
      </c>
      <c r="O226" s="5" t="str">
        <f t="shared" si="23"/>
        <v>January</v>
      </c>
    </row>
    <row r="227" spans="1:15" x14ac:dyDescent="0.3">
      <c r="A227" s="8">
        <v>226</v>
      </c>
      <c r="B227" s="25">
        <v>45228</v>
      </c>
      <c r="C227" s="5" t="s">
        <v>234</v>
      </c>
      <c r="D227" s="5" t="s">
        <v>8</v>
      </c>
      <c r="E227" s="12">
        <v>61</v>
      </c>
      <c r="F227" s="2" t="str">
        <f t="shared" si="18"/>
        <v>Senior</v>
      </c>
      <c r="G227" s="5" t="s">
        <v>9</v>
      </c>
      <c r="H227" s="8">
        <v>1</v>
      </c>
      <c r="I227" s="2">
        <v>50</v>
      </c>
      <c r="J227" s="2">
        <v>50</v>
      </c>
      <c r="K227" t="str">
        <f t="shared" si="19"/>
        <v>Low</v>
      </c>
      <c r="L227" s="12">
        <f t="shared" si="20"/>
        <v>2023</v>
      </c>
      <c r="M227" s="12">
        <f t="shared" si="21"/>
        <v>4</v>
      </c>
      <c r="N227" s="5" t="str">
        <f t="shared" si="22"/>
        <v>Sunday</v>
      </c>
      <c r="O227" s="5" t="str">
        <f t="shared" si="23"/>
        <v>October</v>
      </c>
    </row>
    <row r="228" spans="1:15" x14ac:dyDescent="0.3">
      <c r="A228" s="8">
        <v>227</v>
      </c>
      <c r="B228" s="25">
        <v>45210</v>
      </c>
      <c r="C228" s="5" t="s">
        <v>235</v>
      </c>
      <c r="D228" s="5" t="s">
        <v>5</v>
      </c>
      <c r="E228" s="12">
        <v>36</v>
      </c>
      <c r="F228" s="2" t="str">
        <f t="shared" si="18"/>
        <v>Adult</v>
      </c>
      <c r="G228" s="5" t="s">
        <v>11</v>
      </c>
      <c r="H228" s="8">
        <v>2</v>
      </c>
      <c r="I228" s="2">
        <v>50</v>
      </c>
      <c r="J228" s="2">
        <v>100</v>
      </c>
      <c r="K228" t="str">
        <f t="shared" si="19"/>
        <v>Low</v>
      </c>
      <c r="L228" s="12">
        <f t="shared" si="20"/>
        <v>2023</v>
      </c>
      <c r="M228" s="12">
        <f t="shared" si="21"/>
        <v>4</v>
      </c>
      <c r="N228" s="5" t="str">
        <f t="shared" si="22"/>
        <v>Wednesday</v>
      </c>
      <c r="O228" s="5" t="str">
        <f t="shared" si="23"/>
        <v>October</v>
      </c>
    </row>
    <row r="229" spans="1:15" x14ac:dyDescent="0.3">
      <c r="A229" s="8">
        <v>228</v>
      </c>
      <c r="B229" s="25">
        <v>45044</v>
      </c>
      <c r="C229" s="5" t="s">
        <v>236</v>
      </c>
      <c r="D229" s="5" t="s">
        <v>8</v>
      </c>
      <c r="E229" s="12">
        <v>59</v>
      </c>
      <c r="F229" s="2" t="str">
        <f t="shared" si="18"/>
        <v>Adult</v>
      </c>
      <c r="G229" s="5" t="s">
        <v>11</v>
      </c>
      <c r="H229" s="8">
        <v>2</v>
      </c>
      <c r="I229" s="2">
        <v>30</v>
      </c>
      <c r="J229" s="2">
        <v>60</v>
      </c>
      <c r="K229" t="str">
        <f t="shared" si="19"/>
        <v>Low</v>
      </c>
      <c r="L229" s="12">
        <f t="shared" si="20"/>
        <v>2023</v>
      </c>
      <c r="M229" s="12">
        <f t="shared" si="21"/>
        <v>2</v>
      </c>
      <c r="N229" s="5" t="str">
        <f t="shared" si="22"/>
        <v>Friday</v>
      </c>
      <c r="O229" s="5" t="str">
        <f t="shared" si="23"/>
        <v>April</v>
      </c>
    </row>
    <row r="230" spans="1:15" x14ac:dyDescent="0.3">
      <c r="A230" s="8">
        <v>229</v>
      </c>
      <c r="B230" s="25">
        <v>45228</v>
      </c>
      <c r="C230" s="5" t="s">
        <v>237</v>
      </c>
      <c r="D230" s="5" t="s">
        <v>5</v>
      </c>
      <c r="E230" s="12">
        <v>58</v>
      </c>
      <c r="F230" s="2" t="str">
        <f t="shared" si="18"/>
        <v>Adult</v>
      </c>
      <c r="G230" s="5" t="s">
        <v>6</v>
      </c>
      <c r="H230" s="8">
        <v>3</v>
      </c>
      <c r="I230" s="2">
        <v>30</v>
      </c>
      <c r="J230" s="2">
        <v>90</v>
      </c>
      <c r="K230" t="str">
        <f t="shared" si="19"/>
        <v>Low</v>
      </c>
      <c r="L230" s="12">
        <f t="shared" si="20"/>
        <v>2023</v>
      </c>
      <c r="M230" s="12">
        <f t="shared" si="21"/>
        <v>4</v>
      </c>
      <c r="N230" s="5" t="str">
        <f t="shared" si="22"/>
        <v>Sunday</v>
      </c>
      <c r="O230" s="5" t="str">
        <f t="shared" si="23"/>
        <v>October</v>
      </c>
    </row>
    <row r="231" spans="1:15" x14ac:dyDescent="0.3">
      <c r="A231" s="8">
        <v>230</v>
      </c>
      <c r="B231" s="25">
        <v>45039</v>
      </c>
      <c r="C231" s="5" t="s">
        <v>238</v>
      </c>
      <c r="D231" s="5" t="s">
        <v>5</v>
      </c>
      <c r="E231" s="12">
        <v>54</v>
      </c>
      <c r="F231" s="2" t="str">
        <f t="shared" si="18"/>
        <v>Adult</v>
      </c>
      <c r="G231" s="5" t="s">
        <v>6</v>
      </c>
      <c r="H231" s="8">
        <v>1</v>
      </c>
      <c r="I231" s="2">
        <v>25</v>
      </c>
      <c r="J231" s="2">
        <v>25</v>
      </c>
      <c r="K231" t="str">
        <f t="shared" si="19"/>
        <v>Low</v>
      </c>
      <c r="L231" s="12">
        <f t="shared" si="20"/>
        <v>2023</v>
      </c>
      <c r="M231" s="12">
        <f t="shared" si="21"/>
        <v>2</v>
      </c>
      <c r="N231" s="5" t="str">
        <f t="shared" si="22"/>
        <v>Sunday</v>
      </c>
      <c r="O231" s="5" t="str">
        <f t="shared" si="23"/>
        <v>April</v>
      </c>
    </row>
    <row r="232" spans="1:15" x14ac:dyDescent="0.3">
      <c r="A232" s="8">
        <v>231</v>
      </c>
      <c r="B232" s="25">
        <v>44930</v>
      </c>
      <c r="C232" s="5" t="s">
        <v>239</v>
      </c>
      <c r="D232" s="5" t="s">
        <v>8</v>
      </c>
      <c r="E232" s="12">
        <v>23</v>
      </c>
      <c r="F232" s="2" t="str">
        <f t="shared" si="18"/>
        <v>Young</v>
      </c>
      <c r="G232" s="5" t="s">
        <v>9</v>
      </c>
      <c r="H232" s="8">
        <v>3</v>
      </c>
      <c r="I232" s="2">
        <v>50</v>
      </c>
      <c r="J232" s="2">
        <v>150</v>
      </c>
      <c r="K232" t="str">
        <f t="shared" si="19"/>
        <v>Low</v>
      </c>
      <c r="L232" s="12">
        <f t="shared" si="20"/>
        <v>2023</v>
      </c>
      <c r="M232" s="12">
        <f t="shared" si="21"/>
        <v>1</v>
      </c>
      <c r="N232" s="5" t="str">
        <f t="shared" si="22"/>
        <v>Wednesday</v>
      </c>
      <c r="O232" s="5" t="str">
        <f t="shared" si="23"/>
        <v>January</v>
      </c>
    </row>
    <row r="233" spans="1:15" x14ac:dyDescent="0.3">
      <c r="A233" s="8">
        <v>232</v>
      </c>
      <c r="B233" s="25">
        <v>44963</v>
      </c>
      <c r="C233" s="5" t="s">
        <v>240</v>
      </c>
      <c r="D233" s="5" t="s">
        <v>8</v>
      </c>
      <c r="E233" s="12">
        <v>43</v>
      </c>
      <c r="F233" s="2" t="str">
        <f t="shared" si="18"/>
        <v>Adult</v>
      </c>
      <c r="G233" s="5" t="s">
        <v>6</v>
      </c>
      <c r="H233" s="8">
        <v>1</v>
      </c>
      <c r="I233" s="2">
        <v>25</v>
      </c>
      <c r="J233" s="2">
        <v>25</v>
      </c>
      <c r="K233" t="str">
        <f t="shared" si="19"/>
        <v>Low</v>
      </c>
      <c r="L233" s="12">
        <f t="shared" si="20"/>
        <v>2023</v>
      </c>
      <c r="M233" s="12">
        <f t="shared" si="21"/>
        <v>1</v>
      </c>
      <c r="N233" s="5" t="str">
        <f t="shared" si="22"/>
        <v>Monday</v>
      </c>
      <c r="O233" s="5" t="str">
        <f t="shared" si="23"/>
        <v>February</v>
      </c>
    </row>
    <row r="234" spans="1:15" x14ac:dyDescent="0.3">
      <c r="A234" s="8">
        <v>233</v>
      </c>
      <c r="B234" s="25">
        <v>45289</v>
      </c>
      <c r="C234" s="5" t="s">
        <v>241</v>
      </c>
      <c r="D234" s="5" t="s">
        <v>8</v>
      </c>
      <c r="E234" s="12">
        <v>51</v>
      </c>
      <c r="F234" s="2" t="str">
        <f t="shared" si="18"/>
        <v>Adult</v>
      </c>
      <c r="G234" s="5" t="s">
        <v>6</v>
      </c>
      <c r="H234" s="8">
        <v>2</v>
      </c>
      <c r="I234" s="2">
        <v>300</v>
      </c>
      <c r="J234" s="2">
        <v>600</v>
      </c>
      <c r="K234" t="str">
        <f t="shared" si="19"/>
        <v>Medium</v>
      </c>
      <c r="L234" s="12">
        <f t="shared" si="20"/>
        <v>2023</v>
      </c>
      <c r="M234" s="12">
        <f t="shared" si="21"/>
        <v>4</v>
      </c>
      <c r="N234" s="5" t="str">
        <f t="shared" si="22"/>
        <v>Friday</v>
      </c>
      <c r="O234" s="5" t="str">
        <f t="shared" si="23"/>
        <v>December</v>
      </c>
    </row>
    <row r="235" spans="1:15" x14ac:dyDescent="0.3">
      <c r="A235" s="8">
        <v>234</v>
      </c>
      <c r="B235" s="25">
        <v>45250</v>
      </c>
      <c r="C235" s="5" t="s">
        <v>242</v>
      </c>
      <c r="D235" s="5" t="s">
        <v>8</v>
      </c>
      <c r="E235" s="12">
        <v>62</v>
      </c>
      <c r="F235" s="2" t="str">
        <f t="shared" si="18"/>
        <v>Senior</v>
      </c>
      <c r="G235" s="5" t="s">
        <v>11</v>
      </c>
      <c r="H235" s="8">
        <v>2</v>
      </c>
      <c r="I235" s="2">
        <v>25</v>
      </c>
      <c r="J235" s="2">
        <v>50</v>
      </c>
      <c r="K235" t="str">
        <f t="shared" si="19"/>
        <v>Low</v>
      </c>
      <c r="L235" s="12">
        <f t="shared" si="20"/>
        <v>2023</v>
      </c>
      <c r="M235" s="12">
        <f t="shared" si="21"/>
        <v>4</v>
      </c>
      <c r="N235" s="5" t="str">
        <f t="shared" si="22"/>
        <v>Monday</v>
      </c>
      <c r="O235" s="5" t="str">
        <f t="shared" si="23"/>
        <v>November</v>
      </c>
    </row>
    <row r="236" spans="1:15" x14ac:dyDescent="0.3">
      <c r="A236" s="8">
        <v>235</v>
      </c>
      <c r="B236" s="25">
        <v>44957</v>
      </c>
      <c r="C236" s="5" t="s">
        <v>243</v>
      </c>
      <c r="D236" s="5" t="s">
        <v>8</v>
      </c>
      <c r="E236" s="12">
        <v>23</v>
      </c>
      <c r="F236" s="2" t="str">
        <f t="shared" si="18"/>
        <v>Young</v>
      </c>
      <c r="G236" s="5" t="s">
        <v>11</v>
      </c>
      <c r="H236" s="8">
        <v>2</v>
      </c>
      <c r="I236" s="2">
        <v>500</v>
      </c>
      <c r="J236" s="2">
        <v>1000</v>
      </c>
      <c r="K236" t="str">
        <f t="shared" si="19"/>
        <v>Medium</v>
      </c>
      <c r="L236" s="12">
        <f t="shared" si="20"/>
        <v>2023</v>
      </c>
      <c r="M236" s="12">
        <f t="shared" si="21"/>
        <v>1</v>
      </c>
      <c r="N236" s="5" t="str">
        <f t="shared" si="22"/>
        <v>Tuesday</v>
      </c>
      <c r="O236" s="5" t="str">
        <f t="shared" si="23"/>
        <v>January</v>
      </c>
    </row>
    <row r="237" spans="1:15" x14ac:dyDescent="0.3">
      <c r="A237" s="8">
        <v>236</v>
      </c>
      <c r="B237" s="25">
        <v>45044</v>
      </c>
      <c r="C237" s="5" t="s">
        <v>244</v>
      </c>
      <c r="D237" s="5" t="s">
        <v>8</v>
      </c>
      <c r="E237" s="12">
        <v>54</v>
      </c>
      <c r="F237" s="2" t="str">
        <f t="shared" si="18"/>
        <v>Adult</v>
      </c>
      <c r="G237" s="5" t="s">
        <v>9</v>
      </c>
      <c r="H237" s="8">
        <v>1</v>
      </c>
      <c r="I237" s="2">
        <v>25</v>
      </c>
      <c r="J237" s="2">
        <v>25</v>
      </c>
      <c r="K237" t="str">
        <f t="shared" si="19"/>
        <v>Low</v>
      </c>
      <c r="L237" s="12">
        <f t="shared" si="20"/>
        <v>2023</v>
      </c>
      <c r="M237" s="12">
        <f t="shared" si="21"/>
        <v>2</v>
      </c>
      <c r="N237" s="5" t="str">
        <f t="shared" si="22"/>
        <v>Friday</v>
      </c>
      <c r="O237" s="5" t="str">
        <f t="shared" si="23"/>
        <v>April</v>
      </c>
    </row>
    <row r="238" spans="1:15" x14ac:dyDescent="0.3">
      <c r="A238" s="8">
        <v>237</v>
      </c>
      <c r="B238" s="25">
        <v>44961</v>
      </c>
      <c r="C238" s="5" t="s">
        <v>245</v>
      </c>
      <c r="D238" s="5" t="s">
        <v>8</v>
      </c>
      <c r="E238" s="12">
        <v>50</v>
      </c>
      <c r="F238" s="2" t="str">
        <f t="shared" si="18"/>
        <v>Adult</v>
      </c>
      <c r="G238" s="5" t="s">
        <v>6</v>
      </c>
      <c r="H238" s="8">
        <v>2</v>
      </c>
      <c r="I238" s="2">
        <v>500</v>
      </c>
      <c r="J238" s="2">
        <v>1000</v>
      </c>
      <c r="K238" t="str">
        <f t="shared" si="19"/>
        <v>Medium</v>
      </c>
      <c r="L238" s="12">
        <f t="shared" si="20"/>
        <v>2023</v>
      </c>
      <c r="M238" s="12">
        <f t="shared" si="21"/>
        <v>1</v>
      </c>
      <c r="N238" s="5" t="str">
        <f t="shared" si="22"/>
        <v>Saturday</v>
      </c>
      <c r="O238" s="5" t="str">
        <f t="shared" si="23"/>
        <v>February</v>
      </c>
    </row>
    <row r="239" spans="1:15" x14ac:dyDescent="0.3">
      <c r="A239" s="8">
        <v>238</v>
      </c>
      <c r="B239" s="25">
        <v>44943</v>
      </c>
      <c r="C239" s="5" t="s">
        <v>246</v>
      </c>
      <c r="D239" s="5" t="s">
        <v>8</v>
      </c>
      <c r="E239" s="12">
        <v>39</v>
      </c>
      <c r="F239" s="2" t="str">
        <f t="shared" si="18"/>
        <v>Adult</v>
      </c>
      <c r="G239" s="5" t="s">
        <v>6</v>
      </c>
      <c r="H239" s="8">
        <v>1</v>
      </c>
      <c r="I239" s="2">
        <v>500</v>
      </c>
      <c r="J239" s="2">
        <v>500</v>
      </c>
      <c r="K239" t="str">
        <f t="shared" si="19"/>
        <v>Low</v>
      </c>
      <c r="L239" s="12">
        <f t="shared" si="20"/>
        <v>2023</v>
      </c>
      <c r="M239" s="12">
        <f t="shared" si="21"/>
        <v>1</v>
      </c>
      <c r="N239" s="5" t="str">
        <f t="shared" si="22"/>
        <v>Tuesday</v>
      </c>
      <c r="O239" s="5" t="str">
        <f t="shared" si="23"/>
        <v>January</v>
      </c>
    </row>
    <row r="240" spans="1:15" x14ac:dyDescent="0.3">
      <c r="A240" s="8">
        <v>239</v>
      </c>
      <c r="B240" s="25">
        <v>45096</v>
      </c>
      <c r="C240" s="5" t="s">
        <v>247</v>
      </c>
      <c r="D240" s="5" t="s">
        <v>5</v>
      </c>
      <c r="E240" s="12">
        <v>38</v>
      </c>
      <c r="F240" s="2" t="str">
        <f t="shared" si="18"/>
        <v>Adult</v>
      </c>
      <c r="G240" s="5" t="s">
        <v>11</v>
      </c>
      <c r="H240" s="8">
        <v>3</v>
      </c>
      <c r="I240" s="2">
        <v>500</v>
      </c>
      <c r="J240" s="2">
        <v>1500</v>
      </c>
      <c r="K240" t="str">
        <f t="shared" si="19"/>
        <v>Medium</v>
      </c>
      <c r="L240" s="12">
        <f t="shared" si="20"/>
        <v>2023</v>
      </c>
      <c r="M240" s="12">
        <f t="shared" si="21"/>
        <v>2</v>
      </c>
      <c r="N240" s="5" t="str">
        <f t="shared" si="22"/>
        <v>Monday</v>
      </c>
      <c r="O240" s="5" t="str">
        <f t="shared" si="23"/>
        <v>June</v>
      </c>
    </row>
    <row r="241" spans="1:15" x14ac:dyDescent="0.3">
      <c r="A241" s="8">
        <v>240</v>
      </c>
      <c r="B241" s="25">
        <v>44963</v>
      </c>
      <c r="C241" s="5" t="s">
        <v>248</v>
      </c>
      <c r="D241" s="5" t="s">
        <v>8</v>
      </c>
      <c r="E241" s="12">
        <v>23</v>
      </c>
      <c r="F241" s="2" t="str">
        <f t="shared" si="18"/>
        <v>Young</v>
      </c>
      <c r="G241" s="5" t="s">
        <v>6</v>
      </c>
      <c r="H241" s="8">
        <v>1</v>
      </c>
      <c r="I241" s="2">
        <v>300</v>
      </c>
      <c r="J241" s="2">
        <v>300</v>
      </c>
      <c r="K241" t="str">
        <f t="shared" si="19"/>
        <v>Low</v>
      </c>
      <c r="L241" s="12">
        <f t="shared" si="20"/>
        <v>2023</v>
      </c>
      <c r="M241" s="12">
        <f t="shared" si="21"/>
        <v>1</v>
      </c>
      <c r="N241" s="5" t="str">
        <f t="shared" si="22"/>
        <v>Monday</v>
      </c>
      <c r="O241" s="5" t="str">
        <f t="shared" si="23"/>
        <v>February</v>
      </c>
    </row>
    <row r="242" spans="1:15" x14ac:dyDescent="0.3">
      <c r="A242" s="8">
        <v>241</v>
      </c>
      <c r="B242" s="25">
        <v>45190</v>
      </c>
      <c r="C242" s="5" t="s">
        <v>249</v>
      </c>
      <c r="D242" s="5" t="s">
        <v>8</v>
      </c>
      <c r="E242" s="12">
        <v>23</v>
      </c>
      <c r="F242" s="2" t="str">
        <f t="shared" si="18"/>
        <v>Young</v>
      </c>
      <c r="G242" s="5" t="s">
        <v>11</v>
      </c>
      <c r="H242" s="8">
        <v>3</v>
      </c>
      <c r="I242" s="2">
        <v>25</v>
      </c>
      <c r="J242" s="2">
        <v>75</v>
      </c>
      <c r="K242" t="str">
        <f t="shared" si="19"/>
        <v>Low</v>
      </c>
      <c r="L242" s="12">
        <f t="shared" si="20"/>
        <v>2023</v>
      </c>
      <c r="M242" s="12">
        <f t="shared" si="21"/>
        <v>3</v>
      </c>
      <c r="N242" s="5" t="str">
        <f t="shared" si="22"/>
        <v>Thursday</v>
      </c>
      <c r="O242" s="5" t="str">
        <f t="shared" si="23"/>
        <v>September</v>
      </c>
    </row>
    <row r="243" spans="1:15" x14ac:dyDescent="0.3">
      <c r="A243" s="8">
        <v>242</v>
      </c>
      <c r="B243" s="25">
        <v>45048</v>
      </c>
      <c r="C243" s="5" t="s">
        <v>250</v>
      </c>
      <c r="D243" s="5" t="s">
        <v>5</v>
      </c>
      <c r="E243" s="12">
        <v>21</v>
      </c>
      <c r="F243" s="2" t="str">
        <f t="shared" si="18"/>
        <v>Young</v>
      </c>
      <c r="G243" s="5" t="s">
        <v>9</v>
      </c>
      <c r="H243" s="8">
        <v>1</v>
      </c>
      <c r="I243" s="2">
        <v>25</v>
      </c>
      <c r="J243" s="2">
        <v>25</v>
      </c>
      <c r="K243" t="str">
        <f t="shared" si="19"/>
        <v>Low</v>
      </c>
      <c r="L243" s="12">
        <f t="shared" si="20"/>
        <v>2023</v>
      </c>
      <c r="M243" s="12">
        <f t="shared" si="21"/>
        <v>2</v>
      </c>
      <c r="N243" s="5" t="str">
        <f t="shared" si="22"/>
        <v>Tuesday</v>
      </c>
      <c r="O243" s="5" t="str">
        <f t="shared" si="23"/>
        <v>May</v>
      </c>
    </row>
    <row r="244" spans="1:15" x14ac:dyDescent="0.3">
      <c r="A244" s="8">
        <v>243</v>
      </c>
      <c r="B244" s="25">
        <v>45069</v>
      </c>
      <c r="C244" s="5" t="s">
        <v>251</v>
      </c>
      <c r="D244" s="5" t="s">
        <v>8</v>
      </c>
      <c r="E244" s="12">
        <v>47</v>
      </c>
      <c r="F244" s="2" t="str">
        <f t="shared" si="18"/>
        <v>Adult</v>
      </c>
      <c r="G244" s="5" t="s">
        <v>11</v>
      </c>
      <c r="H244" s="8">
        <v>3</v>
      </c>
      <c r="I244" s="2">
        <v>300</v>
      </c>
      <c r="J244" s="2">
        <v>900</v>
      </c>
      <c r="K244" t="str">
        <f t="shared" si="19"/>
        <v>Medium</v>
      </c>
      <c r="L244" s="12">
        <f t="shared" si="20"/>
        <v>2023</v>
      </c>
      <c r="M244" s="12">
        <f t="shared" si="21"/>
        <v>2</v>
      </c>
      <c r="N244" s="5" t="str">
        <f t="shared" si="22"/>
        <v>Tuesday</v>
      </c>
      <c r="O244" s="5" t="str">
        <f t="shared" si="23"/>
        <v>May</v>
      </c>
    </row>
    <row r="245" spans="1:15" x14ac:dyDescent="0.3">
      <c r="A245" s="8">
        <v>244</v>
      </c>
      <c r="B245" s="25">
        <v>45269</v>
      </c>
      <c r="C245" s="5" t="s">
        <v>252</v>
      </c>
      <c r="D245" s="5" t="s">
        <v>5</v>
      </c>
      <c r="E245" s="12">
        <v>28</v>
      </c>
      <c r="F245" s="2" t="str">
        <f t="shared" si="18"/>
        <v>Young</v>
      </c>
      <c r="G245" s="5" t="s">
        <v>6</v>
      </c>
      <c r="H245" s="8">
        <v>2</v>
      </c>
      <c r="I245" s="2">
        <v>50</v>
      </c>
      <c r="J245" s="2">
        <v>100</v>
      </c>
      <c r="K245" t="str">
        <f t="shared" si="19"/>
        <v>Low</v>
      </c>
      <c r="L245" s="12">
        <f t="shared" si="20"/>
        <v>2023</v>
      </c>
      <c r="M245" s="12">
        <f t="shared" si="21"/>
        <v>4</v>
      </c>
      <c r="N245" s="5" t="str">
        <f t="shared" si="22"/>
        <v>Saturday</v>
      </c>
      <c r="O245" s="5" t="str">
        <f t="shared" si="23"/>
        <v>December</v>
      </c>
    </row>
    <row r="246" spans="1:15" x14ac:dyDescent="0.3">
      <c r="A246" s="8">
        <v>245</v>
      </c>
      <c r="B246" s="25">
        <v>45175</v>
      </c>
      <c r="C246" s="5" t="s">
        <v>253</v>
      </c>
      <c r="D246" s="5" t="s">
        <v>5</v>
      </c>
      <c r="E246" s="12">
        <v>47</v>
      </c>
      <c r="F246" s="2" t="str">
        <f t="shared" si="18"/>
        <v>Adult</v>
      </c>
      <c r="G246" s="5" t="s">
        <v>9</v>
      </c>
      <c r="H246" s="8">
        <v>3</v>
      </c>
      <c r="I246" s="2">
        <v>30</v>
      </c>
      <c r="J246" s="2">
        <v>90</v>
      </c>
      <c r="K246" t="str">
        <f t="shared" si="19"/>
        <v>Low</v>
      </c>
      <c r="L246" s="12">
        <f t="shared" si="20"/>
        <v>2023</v>
      </c>
      <c r="M246" s="12">
        <f t="shared" si="21"/>
        <v>3</v>
      </c>
      <c r="N246" s="5" t="str">
        <f t="shared" si="22"/>
        <v>Wednesday</v>
      </c>
      <c r="O246" s="5" t="str">
        <f t="shared" si="23"/>
        <v>September</v>
      </c>
    </row>
    <row r="247" spans="1:15" x14ac:dyDescent="0.3">
      <c r="A247" s="8">
        <v>246</v>
      </c>
      <c r="B247" s="25">
        <v>45036</v>
      </c>
      <c r="C247" s="5" t="s">
        <v>254</v>
      </c>
      <c r="D247" s="5" t="s">
        <v>8</v>
      </c>
      <c r="E247" s="12">
        <v>48</v>
      </c>
      <c r="F247" s="2" t="str">
        <f t="shared" si="18"/>
        <v>Adult</v>
      </c>
      <c r="G247" s="5" t="s">
        <v>11</v>
      </c>
      <c r="H247" s="8">
        <v>2</v>
      </c>
      <c r="I247" s="2">
        <v>25</v>
      </c>
      <c r="J247" s="2">
        <v>50</v>
      </c>
      <c r="K247" t="str">
        <f t="shared" si="19"/>
        <v>Low</v>
      </c>
      <c r="L247" s="12">
        <f t="shared" si="20"/>
        <v>2023</v>
      </c>
      <c r="M247" s="12">
        <f t="shared" si="21"/>
        <v>2</v>
      </c>
      <c r="N247" s="5" t="str">
        <f t="shared" si="22"/>
        <v>Thursday</v>
      </c>
      <c r="O247" s="5" t="str">
        <f t="shared" si="23"/>
        <v>April</v>
      </c>
    </row>
    <row r="248" spans="1:15" x14ac:dyDescent="0.3">
      <c r="A248" s="8">
        <v>247</v>
      </c>
      <c r="B248" s="25">
        <v>45203</v>
      </c>
      <c r="C248" s="5" t="s">
        <v>255</v>
      </c>
      <c r="D248" s="5" t="s">
        <v>5</v>
      </c>
      <c r="E248" s="12">
        <v>41</v>
      </c>
      <c r="F248" s="2" t="str">
        <f t="shared" si="18"/>
        <v>Adult</v>
      </c>
      <c r="G248" s="5" t="s">
        <v>11</v>
      </c>
      <c r="H248" s="8">
        <v>2</v>
      </c>
      <c r="I248" s="2">
        <v>30</v>
      </c>
      <c r="J248" s="2">
        <v>60</v>
      </c>
      <c r="K248" t="str">
        <f t="shared" si="19"/>
        <v>Low</v>
      </c>
      <c r="L248" s="12">
        <f t="shared" si="20"/>
        <v>2023</v>
      </c>
      <c r="M248" s="12">
        <f t="shared" si="21"/>
        <v>4</v>
      </c>
      <c r="N248" s="5" t="str">
        <f t="shared" si="22"/>
        <v>Wednesday</v>
      </c>
      <c r="O248" s="5" t="str">
        <f t="shared" si="23"/>
        <v>October</v>
      </c>
    </row>
    <row r="249" spans="1:15" x14ac:dyDescent="0.3">
      <c r="A249" s="8">
        <v>248</v>
      </c>
      <c r="B249" s="25">
        <v>44994</v>
      </c>
      <c r="C249" s="5" t="s">
        <v>256</v>
      </c>
      <c r="D249" s="5" t="s">
        <v>5</v>
      </c>
      <c r="E249" s="12">
        <v>26</v>
      </c>
      <c r="F249" s="2" t="str">
        <f t="shared" si="18"/>
        <v>Young</v>
      </c>
      <c r="G249" s="5" t="s">
        <v>9</v>
      </c>
      <c r="H249" s="8">
        <v>3</v>
      </c>
      <c r="I249" s="2">
        <v>300</v>
      </c>
      <c r="J249" s="2">
        <v>900</v>
      </c>
      <c r="K249" t="str">
        <f t="shared" si="19"/>
        <v>Medium</v>
      </c>
      <c r="L249" s="12">
        <f t="shared" si="20"/>
        <v>2023</v>
      </c>
      <c r="M249" s="12">
        <f t="shared" si="21"/>
        <v>1</v>
      </c>
      <c r="N249" s="5" t="str">
        <f t="shared" si="22"/>
        <v>Thursday</v>
      </c>
      <c r="O249" s="5" t="str">
        <f t="shared" si="23"/>
        <v>March</v>
      </c>
    </row>
    <row r="250" spans="1:15" x14ac:dyDescent="0.3">
      <c r="A250" s="8">
        <v>249</v>
      </c>
      <c r="B250" s="25">
        <v>45219</v>
      </c>
      <c r="C250" s="5" t="s">
        <v>257</v>
      </c>
      <c r="D250" s="5" t="s">
        <v>5</v>
      </c>
      <c r="E250" s="12">
        <v>20</v>
      </c>
      <c r="F250" s="2" t="str">
        <f t="shared" si="18"/>
        <v>Young</v>
      </c>
      <c r="G250" s="5" t="s">
        <v>9</v>
      </c>
      <c r="H250" s="8">
        <v>1</v>
      </c>
      <c r="I250" s="2">
        <v>50</v>
      </c>
      <c r="J250" s="2">
        <v>50</v>
      </c>
      <c r="K250" t="str">
        <f t="shared" si="19"/>
        <v>Low</v>
      </c>
      <c r="L250" s="12">
        <f t="shared" si="20"/>
        <v>2023</v>
      </c>
      <c r="M250" s="12">
        <f t="shared" si="21"/>
        <v>4</v>
      </c>
      <c r="N250" s="5" t="str">
        <f t="shared" si="22"/>
        <v>Friday</v>
      </c>
      <c r="O250" s="5" t="str">
        <f t="shared" si="23"/>
        <v>October</v>
      </c>
    </row>
    <row r="251" spans="1:15" x14ac:dyDescent="0.3">
      <c r="A251" s="8">
        <v>250</v>
      </c>
      <c r="B251" s="25">
        <v>45222</v>
      </c>
      <c r="C251" s="5" t="s">
        <v>258</v>
      </c>
      <c r="D251" s="5" t="s">
        <v>5</v>
      </c>
      <c r="E251" s="12">
        <v>48</v>
      </c>
      <c r="F251" s="2" t="str">
        <f t="shared" si="18"/>
        <v>Adult</v>
      </c>
      <c r="G251" s="5" t="s">
        <v>11</v>
      </c>
      <c r="H251" s="8">
        <v>1</v>
      </c>
      <c r="I251" s="2">
        <v>50</v>
      </c>
      <c r="J251" s="2">
        <v>50</v>
      </c>
      <c r="K251" t="str">
        <f t="shared" si="19"/>
        <v>Low</v>
      </c>
      <c r="L251" s="12">
        <f t="shared" si="20"/>
        <v>2023</v>
      </c>
      <c r="M251" s="12">
        <f t="shared" si="21"/>
        <v>4</v>
      </c>
      <c r="N251" s="5" t="str">
        <f t="shared" si="22"/>
        <v>Monday</v>
      </c>
      <c r="O251" s="5" t="str">
        <f t="shared" si="23"/>
        <v>October</v>
      </c>
    </row>
    <row r="252" spans="1:15" x14ac:dyDescent="0.3">
      <c r="A252" s="8">
        <v>251</v>
      </c>
      <c r="B252" s="25">
        <v>45169</v>
      </c>
      <c r="C252" s="5" t="s">
        <v>259</v>
      </c>
      <c r="D252" s="5" t="s">
        <v>8</v>
      </c>
      <c r="E252" s="12">
        <v>57</v>
      </c>
      <c r="F252" s="2" t="str">
        <f t="shared" si="18"/>
        <v>Adult</v>
      </c>
      <c r="G252" s="5" t="s">
        <v>6</v>
      </c>
      <c r="H252" s="8">
        <v>4</v>
      </c>
      <c r="I252" s="2">
        <v>50</v>
      </c>
      <c r="J252" s="2">
        <v>200</v>
      </c>
      <c r="K252" t="str">
        <f t="shared" si="19"/>
        <v>Low</v>
      </c>
      <c r="L252" s="12">
        <f t="shared" si="20"/>
        <v>2023</v>
      </c>
      <c r="M252" s="12">
        <f t="shared" si="21"/>
        <v>3</v>
      </c>
      <c r="N252" s="5" t="str">
        <f t="shared" si="22"/>
        <v>Thursday</v>
      </c>
      <c r="O252" s="5" t="str">
        <f t="shared" si="23"/>
        <v>August</v>
      </c>
    </row>
    <row r="253" spans="1:15" x14ac:dyDescent="0.3">
      <c r="A253" s="8">
        <v>252</v>
      </c>
      <c r="B253" s="25">
        <v>45051</v>
      </c>
      <c r="C253" s="5" t="s">
        <v>260</v>
      </c>
      <c r="D253" s="5" t="s">
        <v>5</v>
      </c>
      <c r="E253" s="12">
        <v>54</v>
      </c>
      <c r="F253" s="2" t="str">
        <f t="shared" si="18"/>
        <v>Adult</v>
      </c>
      <c r="G253" s="5" t="s">
        <v>11</v>
      </c>
      <c r="H253" s="8">
        <v>1</v>
      </c>
      <c r="I253" s="2">
        <v>300</v>
      </c>
      <c r="J253" s="2">
        <v>300</v>
      </c>
      <c r="K253" t="str">
        <f t="shared" si="19"/>
        <v>Low</v>
      </c>
      <c r="L253" s="12">
        <f t="shared" si="20"/>
        <v>2023</v>
      </c>
      <c r="M253" s="12">
        <f t="shared" si="21"/>
        <v>2</v>
      </c>
      <c r="N253" s="5" t="str">
        <f t="shared" si="22"/>
        <v>Friday</v>
      </c>
      <c r="O253" s="5" t="str">
        <f t="shared" si="23"/>
        <v>May</v>
      </c>
    </row>
    <row r="254" spans="1:15" x14ac:dyDescent="0.3">
      <c r="A254" s="8">
        <v>253</v>
      </c>
      <c r="B254" s="25">
        <v>45169</v>
      </c>
      <c r="C254" s="5" t="s">
        <v>261</v>
      </c>
      <c r="D254" s="5" t="s">
        <v>8</v>
      </c>
      <c r="E254" s="12">
        <v>53</v>
      </c>
      <c r="F254" s="2" t="str">
        <f t="shared" si="18"/>
        <v>Adult</v>
      </c>
      <c r="G254" s="5" t="s">
        <v>9</v>
      </c>
      <c r="H254" s="8">
        <v>4</v>
      </c>
      <c r="I254" s="2">
        <v>500</v>
      </c>
      <c r="J254" s="2">
        <v>2000</v>
      </c>
      <c r="K254" t="str">
        <f t="shared" si="19"/>
        <v>High</v>
      </c>
      <c r="L254" s="12">
        <f t="shared" si="20"/>
        <v>2023</v>
      </c>
      <c r="M254" s="12">
        <f t="shared" si="21"/>
        <v>3</v>
      </c>
      <c r="N254" s="5" t="str">
        <f t="shared" si="22"/>
        <v>Thursday</v>
      </c>
      <c r="O254" s="5" t="str">
        <f t="shared" si="23"/>
        <v>August</v>
      </c>
    </row>
    <row r="255" spans="1:15" x14ac:dyDescent="0.3">
      <c r="A255" s="8">
        <v>254</v>
      </c>
      <c r="B255" s="25">
        <v>45135</v>
      </c>
      <c r="C255" s="5" t="s">
        <v>262</v>
      </c>
      <c r="D255" s="5" t="s">
        <v>5</v>
      </c>
      <c r="E255" s="12">
        <v>41</v>
      </c>
      <c r="F255" s="2" t="str">
        <f t="shared" si="18"/>
        <v>Adult</v>
      </c>
      <c r="G255" s="5" t="s">
        <v>11</v>
      </c>
      <c r="H255" s="8">
        <v>1</v>
      </c>
      <c r="I255" s="2">
        <v>500</v>
      </c>
      <c r="J255" s="2">
        <v>500</v>
      </c>
      <c r="K255" t="str">
        <f t="shared" si="19"/>
        <v>Low</v>
      </c>
      <c r="L255" s="12">
        <f t="shared" si="20"/>
        <v>2023</v>
      </c>
      <c r="M255" s="12">
        <f t="shared" si="21"/>
        <v>3</v>
      </c>
      <c r="N255" s="5" t="str">
        <f t="shared" si="22"/>
        <v>Friday</v>
      </c>
      <c r="O255" s="5" t="str">
        <f t="shared" si="23"/>
        <v>July</v>
      </c>
    </row>
    <row r="256" spans="1:15" x14ac:dyDescent="0.3">
      <c r="A256" s="8">
        <v>255</v>
      </c>
      <c r="B256" s="25">
        <v>45024</v>
      </c>
      <c r="C256" s="5" t="s">
        <v>263</v>
      </c>
      <c r="D256" s="5" t="s">
        <v>5</v>
      </c>
      <c r="E256" s="12">
        <v>48</v>
      </c>
      <c r="F256" s="2" t="str">
        <f t="shared" si="18"/>
        <v>Adult</v>
      </c>
      <c r="G256" s="5" t="s">
        <v>9</v>
      </c>
      <c r="H256" s="8">
        <v>1</v>
      </c>
      <c r="I256" s="2">
        <v>30</v>
      </c>
      <c r="J256" s="2">
        <v>30</v>
      </c>
      <c r="K256" t="str">
        <f t="shared" si="19"/>
        <v>Low</v>
      </c>
      <c r="L256" s="12">
        <f t="shared" si="20"/>
        <v>2023</v>
      </c>
      <c r="M256" s="12">
        <f t="shared" si="21"/>
        <v>2</v>
      </c>
      <c r="N256" s="5" t="str">
        <f t="shared" si="22"/>
        <v>Saturday</v>
      </c>
      <c r="O256" s="5" t="str">
        <f t="shared" si="23"/>
        <v>April</v>
      </c>
    </row>
    <row r="257" spans="1:15" x14ac:dyDescent="0.3">
      <c r="A257" s="8">
        <v>256</v>
      </c>
      <c r="B257" s="25">
        <v>44975</v>
      </c>
      <c r="C257" s="5" t="s">
        <v>264</v>
      </c>
      <c r="D257" s="5" t="s">
        <v>5</v>
      </c>
      <c r="E257" s="12">
        <v>23</v>
      </c>
      <c r="F257" s="2" t="str">
        <f t="shared" si="18"/>
        <v>Young</v>
      </c>
      <c r="G257" s="5" t="s">
        <v>9</v>
      </c>
      <c r="H257" s="8">
        <v>2</v>
      </c>
      <c r="I257" s="2">
        <v>500</v>
      </c>
      <c r="J257" s="2">
        <v>1000</v>
      </c>
      <c r="K257" t="str">
        <f t="shared" si="19"/>
        <v>Medium</v>
      </c>
      <c r="L257" s="12">
        <f t="shared" si="20"/>
        <v>2023</v>
      </c>
      <c r="M257" s="12">
        <f t="shared" si="21"/>
        <v>1</v>
      </c>
      <c r="N257" s="5" t="str">
        <f t="shared" si="22"/>
        <v>Saturday</v>
      </c>
      <c r="O257" s="5" t="str">
        <f t="shared" si="23"/>
        <v>February</v>
      </c>
    </row>
    <row r="258" spans="1:15" x14ac:dyDescent="0.3">
      <c r="A258" s="8">
        <v>257</v>
      </c>
      <c r="B258" s="25">
        <v>44976</v>
      </c>
      <c r="C258" s="5" t="s">
        <v>265</v>
      </c>
      <c r="D258" s="5" t="s">
        <v>5</v>
      </c>
      <c r="E258" s="12">
        <v>19</v>
      </c>
      <c r="F258" s="2" t="str">
        <f t="shared" si="18"/>
        <v>Young</v>
      </c>
      <c r="G258" s="5" t="s">
        <v>6</v>
      </c>
      <c r="H258" s="8">
        <v>4</v>
      </c>
      <c r="I258" s="2">
        <v>500</v>
      </c>
      <c r="J258" s="2">
        <v>2000</v>
      </c>
      <c r="K258" t="str">
        <f t="shared" si="19"/>
        <v>High</v>
      </c>
      <c r="L258" s="12">
        <f t="shared" si="20"/>
        <v>2023</v>
      </c>
      <c r="M258" s="12">
        <f t="shared" si="21"/>
        <v>1</v>
      </c>
      <c r="N258" s="5" t="str">
        <f t="shared" si="22"/>
        <v>Sunday</v>
      </c>
      <c r="O258" s="5" t="str">
        <f t="shared" si="23"/>
        <v>February</v>
      </c>
    </row>
    <row r="259" spans="1:15" x14ac:dyDescent="0.3">
      <c r="A259" s="8">
        <v>258</v>
      </c>
      <c r="B259" s="25">
        <v>45264</v>
      </c>
      <c r="C259" s="5" t="s">
        <v>266</v>
      </c>
      <c r="D259" s="5" t="s">
        <v>8</v>
      </c>
      <c r="E259" s="12">
        <v>37</v>
      </c>
      <c r="F259" s="2" t="str">
        <f t="shared" ref="F259:F322" si="24">IF(E259&gt;60,"Senior",IF(E259&gt;30,"Adult","Young"))</f>
        <v>Adult</v>
      </c>
      <c r="G259" s="5" t="s">
        <v>9</v>
      </c>
      <c r="H259" s="8">
        <v>1</v>
      </c>
      <c r="I259" s="2">
        <v>50</v>
      </c>
      <c r="J259" s="2">
        <v>50</v>
      </c>
      <c r="K259" t="str">
        <f t="shared" ref="K259:K322" si="25">IF(J259&gt;1500,"High",IF(J259&gt;500,"Medium","Low"))</f>
        <v>Low</v>
      </c>
      <c r="L259" s="12">
        <f t="shared" ref="L259:L322" si="26">YEAR(B259)</f>
        <v>2023</v>
      </c>
      <c r="M259" s="12">
        <f t="shared" ref="M259:M322" si="27">ROUNDUP(MONTH(B259)/3,0)</f>
        <v>4</v>
      </c>
      <c r="N259" s="5" t="str">
        <f t="shared" ref="N259:N322" si="28">TEXT(B259,"dddd")</f>
        <v>Monday</v>
      </c>
      <c r="O259" s="5" t="str">
        <f t="shared" ref="O259:O322" si="29">TEXT(B259,"mmmm")</f>
        <v>December</v>
      </c>
    </row>
    <row r="260" spans="1:15" x14ac:dyDescent="0.3">
      <c r="A260" s="8">
        <v>259</v>
      </c>
      <c r="B260" s="25">
        <v>45147</v>
      </c>
      <c r="C260" s="5" t="s">
        <v>267</v>
      </c>
      <c r="D260" s="5" t="s">
        <v>8</v>
      </c>
      <c r="E260" s="12">
        <v>45</v>
      </c>
      <c r="F260" s="2" t="str">
        <f t="shared" si="24"/>
        <v>Adult</v>
      </c>
      <c r="G260" s="5" t="s">
        <v>9</v>
      </c>
      <c r="H260" s="8">
        <v>4</v>
      </c>
      <c r="I260" s="2">
        <v>50</v>
      </c>
      <c r="J260" s="2">
        <v>200</v>
      </c>
      <c r="K260" t="str">
        <f t="shared" si="25"/>
        <v>Low</v>
      </c>
      <c r="L260" s="12">
        <f t="shared" si="26"/>
        <v>2023</v>
      </c>
      <c r="M260" s="12">
        <f t="shared" si="27"/>
        <v>3</v>
      </c>
      <c r="N260" s="5" t="str">
        <f t="shared" si="28"/>
        <v>Wednesday</v>
      </c>
      <c r="O260" s="5" t="str">
        <f t="shared" si="29"/>
        <v>August</v>
      </c>
    </row>
    <row r="261" spans="1:15" x14ac:dyDescent="0.3">
      <c r="A261" s="8">
        <v>260</v>
      </c>
      <c r="B261" s="25">
        <v>45108</v>
      </c>
      <c r="C261" s="5" t="s">
        <v>268</v>
      </c>
      <c r="D261" s="5" t="s">
        <v>5</v>
      </c>
      <c r="E261" s="12">
        <v>28</v>
      </c>
      <c r="F261" s="2" t="str">
        <f t="shared" si="24"/>
        <v>Young</v>
      </c>
      <c r="G261" s="5" t="s">
        <v>6</v>
      </c>
      <c r="H261" s="8">
        <v>2</v>
      </c>
      <c r="I261" s="2">
        <v>30</v>
      </c>
      <c r="J261" s="2">
        <v>60</v>
      </c>
      <c r="K261" t="str">
        <f t="shared" si="25"/>
        <v>Low</v>
      </c>
      <c r="L261" s="12">
        <f t="shared" si="26"/>
        <v>2023</v>
      </c>
      <c r="M261" s="12">
        <f t="shared" si="27"/>
        <v>3</v>
      </c>
      <c r="N261" s="5" t="str">
        <f t="shared" si="28"/>
        <v>Saturday</v>
      </c>
      <c r="O261" s="5" t="str">
        <f t="shared" si="29"/>
        <v>July</v>
      </c>
    </row>
    <row r="262" spans="1:15" x14ac:dyDescent="0.3">
      <c r="A262" s="8">
        <v>261</v>
      </c>
      <c r="B262" s="25">
        <v>45143</v>
      </c>
      <c r="C262" s="5" t="s">
        <v>269</v>
      </c>
      <c r="D262" s="5" t="s">
        <v>5</v>
      </c>
      <c r="E262" s="12">
        <v>21</v>
      </c>
      <c r="F262" s="2" t="str">
        <f t="shared" si="24"/>
        <v>Young</v>
      </c>
      <c r="G262" s="5" t="s">
        <v>9</v>
      </c>
      <c r="H262" s="8">
        <v>2</v>
      </c>
      <c r="I262" s="2">
        <v>25</v>
      </c>
      <c r="J262" s="2">
        <v>50</v>
      </c>
      <c r="K262" t="str">
        <f t="shared" si="25"/>
        <v>Low</v>
      </c>
      <c r="L262" s="12">
        <f t="shared" si="26"/>
        <v>2023</v>
      </c>
      <c r="M262" s="12">
        <f t="shared" si="27"/>
        <v>3</v>
      </c>
      <c r="N262" s="5" t="str">
        <f t="shared" si="28"/>
        <v>Saturday</v>
      </c>
      <c r="O262" s="5" t="str">
        <f t="shared" si="29"/>
        <v>August</v>
      </c>
    </row>
    <row r="263" spans="1:15" x14ac:dyDescent="0.3">
      <c r="A263" s="8">
        <v>262</v>
      </c>
      <c r="B263" s="25">
        <v>45137</v>
      </c>
      <c r="C263" s="5" t="s">
        <v>270</v>
      </c>
      <c r="D263" s="5" t="s">
        <v>8</v>
      </c>
      <c r="E263" s="12">
        <v>32</v>
      </c>
      <c r="F263" s="2" t="str">
        <f t="shared" si="24"/>
        <v>Adult</v>
      </c>
      <c r="G263" s="5" t="s">
        <v>6</v>
      </c>
      <c r="H263" s="8">
        <v>4</v>
      </c>
      <c r="I263" s="2">
        <v>30</v>
      </c>
      <c r="J263" s="2">
        <v>120</v>
      </c>
      <c r="K263" t="str">
        <f t="shared" si="25"/>
        <v>Low</v>
      </c>
      <c r="L263" s="12">
        <f t="shared" si="26"/>
        <v>2023</v>
      </c>
      <c r="M263" s="12">
        <f t="shared" si="27"/>
        <v>3</v>
      </c>
      <c r="N263" s="5" t="str">
        <f t="shared" si="28"/>
        <v>Sunday</v>
      </c>
      <c r="O263" s="5" t="str">
        <f t="shared" si="29"/>
        <v>July</v>
      </c>
    </row>
    <row r="264" spans="1:15" x14ac:dyDescent="0.3">
      <c r="A264" s="8">
        <v>263</v>
      </c>
      <c r="B264" s="25">
        <v>45166</v>
      </c>
      <c r="C264" s="5" t="s">
        <v>271</v>
      </c>
      <c r="D264" s="5" t="s">
        <v>5</v>
      </c>
      <c r="E264" s="12">
        <v>23</v>
      </c>
      <c r="F264" s="2" t="str">
        <f t="shared" si="24"/>
        <v>Young</v>
      </c>
      <c r="G264" s="5" t="s">
        <v>6</v>
      </c>
      <c r="H264" s="8">
        <v>2</v>
      </c>
      <c r="I264" s="2">
        <v>30</v>
      </c>
      <c r="J264" s="2">
        <v>60</v>
      </c>
      <c r="K264" t="str">
        <f t="shared" si="25"/>
        <v>Low</v>
      </c>
      <c r="L264" s="12">
        <f t="shared" si="26"/>
        <v>2023</v>
      </c>
      <c r="M264" s="12">
        <f t="shared" si="27"/>
        <v>3</v>
      </c>
      <c r="N264" s="5" t="str">
        <f t="shared" si="28"/>
        <v>Monday</v>
      </c>
      <c r="O264" s="5" t="str">
        <f t="shared" si="29"/>
        <v>August</v>
      </c>
    </row>
    <row r="265" spans="1:15" x14ac:dyDescent="0.3">
      <c r="A265" s="8">
        <v>264</v>
      </c>
      <c r="B265" s="25">
        <v>44954</v>
      </c>
      <c r="C265" s="5" t="s">
        <v>272</v>
      </c>
      <c r="D265" s="5" t="s">
        <v>5</v>
      </c>
      <c r="E265" s="12">
        <v>47</v>
      </c>
      <c r="F265" s="2" t="str">
        <f t="shared" si="24"/>
        <v>Adult</v>
      </c>
      <c r="G265" s="5" t="s">
        <v>9</v>
      </c>
      <c r="H265" s="8">
        <v>3</v>
      </c>
      <c r="I265" s="2">
        <v>300</v>
      </c>
      <c r="J265" s="2">
        <v>900</v>
      </c>
      <c r="K265" t="str">
        <f t="shared" si="25"/>
        <v>Medium</v>
      </c>
      <c r="L265" s="12">
        <f t="shared" si="26"/>
        <v>2023</v>
      </c>
      <c r="M265" s="12">
        <f t="shared" si="27"/>
        <v>1</v>
      </c>
      <c r="N265" s="5" t="str">
        <f t="shared" si="28"/>
        <v>Saturday</v>
      </c>
      <c r="O265" s="5" t="str">
        <f t="shared" si="29"/>
        <v>January</v>
      </c>
    </row>
    <row r="266" spans="1:15" x14ac:dyDescent="0.3">
      <c r="A266" s="8">
        <v>265</v>
      </c>
      <c r="B266" s="25">
        <v>45271</v>
      </c>
      <c r="C266" s="5" t="s">
        <v>273</v>
      </c>
      <c r="D266" s="5" t="s">
        <v>5</v>
      </c>
      <c r="E266" s="12">
        <v>55</v>
      </c>
      <c r="F266" s="2" t="str">
        <f t="shared" si="24"/>
        <v>Adult</v>
      </c>
      <c r="G266" s="5" t="s">
        <v>9</v>
      </c>
      <c r="H266" s="8">
        <v>3</v>
      </c>
      <c r="I266" s="2">
        <v>300</v>
      </c>
      <c r="J266" s="2">
        <v>900</v>
      </c>
      <c r="K266" t="str">
        <f t="shared" si="25"/>
        <v>Medium</v>
      </c>
      <c r="L266" s="12">
        <f t="shared" si="26"/>
        <v>2023</v>
      </c>
      <c r="M266" s="12">
        <f t="shared" si="27"/>
        <v>4</v>
      </c>
      <c r="N266" s="5" t="str">
        <f t="shared" si="28"/>
        <v>Monday</v>
      </c>
      <c r="O266" s="5" t="str">
        <f t="shared" si="29"/>
        <v>December</v>
      </c>
    </row>
    <row r="267" spans="1:15" x14ac:dyDescent="0.3">
      <c r="A267" s="8">
        <v>266</v>
      </c>
      <c r="B267" s="25">
        <v>45261</v>
      </c>
      <c r="C267" s="5" t="s">
        <v>274</v>
      </c>
      <c r="D267" s="5" t="s">
        <v>8</v>
      </c>
      <c r="E267" s="12">
        <v>19</v>
      </c>
      <c r="F267" s="2" t="str">
        <f t="shared" si="24"/>
        <v>Young</v>
      </c>
      <c r="G267" s="5" t="s">
        <v>11</v>
      </c>
      <c r="H267" s="8">
        <v>2</v>
      </c>
      <c r="I267" s="2">
        <v>30</v>
      </c>
      <c r="J267" s="2">
        <v>60</v>
      </c>
      <c r="K267" t="str">
        <f t="shared" si="25"/>
        <v>Low</v>
      </c>
      <c r="L267" s="12">
        <f t="shared" si="26"/>
        <v>2023</v>
      </c>
      <c r="M267" s="12">
        <f t="shared" si="27"/>
        <v>4</v>
      </c>
      <c r="N267" s="5" t="str">
        <f t="shared" si="28"/>
        <v>Friday</v>
      </c>
      <c r="O267" s="5" t="str">
        <f t="shared" si="29"/>
        <v>December</v>
      </c>
    </row>
    <row r="268" spans="1:15" x14ac:dyDescent="0.3">
      <c r="A268" s="8">
        <v>267</v>
      </c>
      <c r="B268" s="25">
        <v>45257</v>
      </c>
      <c r="C268" s="5" t="s">
        <v>275</v>
      </c>
      <c r="D268" s="5" t="s">
        <v>8</v>
      </c>
      <c r="E268" s="12">
        <v>32</v>
      </c>
      <c r="F268" s="2" t="str">
        <f t="shared" si="24"/>
        <v>Adult</v>
      </c>
      <c r="G268" s="5" t="s">
        <v>6</v>
      </c>
      <c r="H268" s="8">
        <v>3</v>
      </c>
      <c r="I268" s="2">
        <v>30</v>
      </c>
      <c r="J268" s="2">
        <v>90</v>
      </c>
      <c r="K268" t="str">
        <f t="shared" si="25"/>
        <v>Low</v>
      </c>
      <c r="L268" s="12">
        <f t="shared" si="26"/>
        <v>2023</v>
      </c>
      <c r="M268" s="12">
        <f t="shared" si="27"/>
        <v>4</v>
      </c>
      <c r="N268" s="5" t="str">
        <f t="shared" si="28"/>
        <v>Monday</v>
      </c>
      <c r="O268" s="5" t="str">
        <f t="shared" si="29"/>
        <v>November</v>
      </c>
    </row>
    <row r="269" spans="1:15" x14ac:dyDescent="0.3">
      <c r="A269" s="8">
        <v>268</v>
      </c>
      <c r="B269" s="25">
        <v>44977</v>
      </c>
      <c r="C269" s="5" t="s">
        <v>276</v>
      </c>
      <c r="D269" s="5" t="s">
        <v>8</v>
      </c>
      <c r="E269" s="12">
        <v>28</v>
      </c>
      <c r="F269" s="2" t="str">
        <f t="shared" si="24"/>
        <v>Young</v>
      </c>
      <c r="G269" s="5" t="s">
        <v>11</v>
      </c>
      <c r="H269" s="8">
        <v>1</v>
      </c>
      <c r="I269" s="2">
        <v>30</v>
      </c>
      <c r="J269" s="2">
        <v>30</v>
      </c>
      <c r="K269" t="str">
        <f t="shared" si="25"/>
        <v>Low</v>
      </c>
      <c r="L269" s="12">
        <f t="shared" si="26"/>
        <v>2023</v>
      </c>
      <c r="M269" s="12">
        <f t="shared" si="27"/>
        <v>1</v>
      </c>
      <c r="N269" s="5" t="str">
        <f t="shared" si="28"/>
        <v>Monday</v>
      </c>
      <c r="O269" s="5" t="str">
        <f t="shared" si="29"/>
        <v>February</v>
      </c>
    </row>
    <row r="270" spans="1:15" x14ac:dyDescent="0.3">
      <c r="A270" s="8">
        <v>269</v>
      </c>
      <c r="B270" s="25">
        <v>44958</v>
      </c>
      <c r="C270" s="5" t="s">
        <v>277</v>
      </c>
      <c r="D270" s="5" t="s">
        <v>5</v>
      </c>
      <c r="E270" s="12">
        <v>25</v>
      </c>
      <c r="F270" s="2" t="str">
        <f t="shared" si="24"/>
        <v>Young</v>
      </c>
      <c r="G270" s="5" t="s">
        <v>9</v>
      </c>
      <c r="H270" s="8">
        <v>4</v>
      </c>
      <c r="I270" s="2">
        <v>500</v>
      </c>
      <c r="J270" s="2">
        <v>2000</v>
      </c>
      <c r="K270" t="str">
        <f t="shared" si="25"/>
        <v>High</v>
      </c>
      <c r="L270" s="12">
        <f t="shared" si="26"/>
        <v>2023</v>
      </c>
      <c r="M270" s="12">
        <f t="shared" si="27"/>
        <v>1</v>
      </c>
      <c r="N270" s="5" t="str">
        <f t="shared" si="28"/>
        <v>Wednesday</v>
      </c>
      <c r="O270" s="5" t="str">
        <f t="shared" si="29"/>
        <v>February</v>
      </c>
    </row>
    <row r="271" spans="1:15" x14ac:dyDescent="0.3">
      <c r="A271" s="8">
        <v>270</v>
      </c>
      <c r="B271" s="25">
        <v>45133</v>
      </c>
      <c r="C271" s="5" t="s">
        <v>278</v>
      </c>
      <c r="D271" s="5" t="s">
        <v>5</v>
      </c>
      <c r="E271" s="12">
        <v>43</v>
      </c>
      <c r="F271" s="2" t="str">
        <f t="shared" si="24"/>
        <v>Adult</v>
      </c>
      <c r="G271" s="5" t="s">
        <v>11</v>
      </c>
      <c r="H271" s="8">
        <v>1</v>
      </c>
      <c r="I271" s="2">
        <v>300</v>
      </c>
      <c r="J271" s="2">
        <v>300</v>
      </c>
      <c r="K271" t="str">
        <f t="shared" si="25"/>
        <v>Low</v>
      </c>
      <c r="L271" s="12">
        <f t="shared" si="26"/>
        <v>2023</v>
      </c>
      <c r="M271" s="12">
        <f t="shared" si="27"/>
        <v>3</v>
      </c>
      <c r="N271" s="5" t="str">
        <f t="shared" si="28"/>
        <v>Wednesday</v>
      </c>
      <c r="O271" s="5" t="str">
        <f t="shared" si="29"/>
        <v>July</v>
      </c>
    </row>
    <row r="272" spans="1:15" x14ac:dyDescent="0.3">
      <c r="A272" s="8">
        <v>271</v>
      </c>
      <c r="B272" s="25">
        <v>45100</v>
      </c>
      <c r="C272" s="5" t="s">
        <v>279</v>
      </c>
      <c r="D272" s="5" t="s">
        <v>8</v>
      </c>
      <c r="E272" s="12">
        <v>62</v>
      </c>
      <c r="F272" s="2" t="str">
        <f t="shared" si="24"/>
        <v>Senior</v>
      </c>
      <c r="G272" s="5" t="s">
        <v>6</v>
      </c>
      <c r="H272" s="8">
        <v>4</v>
      </c>
      <c r="I272" s="2">
        <v>30</v>
      </c>
      <c r="J272" s="2">
        <v>120</v>
      </c>
      <c r="K272" t="str">
        <f t="shared" si="25"/>
        <v>Low</v>
      </c>
      <c r="L272" s="12">
        <f t="shared" si="26"/>
        <v>2023</v>
      </c>
      <c r="M272" s="12">
        <f t="shared" si="27"/>
        <v>2</v>
      </c>
      <c r="N272" s="5" t="str">
        <f t="shared" si="28"/>
        <v>Friday</v>
      </c>
      <c r="O272" s="5" t="str">
        <f t="shared" si="29"/>
        <v>June</v>
      </c>
    </row>
    <row r="273" spans="1:15" x14ac:dyDescent="0.3">
      <c r="A273" s="8">
        <v>272</v>
      </c>
      <c r="B273" s="25">
        <v>44982</v>
      </c>
      <c r="C273" s="5" t="s">
        <v>280</v>
      </c>
      <c r="D273" s="5" t="s">
        <v>8</v>
      </c>
      <c r="E273" s="12">
        <v>61</v>
      </c>
      <c r="F273" s="2" t="str">
        <f t="shared" si="24"/>
        <v>Senior</v>
      </c>
      <c r="G273" s="5" t="s">
        <v>11</v>
      </c>
      <c r="H273" s="8">
        <v>2</v>
      </c>
      <c r="I273" s="2">
        <v>50</v>
      </c>
      <c r="J273" s="2">
        <v>100</v>
      </c>
      <c r="K273" t="str">
        <f t="shared" si="25"/>
        <v>Low</v>
      </c>
      <c r="L273" s="12">
        <f t="shared" si="26"/>
        <v>2023</v>
      </c>
      <c r="M273" s="12">
        <f t="shared" si="27"/>
        <v>1</v>
      </c>
      <c r="N273" s="5" t="str">
        <f t="shared" si="28"/>
        <v>Saturday</v>
      </c>
      <c r="O273" s="5" t="str">
        <f t="shared" si="29"/>
        <v>February</v>
      </c>
    </row>
    <row r="274" spans="1:15" x14ac:dyDescent="0.3">
      <c r="A274" s="8">
        <v>273</v>
      </c>
      <c r="B274" s="25">
        <v>45054</v>
      </c>
      <c r="C274" s="5" t="s">
        <v>281</v>
      </c>
      <c r="D274" s="5" t="s">
        <v>8</v>
      </c>
      <c r="E274" s="12">
        <v>22</v>
      </c>
      <c r="F274" s="2" t="str">
        <f t="shared" si="24"/>
        <v>Young</v>
      </c>
      <c r="G274" s="5" t="s">
        <v>6</v>
      </c>
      <c r="H274" s="8">
        <v>1</v>
      </c>
      <c r="I274" s="2">
        <v>50</v>
      </c>
      <c r="J274" s="2">
        <v>50</v>
      </c>
      <c r="K274" t="str">
        <f t="shared" si="25"/>
        <v>Low</v>
      </c>
      <c r="L274" s="12">
        <f t="shared" si="26"/>
        <v>2023</v>
      </c>
      <c r="M274" s="12">
        <f t="shared" si="27"/>
        <v>2</v>
      </c>
      <c r="N274" s="5" t="str">
        <f t="shared" si="28"/>
        <v>Monday</v>
      </c>
      <c r="O274" s="5" t="str">
        <f t="shared" si="29"/>
        <v>May</v>
      </c>
    </row>
    <row r="275" spans="1:15" x14ac:dyDescent="0.3">
      <c r="A275" s="8">
        <v>274</v>
      </c>
      <c r="B275" s="25">
        <v>45025</v>
      </c>
      <c r="C275" s="5" t="s">
        <v>282</v>
      </c>
      <c r="D275" s="5" t="s">
        <v>8</v>
      </c>
      <c r="E275" s="12">
        <v>23</v>
      </c>
      <c r="F275" s="2" t="str">
        <f t="shared" si="24"/>
        <v>Young</v>
      </c>
      <c r="G275" s="5" t="s">
        <v>9</v>
      </c>
      <c r="H275" s="8">
        <v>2</v>
      </c>
      <c r="I275" s="2">
        <v>500</v>
      </c>
      <c r="J275" s="2">
        <v>1000</v>
      </c>
      <c r="K275" t="str">
        <f t="shared" si="25"/>
        <v>Medium</v>
      </c>
      <c r="L275" s="12">
        <f t="shared" si="26"/>
        <v>2023</v>
      </c>
      <c r="M275" s="12">
        <f t="shared" si="27"/>
        <v>2</v>
      </c>
      <c r="N275" s="5" t="str">
        <f t="shared" si="28"/>
        <v>Sunday</v>
      </c>
      <c r="O275" s="5" t="str">
        <f t="shared" si="29"/>
        <v>April</v>
      </c>
    </row>
    <row r="276" spans="1:15" x14ac:dyDescent="0.3">
      <c r="A276" s="8">
        <v>275</v>
      </c>
      <c r="B276" s="25">
        <v>45024</v>
      </c>
      <c r="C276" s="5" t="s">
        <v>283</v>
      </c>
      <c r="D276" s="5" t="s">
        <v>5</v>
      </c>
      <c r="E276" s="12">
        <v>43</v>
      </c>
      <c r="F276" s="2" t="str">
        <f t="shared" si="24"/>
        <v>Adult</v>
      </c>
      <c r="G276" s="5" t="s">
        <v>9</v>
      </c>
      <c r="H276" s="8">
        <v>2</v>
      </c>
      <c r="I276" s="2">
        <v>500</v>
      </c>
      <c r="J276" s="2">
        <v>1000</v>
      </c>
      <c r="K276" t="str">
        <f t="shared" si="25"/>
        <v>Medium</v>
      </c>
      <c r="L276" s="12">
        <f t="shared" si="26"/>
        <v>2023</v>
      </c>
      <c r="M276" s="12">
        <f t="shared" si="27"/>
        <v>2</v>
      </c>
      <c r="N276" s="5" t="str">
        <f t="shared" si="28"/>
        <v>Saturday</v>
      </c>
      <c r="O276" s="5" t="str">
        <f t="shared" si="29"/>
        <v>April</v>
      </c>
    </row>
    <row r="277" spans="1:15" x14ac:dyDescent="0.3">
      <c r="A277" s="8">
        <v>276</v>
      </c>
      <c r="B277" s="25">
        <v>45201</v>
      </c>
      <c r="C277" s="5" t="s">
        <v>284</v>
      </c>
      <c r="D277" s="5" t="s">
        <v>8</v>
      </c>
      <c r="E277" s="12">
        <v>21</v>
      </c>
      <c r="F277" s="2" t="str">
        <f t="shared" si="24"/>
        <v>Young</v>
      </c>
      <c r="G277" s="5" t="s">
        <v>6</v>
      </c>
      <c r="H277" s="8">
        <v>4</v>
      </c>
      <c r="I277" s="2">
        <v>25</v>
      </c>
      <c r="J277" s="2">
        <v>100</v>
      </c>
      <c r="K277" t="str">
        <f t="shared" si="25"/>
        <v>Low</v>
      </c>
      <c r="L277" s="12">
        <f t="shared" si="26"/>
        <v>2023</v>
      </c>
      <c r="M277" s="12">
        <f t="shared" si="27"/>
        <v>4</v>
      </c>
      <c r="N277" s="5" t="str">
        <f t="shared" si="28"/>
        <v>Monday</v>
      </c>
      <c r="O277" s="5" t="str">
        <f t="shared" si="29"/>
        <v>October</v>
      </c>
    </row>
    <row r="278" spans="1:15" x14ac:dyDescent="0.3">
      <c r="A278" s="8">
        <v>277</v>
      </c>
      <c r="B278" s="25">
        <v>45156</v>
      </c>
      <c r="C278" s="5" t="s">
        <v>285</v>
      </c>
      <c r="D278" s="5" t="s">
        <v>5</v>
      </c>
      <c r="E278" s="12">
        <v>36</v>
      </c>
      <c r="F278" s="2" t="str">
        <f t="shared" si="24"/>
        <v>Adult</v>
      </c>
      <c r="G278" s="5" t="s">
        <v>9</v>
      </c>
      <c r="H278" s="8">
        <v>4</v>
      </c>
      <c r="I278" s="2">
        <v>25</v>
      </c>
      <c r="J278" s="2">
        <v>100</v>
      </c>
      <c r="K278" t="str">
        <f t="shared" si="25"/>
        <v>Low</v>
      </c>
      <c r="L278" s="12">
        <f t="shared" si="26"/>
        <v>2023</v>
      </c>
      <c r="M278" s="12">
        <f t="shared" si="27"/>
        <v>3</v>
      </c>
      <c r="N278" s="5" t="str">
        <f t="shared" si="28"/>
        <v>Friday</v>
      </c>
      <c r="O278" s="5" t="str">
        <f t="shared" si="29"/>
        <v>August</v>
      </c>
    </row>
    <row r="279" spans="1:15" x14ac:dyDescent="0.3">
      <c r="A279" s="8">
        <v>278</v>
      </c>
      <c r="B279" s="25">
        <v>44998</v>
      </c>
      <c r="C279" s="5" t="s">
        <v>286</v>
      </c>
      <c r="D279" s="5" t="s">
        <v>8</v>
      </c>
      <c r="E279" s="12">
        <v>37</v>
      </c>
      <c r="F279" s="2" t="str">
        <f t="shared" si="24"/>
        <v>Adult</v>
      </c>
      <c r="G279" s="5" t="s">
        <v>9</v>
      </c>
      <c r="H279" s="8">
        <v>4</v>
      </c>
      <c r="I279" s="2">
        <v>25</v>
      </c>
      <c r="J279" s="2">
        <v>100</v>
      </c>
      <c r="K279" t="str">
        <f t="shared" si="25"/>
        <v>Low</v>
      </c>
      <c r="L279" s="12">
        <f t="shared" si="26"/>
        <v>2023</v>
      </c>
      <c r="M279" s="12">
        <f t="shared" si="27"/>
        <v>1</v>
      </c>
      <c r="N279" s="5" t="str">
        <f t="shared" si="28"/>
        <v>Monday</v>
      </c>
      <c r="O279" s="5" t="str">
        <f t="shared" si="29"/>
        <v>March</v>
      </c>
    </row>
    <row r="280" spans="1:15" x14ac:dyDescent="0.3">
      <c r="A280" s="8">
        <v>279</v>
      </c>
      <c r="B280" s="25">
        <v>45143</v>
      </c>
      <c r="C280" s="5" t="s">
        <v>287</v>
      </c>
      <c r="D280" s="5" t="s">
        <v>5</v>
      </c>
      <c r="E280" s="12">
        <v>50</v>
      </c>
      <c r="F280" s="2" t="str">
        <f t="shared" si="24"/>
        <v>Adult</v>
      </c>
      <c r="G280" s="5" t="s">
        <v>9</v>
      </c>
      <c r="H280" s="8">
        <v>1</v>
      </c>
      <c r="I280" s="2">
        <v>500</v>
      </c>
      <c r="J280" s="2">
        <v>500</v>
      </c>
      <c r="K280" t="str">
        <f t="shared" si="25"/>
        <v>Low</v>
      </c>
      <c r="L280" s="12">
        <f t="shared" si="26"/>
        <v>2023</v>
      </c>
      <c r="M280" s="12">
        <f t="shared" si="27"/>
        <v>3</v>
      </c>
      <c r="N280" s="5" t="str">
        <f t="shared" si="28"/>
        <v>Saturday</v>
      </c>
      <c r="O280" s="5" t="str">
        <f t="shared" si="29"/>
        <v>August</v>
      </c>
    </row>
    <row r="281" spans="1:15" x14ac:dyDescent="0.3">
      <c r="A281" s="8">
        <v>280</v>
      </c>
      <c r="B281" s="25">
        <v>45020</v>
      </c>
      <c r="C281" s="5" t="s">
        <v>288</v>
      </c>
      <c r="D281" s="5" t="s">
        <v>8</v>
      </c>
      <c r="E281" s="12">
        <v>37</v>
      </c>
      <c r="F281" s="2" t="str">
        <f t="shared" si="24"/>
        <v>Adult</v>
      </c>
      <c r="G281" s="5" t="s">
        <v>9</v>
      </c>
      <c r="H281" s="8">
        <v>3</v>
      </c>
      <c r="I281" s="2">
        <v>500</v>
      </c>
      <c r="J281" s="2">
        <v>1500</v>
      </c>
      <c r="K281" t="str">
        <f t="shared" si="25"/>
        <v>Medium</v>
      </c>
      <c r="L281" s="12">
        <f t="shared" si="26"/>
        <v>2023</v>
      </c>
      <c r="M281" s="12">
        <f t="shared" si="27"/>
        <v>2</v>
      </c>
      <c r="N281" s="5" t="str">
        <f t="shared" si="28"/>
        <v>Tuesday</v>
      </c>
      <c r="O281" s="5" t="str">
        <f t="shared" si="29"/>
        <v>April</v>
      </c>
    </row>
    <row r="282" spans="1:15" x14ac:dyDescent="0.3">
      <c r="A282" s="8">
        <v>281</v>
      </c>
      <c r="B282" s="25">
        <v>45069</v>
      </c>
      <c r="C282" s="5" t="s">
        <v>289</v>
      </c>
      <c r="D282" s="5" t="s">
        <v>8</v>
      </c>
      <c r="E282" s="12">
        <v>29</v>
      </c>
      <c r="F282" s="2" t="str">
        <f t="shared" si="24"/>
        <v>Young</v>
      </c>
      <c r="G282" s="5" t="s">
        <v>6</v>
      </c>
      <c r="H282" s="8">
        <v>4</v>
      </c>
      <c r="I282" s="2">
        <v>500</v>
      </c>
      <c r="J282" s="2">
        <v>2000</v>
      </c>
      <c r="K282" t="str">
        <f t="shared" si="25"/>
        <v>High</v>
      </c>
      <c r="L282" s="12">
        <f t="shared" si="26"/>
        <v>2023</v>
      </c>
      <c r="M282" s="12">
        <f t="shared" si="27"/>
        <v>2</v>
      </c>
      <c r="N282" s="5" t="str">
        <f t="shared" si="28"/>
        <v>Tuesday</v>
      </c>
      <c r="O282" s="5" t="str">
        <f t="shared" si="29"/>
        <v>May</v>
      </c>
    </row>
    <row r="283" spans="1:15" x14ac:dyDescent="0.3">
      <c r="A283" s="8">
        <v>282</v>
      </c>
      <c r="B283" s="25">
        <v>45163</v>
      </c>
      <c r="C283" s="5" t="s">
        <v>290</v>
      </c>
      <c r="D283" s="5" t="s">
        <v>8</v>
      </c>
      <c r="E283" s="12">
        <v>64</v>
      </c>
      <c r="F283" s="2" t="str">
        <f t="shared" si="24"/>
        <v>Senior</v>
      </c>
      <c r="G283" s="5" t="s">
        <v>11</v>
      </c>
      <c r="H283" s="8">
        <v>4</v>
      </c>
      <c r="I283" s="2">
        <v>50</v>
      </c>
      <c r="J283" s="2">
        <v>200</v>
      </c>
      <c r="K283" t="str">
        <f t="shared" si="25"/>
        <v>Low</v>
      </c>
      <c r="L283" s="12">
        <f t="shared" si="26"/>
        <v>2023</v>
      </c>
      <c r="M283" s="12">
        <f t="shared" si="27"/>
        <v>3</v>
      </c>
      <c r="N283" s="5" t="str">
        <f t="shared" si="28"/>
        <v>Friday</v>
      </c>
      <c r="O283" s="5" t="str">
        <f t="shared" si="29"/>
        <v>August</v>
      </c>
    </row>
    <row r="284" spans="1:15" x14ac:dyDescent="0.3">
      <c r="A284" s="8">
        <v>283</v>
      </c>
      <c r="B284" s="25">
        <v>45054</v>
      </c>
      <c r="C284" s="5" t="s">
        <v>291</v>
      </c>
      <c r="D284" s="5" t="s">
        <v>8</v>
      </c>
      <c r="E284" s="12">
        <v>18</v>
      </c>
      <c r="F284" s="2" t="str">
        <f t="shared" si="24"/>
        <v>Young</v>
      </c>
      <c r="G284" s="5" t="s">
        <v>11</v>
      </c>
      <c r="H284" s="8">
        <v>1</v>
      </c>
      <c r="I284" s="2">
        <v>500</v>
      </c>
      <c r="J284" s="2">
        <v>500</v>
      </c>
      <c r="K284" t="str">
        <f t="shared" si="25"/>
        <v>Low</v>
      </c>
      <c r="L284" s="12">
        <f t="shared" si="26"/>
        <v>2023</v>
      </c>
      <c r="M284" s="12">
        <f t="shared" si="27"/>
        <v>2</v>
      </c>
      <c r="N284" s="5" t="str">
        <f t="shared" si="28"/>
        <v>Monday</v>
      </c>
      <c r="O284" s="5" t="str">
        <f t="shared" si="29"/>
        <v>May</v>
      </c>
    </row>
    <row r="285" spans="1:15" x14ac:dyDescent="0.3">
      <c r="A285" s="8">
        <v>284</v>
      </c>
      <c r="B285" s="25">
        <v>44965</v>
      </c>
      <c r="C285" s="5" t="s">
        <v>292</v>
      </c>
      <c r="D285" s="5" t="s">
        <v>5</v>
      </c>
      <c r="E285" s="12">
        <v>43</v>
      </c>
      <c r="F285" s="2" t="str">
        <f t="shared" si="24"/>
        <v>Adult</v>
      </c>
      <c r="G285" s="5" t="s">
        <v>9</v>
      </c>
      <c r="H285" s="8">
        <v>4</v>
      </c>
      <c r="I285" s="2">
        <v>50</v>
      </c>
      <c r="J285" s="2">
        <v>200</v>
      </c>
      <c r="K285" t="str">
        <f t="shared" si="25"/>
        <v>Low</v>
      </c>
      <c r="L285" s="12">
        <f t="shared" si="26"/>
        <v>2023</v>
      </c>
      <c r="M285" s="12">
        <f t="shared" si="27"/>
        <v>1</v>
      </c>
      <c r="N285" s="5" t="str">
        <f t="shared" si="28"/>
        <v>Wednesday</v>
      </c>
      <c r="O285" s="5" t="str">
        <f t="shared" si="29"/>
        <v>February</v>
      </c>
    </row>
    <row r="286" spans="1:15" x14ac:dyDescent="0.3">
      <c r="A286" s="8">
        <v>285</v>
      </c>
      <c r="B286" s="25">
        <v>45153</v>
      </c>
      <c r="C286" s="5" t="s">
        <v>293</v>
      </c>
      <c r="D286" s="5" t="s">
        <v>8</v>
      </c>
      <c r="E286" s="12">
        <v>31</v>
      </c>
      <c r="F286" s="2" t="str">
        <f t="shared" si="24"/>
        <v>Adult</v>
      </c>
      <c r="G286" s="5" t="s">
        <v>11</v>
      </c>
      <c r="H286" s="8">
        <v>1</v>
      </c>
      <c r="I286" s="2">
        <v>25</v>
      </c>
      <c r="J286" s="2">
        <v>25</v>
      </c>
      <c r="K286" t="str">
        <f t="shared" si="25"/>
        <v>Low</v>
      </c>
      <c r="L286" s="12">
        <f t="shared" si="26"/>
        <v>2023</v>
      </c>
      <c r="M286" s="12">
        <f t="shared" si="27"/>
        <v>3</v>
      </c>
      <c r="N286" s="5" t="str">
        <f t="shared" si="28"/>
        <v>Tuesday</v>
      </c>
      <c r="O286" s="5" t="str">
        <f t="shared" si="29"/>
        <v>August</v>
      </c>
    </row>
    <row r="287" spans="1:15" x14ac:dyDescent="0.3">
      <c r="A287" s="8">
        <v>286</v>
      </c>
      <c r="B287" s="25">
        <v>45208</v>
      </c>
      <c r="C287" s="5" t="s">
        <v>294</v>
      </c>
      <c r="D287" s="5" t="s">
        <v>5</v>
      </c>
      <c r="E287" s="12">
        <v>55</v>
      </c>
      <c r="F287" s="2" t="str">
        <f t="shared" si="24"/>
        <v>Adult</v>
      </c>
      <c r="G287" s="5" t="s">
        <v>11</v>
      </c>
      <c r="H287" s="8">
        <v>2</v>
      </c>
      <c r="I287" s="2">
        <v>25</v>
      </c>
      <c r="J287" s="2">
        <v>50</v>
      </c>
      <c r="K287" t="str">
        <f t="shared" si="25"/>
        <v>Low</v>
      </c>
      <c r="L287" s="12">
        <f t="shared" si="26"/>
        <v>2023</v>
      </c>
      <c r="M287" s="12">
        <f t="shared" si="27"/>
        <v>4</v>
      </c>
      <c r="N287" s="5" t="str">
        <f t="shared" si="28"/>
        <v>Monday</v>
      </c>
      <c r="O287" s="5" t="str">
        <f t="shared" si="29"/>
        <v>October</v>
      </c>
    </row>
    <row r="288" spans="1:15" x14ac:dyDescent="0.3">
      <c r="A288" s="8">
        <v>287</v>
      </c>
      <c r="B288" s="25">
        <v>44977</v>
      </c>
      <c r="C288" s="5" t="s">
        <v>295</v>
      </c>
      <c r="D288" s="5" t="s">
        <v>5</v>
      </c>
      <c r="E288" s="12">
        <v>54</v>
      </c>
      <c r="F288" s="2" t="str">
        <f t="shared" si="24"/>
        <v>Adult</v>
      </c>
      <c r="G288" s="5" t="s">
        <v>9</v>
      </c>
      <c r="H288" s="8">
        <v>4</v>
      </c>
      <c r="I288" s="2">
        <v>25</v>
      </c>
      <c r="J288" s="2">
        <v>100</v>
      </c>
      <c r="K288" t="str">
        <f t="shared" si="25"/>
        <v>Low</v>
      </c>
      <c r="L288" s="12">
        <f t="shared" si="26"/>
        <v>2023</v>
      </c>
      <c r="M288" s="12">
        <f t="shared" si="27"/>
        <v>1</v>
      </c>
      <c r="N288" s="5" t="str">
        <f t="shared" si="28"/>
        <v>Monday</v>
      </c>
      <c r="O288" s="5" t="str">
        <f t="shared" si="29"/>
        <v>February</v>
      </c>
    </row>
    <row r="289" spans="1:15" x14ac:dyDescent="0.3">
      <c r="A289" s="8">
        <v>288</v>
      </c>
      <c r="B289" s="25">
        <v>44952</v>
      </c>
      <c r="C289" s="5" t="s">
        <v>296</v>
      </c>
      <c r="D289" s="5" t="s">
        <v>5</v>
      </c>
      <c r="E289" s="12">
        <v>28</v>
      </c>
      <c r="F289" s="2" t="str">
        <f t="shared" si="24"/>
        <v>Young</v>
      </c>
      <c r="G289" s="5" t="s">
        <v>9</v>
      </c>
      <c r="H289" s="8">
        <v>4</v>
      </c>
      <c r="I289" s="2">
        <v>30</v>
      </c>
      <c r="J289" s="2">
        <v>120</v>
      </c>
      <c r="K289" t="str">
        <f t="shared" si="25"/>
        <v>Low</v>
      </c>
      <c r="L289" s="12">
        <f t="shared" si="26"/>
        <v>2023</v>
      </c>
      <c r="M289" s="12">
        <f t="shared" si="27"/>
        <v>1</v>
      </c>
      <c r="N289" s="5" t="str">
        <f t="shared" si="28"/>
        <v>Thursday</v>
      </c>
      <c r="O289" s="5" t="str">
        <f t="shared" si="29"/>
        <v>January</v>
      </c>
    </row>
    <row r="290" spans="1:15" x14ac:dyDescent="0.3">
      <c r="A290" s="8">
        <v>289</v>
      </c>
      <c r="B290" s="25">
        <v>45260</v>
      </c>
      <c r="C290" s="5" t="s">
        <v>297</v>
      </c>
      <c r="D290" s="5" t="s">
        <v>5</v>
      </c>
      <c r="E290" s="12">
        <v>53</v>
      </c>
      <c r="F290" s="2" t="str">
        <f t="shared" si="24"/>
        <v>Adult</v>
      </c>
      <c r="G290" s="5" t="s">
        <v>11</v>
      </c>
      <c r="H290" s="8">
        <v>2</v>
      </c>
      <c r="I290" s="2">
        <v>30</v>
      </c>
      <c r="J290" s="2">
        <v>60</v>
      </c>
      <c r="K290" t="str">
        <f t="shared" si="25"/>
        <v>Low</v>
      </c>
      <c r="L290" s="12">
        <f t="shared" si="26"/>
        <v>2023</v>
      </c>
      <c r="M290" s="12">
        <f t="shared" si="27"/>
        <v>4</v>
      </c>
      <c r="N290" s="5" t="str">
        <f t="shared" si="28"/>
        <v>Thursday</v>
      </c>
      <c r="O290" s="5" t="str">
        <f t="shared" si="29"/>
        <v>November</v>
      </c>
    </row>
    <row r="291" spans="1:15" x14ac:dyDescent="0.3">
      <c r="A291" s="8">
        <v>290</v>
      </c>
      <c r="B291" s="25">
        <v>45203</v>
      </c>
      <c r="C291" s="5" t="s">
        <v>298</v>
      </c>
      <c r="D291" s="5" t="s">
        <v>8</v>
      </c>
      <c r="E291" s="12">
        <v>30</v>
      </c>
      <c r="F291" s="2" t="str">
        <f t="shared" si="24"/>
        <v>Young</v>
      </c>
      <c r="G291" s="5" t="s">
        <v>6</v>
      </c>
      <c r="H291" s="8">
        <v>2</v>
      </c>
      <c r="I291" s="2">
        <v>300</v>
      </c>
      <c r="J291" s="2">
        <v>600</v>
      </c>
      <c r="K291" t="str">
        <f t="shared" si="25"/>
        <v>Medium</v>
      </c>
      <c r="L291" s="12">
        <f t="shared" si="26"/>
        <v>2023</v>
      </c>
      <c r="M291" s="12">
        <f t="shared" si="27"/>
        <v>4</v>
      </c>
      <c r="N291" s="5" t="str">
        <f t="shared" si="28"/>
        <v>Wednesday</v>
      </c>
      <c r="O291" s="5" t="str">
        <f t="shared" si="29"/>
        <v>October</v>
      </c>
    </row>
    <row r="292" spans="1:15" x14ac:dyDescent="0.3">
      <c r="A292" s="8">
        <v>291</v>
      </c>
      <c r="B292" s="25">
        <v>44934</v>
      </c>
      <c r="C292" s="5" t="s">
        <v>299</v>
      </c>
      <c r="D292" s="5" t="s">
        <v>5</v>
      </c>
      <c r="E292" s="12">
        <v>60</v>
      </c>
      <c r="F292" s="2" t="str">
        <f t="shared" si="24"/>
        <v>Adult</v>
      </c>
      <c r="G292" s="5" t="s">
        <v>9</v>
      </c>
      <c r="H292" s="8">
        <v>2</v>
      </c>
      <c r="I292" s="2">
        <v>300</v>
      </c>
      <c r="J292" s="2">
        <v>600</v>
      </c>
      <c r="K292" t="str">
        <f t="shared" si="25"/>
        <v>Medium</v>
      </c>
      <c r="L292" s="12">
        <f t="shared" si="26"/>
        <v>2023</v>
      </c>
      <c r="M292" s="12">
        <f t="shared" si="27"/>
        <v>1</v>
      </c>
      <c r="N292" s="5" t="str">
        <f t="shared" si="28"/>
        <v>Sunday</v>
      </c>
      <c r="O292" s="5" t="str">
        <f t="shared" si="29"/>
        <v>January</v>
      </c>
    </row>
    <row r="293" spans="1:15" x14ac:dyDescent="0.3">
      <c r="A293" s="8">
        <v>292</v>
      </c>
      <c r="B293" s="25">
        <v>44974</v>
      </c>
      <c r="C293" s="5" t="s">
        <v>300</v>
      </c>
      <c r="D293" s="5" t="s">
        <v>5</v>
      </c>
      <c r="E293" s="12">
        <v>20</v>
      </c>
      <c r="F293" s="2" t="str">
        <f t="shared" si="24"/>
        <v>Young</v>
      </c>
      <c r="G293" s="5" t="s">
        <v>6</v>
      </c>
      <c r="H293" s="8">
        <v>4</v>
      </c>
      <c r="I293" s="2">
        <v>300</v>
      </c>
      <c r="J293" s="2">
        <v>1200</v>
      </c>
      <c r="K293" t="str">
        <f t="shared" si="25"/>
        <v>Medium</v>
      </c>
      <c r="L293" s="12">
        <f t="shared" si="26"/>
        <v>2023</v>
      </c>
      <c r="M293" s="12">
        <f t="shared" si="27"/>
        <v>1</v>
      </c>
      <c r="N293" s="5" t="str">
        <f t="shared" si="28"/>
        <v>Friday</v>
      </c>
      <c r="O293" s="5" t="str">
        <f t="shared" si="29"/>
        <v>February</v>
      </c>
    </row>
    <row r="294" spans="1:15" x14ac:dyDescent="0.3">
      <c r="A294" s="8">
        <v>293</v>
      </c>
      <c r="B294" s="25">
        <v>45048</v>
      </c>
      <c r="C294" s="5" t="s">
        <v>301</v>
      </c>
      <c r="D294" s="5" t="s">
        <v>5</v>
      </c>
      <c r="E294" s="12">
        <v>50</v>
      </c>
      <c r="F294" s="2" t="str">
        <f t="shared" si="24"/>
        <v>Adult</v>
      </c>
      <c r="G294" s="5" t="s">
        <v>11</v>
      </c>
      <c r="H294" s="8">
        <v>3</v>
      </c>
      <c r="I294" s="2">
        <v>30</v>
      </c>
      <c r="J294" s="2">
        <v>90</v>
      </c>
      <c r="K294" t="str">
        <f t="shared" si="25"/>
        <v>Low</v>
      </c>
      <c r="L294" s="12">
        <f t="shared" si="26"/>
        <v>2023</v>
      </c>
      <c r="M294" s="12">
        <f t="shared" si="27"/>
        <v>2</v>
      </c>
      <c r="N294" s="5" t="str">
        <f t="shared" si="28"/>
        <v>Tuesday</v>
      </c>
      <c r="O294" s="5" t="str">
        <f t="shared" si="29"/>
        <v>May</v>
      </c>
    </row>
    <row r="295" spans="1:15" x14ac:dyDescent="0.3">
      <c r="A295" s="8">
        <v>294</v>
      </c>
      <c r="B295" s="25">
        <v>45012</v>
      </c>
      <c r="C295" s="5" t="s">
        <v>302</v>
      </c>
      <c r="D295" s="5" t="s">
        <v>8</v>
      </c>
      <c r="E295" s="12">
        <v>23</v>
      </c>
      <c r="F295" s="2" t="str">
        <f t="shared" si="24"/>
        <v>Young</v>
      </c>
      <c r="G295" s="5" t="s">
        <v>9</v>
      </c>
      <c r="H295" s="8">
        <v>3</v>
      </c>
      <c r="I295" s="2">
        <v>30</v>
      </c>
      <c r="J295" s="2">
        <v>90</v>
      </c>
      <c r="K295" t="str">
        <f t="shared" si="25"/>
        <v>Low</v>
      </c>
      <c r="L295" s="12">
        <f t="shared" si="26"/>
        <v>2023</v>
      </c>
      <c r="M295" s="12">
        <f t="shared" si="27"/>
        <v>1</v>
      </c>
      <c r="N295" s="5" t="str">
        <f t="shared" si="28"/>
        <v>Monday</v>
      </c>
      <c r="O295" s="5" t="str">
        <f t="shared" si="29"/>
        <v>March</v>
      </c>
    </row>
    <row r="296" spans="1:15" x14ac:dyDescent="0.3">
      <c r="A296" s="8">
        <v>295</v>
      </c>
      <c r="B296" s="25">
        <v>45135</v>
      </c>
      <c r="C296" s="5" t="s">
        <v>303</v>
      </c>
      <c r="D296" s="5" t="s">
        <v>8</v>
      </c>
      <c r="E296" s="12">
        <v>27</v>
      </c>
      <c r="F296" s="2" t="str">
        <f t="shared" si="24"/>
        <v>Young</v>
      </c>
      <c r="G296" s="5" t="s">
        <v>6</v>
      </c>
      <c r="H296" s="8">
        <v>3</v>
      </c>
      <c r="I296" s="2">
        <v>300</v>
      </c>
      <c r="J296" s="2">
        <v>900</v>
      </c>
      <c r="K296" t="str">
        <f t="shared" si="25"/>
        <v>Medium</v>
      </c>
      <c r="L296" s="12">
        <f t="shared" si="26"/>
        <v>2023</v>
      </c>
      <c r="M296" s="12">
        <f t="shared" si="27"/>
        <v>3</v>
      </c>
      <c r="N296" s="5" t="str">
        <f t="shared" si="28"/>
        <v>Friday</v>
      </c>
      <c r="O296" s="5" t="str">
        <f t="shared" si="29"/>
        <v>July</v>
      </c>
    </row>
    <row r="297" spans="1:15" x14ac:dyDescent="0.3">
      <c r="A297" s="8">
        <v>296</v>
      </c>
      <c r="B297" s="25">
        <v>45175</v>
      </c>
      <c r="C297" s="5" t="s">
        <v>304</v>
      </c>
      <c r="D297" s="5" t="s">
        <v>8</v>
      </c>
      <c r="E297" s="12">
        <v>22</v>
      </c>
      <c r="F297" s="2" t="str">
        <f t="shared" si="24"/>
        <v>Young</v>
      </c>
      <c r="G297" s="5" t="s">
        <v>9</v>
      </c>
      <c r="H297" s="8">
        <v>4</v>
      </c>
      <c r="I297" s="2">
        <v>300</v>
      </c>
      <c r="J297" s="2">
        <v>1200</v>
      </c>
      <c r="K297" t="str">
        <f t="shared" si="25"/>
        <v>Medium</v>
      </c>
      <c r="L297" s="12">
        <f t="shared" si="26"/>
        <v>2023</v>
      </c>
      <c r="M297" s="12">
        <f t="shared" si="27"/>
        <v>3</v>
      </c>
      <c r="N297" s="5" t="str">
        <f t="shared" si="28"/>
        <v>Wednesday</v>
      </c>
      <c r="O297" s="5" t="str">
        <f t="shared" si="29"/>
        <v>September</v>
      </c>
    </row>
    <row r="298" spans="1:15" x14ac:dyDescent="0.3">
      <c r="A298" s="8">
        <v>297</v>
      </c>
      <c r="B298" s="25">
        <v>45173</v>
      </c>
      <c r="C298" s="5" t="s">
        <v>305</v>
      </c>
      <c r="D298" s="5" t="s">
        <v>8</v>
      </c>
      <c r="E298" s="12">
        <v>40</v>
      </c>
      <c r="F298" s="2" t="str">
        <f t="shared" si="24"/>
        <v>Adult</v>
      </c>
      <c r="G298" s="5" t="s">
        <v>11</v>
      </c>
      <c r="H298" s="8">
        <v>2</v>
      </c>
      <c r="I298" s="2">
        <v>500</v>
      </c>
      <c r="J298" s="2">
        <v>1000</v>
      </c>
      <c r="K298" t="str">
        <f t="shared" si="25"/>
        <v>Medium</v>
      </c>
      <c r="L298" s="12">
        <f t="shared" si="26"/>
        <v>2023</v>
      </c>
      <c r="M298" s="12">
        <f t="shared" si="27"/>
        <v>3</v>
      </c>
      <c r="N298" s="5" t="str">
        <f t="shared" si="28"/>
        <v>Monday</v>
      </c>
      <c r="O298" s="5" t="str">
        <f t="shared" si="29"/>
        <v>September</v>
      </c>
    </row>
    <row r="299" spans="1:15" x14ac:dyDescent="0.3">
      <c r="A299" s="8">
        <v>298</v>
      </c>
      <c r="B299" s="25">
        <v>45036</v>
      </c>
      <c r="C299" s="5" t="s">
        <v>306</v>
      </c>
      <c r="D299" s="5" t="s">
        <v>5</v>
      </c>
      <c r="E299" s="12">
        <v>27</v>
      </c>
      <c r="F299" s="2" t="str">
        <f t="shared" si="24"/>
        <v>Young</v>
      </c>
      <c r="G299" s="5" t="s">
        <v>6</v>
      </c>
      <c r="H299" s="8">
        <v>4</v>
      </c>
      <c r="I299" s="2">
        <v>300</v>
      </c>
      <c r="J299" s="2">
        <v>1200</v>
      </c>
      <c r="K299" t="str">
        <f t="shared" si="25"/>
        <v>Medium</v>
      </c>
      <c r="L299" s="12">
        <f t="shared" si="26"/>
        <v>2023</v>
      </c>
      <c r="M299" s="12">
        <f t="shared" si="27"/>
        <v>2</v>
      </c>
      <c r="N299" s="5" t="str">
        <f t="shared" si="28"/>
        <v>Thursday</v>
      </c>
      <c r="O299" s="5" t="str">
        <f t="shared" si="29"/>
        <v>April</v>
      </c>
    </row>
    <row r="300" spans="1:15" x14ac:dyDescent="0.3">
      <c r="A300" s="8">
        <v>299</v>
      </c>
      <c r="B300" s="25">
        <v>45132</v>
      </c>
      <c r="C300" s="5" t="s">
        <v>307</v>
      </c>
      <c r="D300" s="5" t="s">
        <v>5</v>
      </c>
      <c r="E300" s="12">
        <v>61</v>
      </c>
      <c r="F300" s="2" t="str">
        <f t="shared" si="24"/>
        <v>Senior</v>
      </c>
      <c r="G300" s="5" t="s">
        <v>11</v>
      </c>
      <c r="H300" s="8">
        <v>2</v>
      </c>
      <c r="I300" s="2">
        <v>500</v>
      </c>
      <c r="J300" s="2">
        <v>1000</v>
      </c>
      <c r="K300" t="str">
        <f t="shared" si="25"/>
        <v>Medium</v>
      </c>
      <c r="L300" s="12">
        <f t="shared" si="26"/>
        <v>2023</v>
      </c>
      <c r="M300" s="12">
        <f t="shared" si="27"/>
        <v>3</v>
      </c>
      <c r="N300" s="5" t="str">
        <f t="shared" si="28"/>
        <v>Tuesday</v>
      </c>
      <c r="O300" s="5" t="str">
        <f t="shared" si="29"/>
        <v>July</v>
      </c>
    </row>
    <row r="301" spans="1:15" x14ac:dyDescent="0.3">
      <c r="A301" s="8">
        <v>300</v>
      </c>
      <c r="B301" s="25">
        <v>44957</v>
      </c>
      <c r="C301" s="5" t="s">
        <v>308</v>
      </c>
      <c r="D301" s="5" t="s">
        <v>8</v>
      </c>
      <c r="E301" s="12">
        <v>19</v>
      </c>
      <c r="F301" s="2" t="str">
        <f t="shared" si="24"/>
        <v>Young</v>
      </c>
      <c r="G301" s="5" t="s">
        <v>11</v>
      </c>
      <c r="H301" s="8">
        <v>4</v>
      </c>
      <c r="I301" s="2">
        <v>50</v>
      </c>
      <c r="J301" s="2">
        <v>200</v>
      </c>
      <c r="K301" t="str">
        <f t="shared" si="25"/>
        <v>Low</v>
      </c>
      <c r="L301" s="12">
        <f t="shared" si="26"/>
        <v>2023</v>
      </c>
      <c r="M301" s="12">
        <f t="shared" si="27"/>
        <v>1</v>
      </c>
      <c r="N301" s="5" t="str">
        <f t="shared" si="28"/>
        <v>Tuesday</v>
      </c>
      <c r="O301" s="5" t="str">
        <f t="shared" si="29"/>
        <v>January</v>
      </c>
    </row>
    <row r="302" spans="1:15" x14ac:dyDescent="0.3">
      <c r="A302" s="8">
        <v>301</v>
      </c>
      <c r="B302" s="25">
        <v>45011</v>
      </c>
      <c r="C302" s="5" t="s">
        <v>309</v>
      </c>
      <c r="D302" s="5" t="s">
        <v>5</v>
      </c>
      <c r="E302" s="12">
        <v>30</v>
      </c>
      <c r="F302" s="2" t="str">
        <f t="shared" si="24"/>
        <v>Young</v>
      </c>
      <c r="G302" s="5" t="s">
        <v>9</v>
      </c>
      <c r="H302" s="8">
        <v>4</v>
      </c>
      <c r="I302" s="2">
        <v>30</v>
      </c>
      <c r="J302" s="2">
        <v>120</v>
      </c>
      <c r="K302" t="str">
        <f t="shared" si="25"/>
        <v>Low</v>
      </c>
      <c r="L302" s="12">
        <f t="shared" si="26"/>
        <v>2023</v>
      </c>
      <c r="M302" s="12">
        <f t="shared" si="27"/>
        <v>1</v>
      </c>
      <c r="N302" s="5" t="str">
        <f t="shared" si="28"/>
        <v>Sunday</v>
      </c>
      <c r="O302" s="5" t="str">
        <f t="shared" si="29"/>
        <v>March</v>
      </c>
    </row>
    <row r="303" spans="1:15" x14ac:dyDescent="0.3">
      <c r="A303" s="8">
        <v>302</v>
      </c>
      <c r="B303" s="25">
        <v>45121</v>
      </c>
      <c r="C303" s="5" t="s">
        <v>310</v>
      </c>
      <c r="D303" s="5" t="s">
        <v>5</v>
      </c>
      <c r="E303" s="12">
        <v>57</v>
      </c>
      <c r="F303" s="2" t="str">
        <f t="shared" si="24"/>
        <v>Adult</v>
      </c>
      <c r="G303" s="5" t="s">
        <v>6</v>
      </c>
      <c r="H303" s="8">
        <v>2</v>
      </c>
      <c r="I303" s="2">
        <v>300</v>
      </c>
      <c r="J303" s="2">
        <v>600</v>
      </c>
      <c r="K303" t="str">
        <f t="shared" si="25"/>
        <v>Medium</v>
      </c>
      <c r="L303" s="12">
        <f t="shared" si="26"/>
        <v>2023</v>
      </c>
      <c r="M303" s="12">
        <f t="shared" si="27"/>
        <v>3</v>
      </c>
      <c r="N303" s="5" t="str">
        <f t="shared" si="28"/>
        <v>Friday</v>
      </c>
      <c r="O303" s="5" t="str">
        <f t="shared" si="29"/>
        <v>July</v>
      </c>
    </row>
    <row r="304" spans="1:15" x14ac:dyDescent="0.3">
      <c r="A304" s="8">
        <v>303</v>
      </c>
      <c r="B304" s="25">
        <v>44928</v>
      </c>
      <c r="C304" s="5" t="s">
        <v>311</v>
      </c>
      <c r="D304" s="5" t="s">
        <v>5</v>
      </c>
      <c r="E304" s="12">
        <v>19</v>
      </c>
      <c r="F304" s="2" t="str">
        <f t="shared" si="24"/>
        <v>Young</v>
      </c>
      <c r="G304" s="5" t="s">
        <v>11</v>
      </c>
      <c r="H304" s="8">
        <v>3</v>
      </c>
      <c r="I304" s="2">
        <v>30</v>
      </c>
      <c r="J304" s="2">
        <v>90</v>
      </c>
      <c r="K304" t="str">
        <f t="shared" si="25"/>
        <v>Low</v>
      </c>
      <c r="L304" s="12">
        <f t="shared" si="26"/>
        <v>2023</v>
      </c>
      <c r="M304" s="12">
        <f t="shared" si="27"/>
        <v>1</v>
      </c>
      <c r="N304" s="5" t="str">
        <f t="shared" si="28"/>
        <v>Monday</v>
      </c>
      <c r="O304" s="5" t="str">
        <f t="shared" si="29"/>
        <v>January</v>
      </c>
    </row>
    <row r="305" spans="1:15" x14ac:dyDescent="0.3">
      <c r="A305" s="8">
        <v>304</v>
      </c>
      <c r="B305" s="25">
        <v>45126</v>
      </c>
      <c r="C305" s="5" t="s">
        <v>312</v>
      </c>
      <c r="D305" s="5" t="s">
        <v>8</v>
      </c>
      <c r="E305" s="12">
        <v>37</v>
      </c>
      <c r="F305" s="2" t="str">
        <f t="shared" si="24"/>
        <v>Adult</v>
      </c>
      <c r="G305" s="5" t="s">
        <v>11</v>
      </c>
      <c r="H305" s="8">
        <v>2</v>
      </c>
      <c r="I305" s="2">
        <v>30</v>
      </c>
      <c r="J305" s="2">
        <v>60</v>
      </c>
      <c r="K305" t="str">
        <f t="shared" si="25"/>
        <v>Low</v>
      </c>
      <c r="L305" s="12">
        <f t="shared" si="26"/>
        <v>2023</v>
      </c>
      <c r="M305" s="12">
        <f t="shared" si="27"/>
        <v>3</v>
      </c>
      <c r="N305" s="5" t="str">
        <f t="shared" si="28"/>
        <v>Wednesday</v>
      </c>
      <c r="O305" s="5" t="str">
        <f t="shared" si="29"/>
        <v>July</v>
      </c>
    </row>
    <row r="306" spans="1:15" x14ac:dyDescent="0.3">
      <c r="A306" s="8">
        <v>305</v>
      </c>
      <c r="B306" s="25">
        <v>45062</v>
      </c>
      <c r="C306" s="5" t="s">
        <v>313</v>
      </c>
      <c r="D306" s="5" t="s">
        <v>8</v>
      </c>
      <c r="E306" s="12">
        <v>18</v>
      </c>
      <c r="F306" s="2" t="str">
        <f t="shared" si="24"/>
        <v>Young</v>
      </c>
      <c r="G306" s="5" t="s">
        <v>6</v>
      </c>
      <c r="H306" s="8">
        <v>1</v>
      </c>
      <c r="I306" s="2">
        <v>30</v>
      </c>
      <c r="J306" s="2">
        <v>30</v>
      </c>
      <c r="K306" t="str">
        <f t="shared" si="25"/>
        <v>Low</v>
      </c>
      <c r="L306" s="12">
        <f t="shared" si="26"/>
        <v>2023</v>
      </c>
      <c r="M306" s="12">
        <f t="shared" si="27"/>
        <v>2</v>
      </c>
      <c r="N306" s="5" t="str">
        <f t="shared" si="28"/>
        <v>Tuesday</v>
      </c>
      <c r="O306" s="5" t="str">
        <f t="shared" si="29"/>
        <v>May</v>
      </c>
    </row>
    <row r="307" spans="1:15" x14ac:dyDescent="0.3">
      <c r="A307" s="8">
        <v>306</v>
      </c>
      <c r="B307" s="25">
        <v>45159</v>
      </c>
      <c r="C307" s="5" t="s">
        <v>314</v>
      </c>
      <c r="D307" s="5" t="s">
        <v>5</v>
      </c>
      <c r="E307" s="12">
        <v>54</v>
      </c>
      <c r="F307" s="2" t="str">
        <f t="shared" si="24"/>
        <v>Adult</v>
      </c>
      <c r="G307" s="5" t="s">
        <v>11</v>
      </c>
      <c r="H307" s="8">
        <v>1</v>
      </c>
      <c r="I307" s="2">
        <v>50</v>
      </c>
      <c r="J307" s="2">
        <v>50</v>
      </c>
      <c r="K307" t="str">
        <f t="shared" si="25"/>
        <v>Low</v>
      </c>
      <c r="L307" s="12">
        <f t="shared" si="26"/>
        <v>2023</v>
      </c>
      <c r="M307" s="12">
        <f t="shared" si="27"/>
        <v>3</v>
      </c>
      <c r="N307" s="5" t="str">
        <f t="shared" si="28"/>
        <v>Monday</v>
      </c>
      <c r="O307" s="5" t="str">
        <f t="shared" si="29"/>
        <v>August</v>
      </c>
    </row>
    <row r="308" spans="1:15" x14ac:dyDescent="0.3">
      <c r="A308" s="8">
        <v>307</v>
      </c>
      <c r="B308" s="25">
        <v>45073</v>
      </c>
      <c r="C308" s="5" t="s">
        <v>315</v>
      </c>
      <c r="D308" s="5" t="s">
        <v>8</v>
      </c>
      <c r="E308" s="12">
        <v>26</v>
      </c>
      <c r="F308" s="2" t="str">
        <f t="shared" si="24"/>
        <v>Young</v>
      </c>
      <c r="G308" s="5" t="s">
        <v>11</v>
      </c>
      <c r="H308" s="8">
        <v>2</v>
      </c>
      <c r="I308" s="2">
        <v>25</v>
      </c>
      <c r="J308" s="2">
        <v>50</v>
      </c>
      <c r="K308" t="str">
        <f t="shared" si="25"/>
        <v>Low</v>
      </c>
      <c r="L308" s="12">
        <f t="shared" si="26"/>
        <v>2023</v>
      </c>
      <c r="M308" s="12">
        <f t="shared" si="27"/>
        <v>2</v>
      </c>
      <c r="N308" s="5" t="str">
        <f t="shared" si="28"/>
        <v>Saturday</v>
      </c>
      <c r="O308" s="5" t="str">
        <f t="shared" si="29"/>
        <v>May</v>
      </c>
    </row>
    <row r="309" spans="1:15" x14ac:dyDescent="0.3">
      <c r="A309" s="8">
        <v>308</v>
      </c>
      <c r="B309" s="25">
        <v>45143</v>
      </c>
      <c r="C309" s="5" t="s">
        <v>316</v>
      </c>
      <c r="D309" s="5" t="s">
        <v>8</v>
      </c>
      <c r="E309" s="12">
        <v>34</v>
      </c>
      <c r="F309" s="2" t="str">
        <f t="shared" si="24"/>
        <v>Adult</v>
      </c>
      <c r="G309" s="5" t="s">
        <v>6</v>
      </c>
      <c r="H309" s="8">
        <v>4</v>
      </c>
      <c r="I309" s="2">
        <v>300</v>
      </c>
      <c r="J309" s="2">
        <v>1200</v>
      </c>
      <c r="K309" t="str">
        <f t="shared" si="25"/>
        <v>Medium</v>
      </c>
      <c r="L309" s="12">
        <f t="shared" si="26"/>
        <v>2023</v>
      </c>
      <c r="M309" s="12">
        <f t="shared" si="27"/>
        <v>3</v>
      </c>
      <c r="N309" s="5" t="str">
        <f t="shared" si="28"/>
        <v>Saturday</v>
      </c>
      <c r="O309" s="5" t="str">
        <f t="shared" si="29"/>
        <v>August</v>
      </c>
    </row>
    <row r="310" spans="1:15" x14ac:dyDescent="0.3">
      <c r="A310" s="8">
        <v>309</v>
      </c>
      <c r="B310" s="25">
        <v>45283</v>
      </c>
      <c r="C310" s="5" t="s">
        <v>317</v>
      </c>
      <c r="D310" s="5" t="s">
        <v>8</v>
      </c>
      <c r="E310" s="12">
        <v>26</v>
      </c>
      <c r="F310" s="2" t="str">
        <f t="shared" si="24"/>
        <v>Young</v>
      </c>
      <c r="G310" s="5" t="s">
        <v>6</v>
      </c>
      <c r="H310" s="8">
        <v>1</v>
      </c>
      <c r="I310" s="2">
        <v>25</v>
      </c>
      <c r="J310" s="2">
        <v>25</v>
      </c>
      <c r="K310" t="str">
        <f t="shared" si="25"/>
        <v>Low</v>
      </c>
      <c r="L310" s="12">
        <f t="shared" si="26"/>
        <v>2023</v>
      </c>
      <c r="M310" s="12">
        <f t="shared" si="27"/>
        <v>4</v>
      </c>
      <c r="N310" s="5" t="str">
        <f t="shared" si="28"/>
        <v>Saturday</v>
      </c>
      <c r="O310" s="5" t="str">
        <f t="shared" si="29"/>
        <v>December</v>
      </c>
    </row>
    <row r="311" spans="1:15" x14ac:dyDescent="0.3">
      <c r="A311" s="8">
        <v>310</v>
      </c>
      <c r="B311" s="25">
        <v>45211</v>
      </c>
      <c r="C311" s="5" t="s">
        <v>318</v>
      </c>
      <c r="D311" s="5" t="s">
        <v>8</v>
      </c>
      <c r="E311" s="12">
        <v>28</v>
      </c>
      <c r="F311" s="2" t="str">
        <f t="shared" si="24"/>
        <v>Young</v>
      </c>
      <c r="G311" s="5" t="s">
        <v>6</v>
      </c>
      <c r="H311" s="8">
        <v>1</v>
      </c>
      <c r="I311" s="2">
        <v>25</v>
      </c>
      <c r="J311" s="2">
        <v>25</v>
      </c>
      <c r="K311" t="str">
        <f t="shared" si="25"/>
        <v>Low</v>
      </c>
      <c r="L311" s="12">
        <f t="shared" si="26"/>
        <v>2023</v>
      </c>
      <c r="M311" s="12">
        <f t="shared" si="27"/>
        <v>4</v>
      </c>
      <c r="N311" s="5" t="str">
        <f t="shared" si="28"/>
        <v>Thursday</v>
      </c>
      <c r="O311" s="5" t="str">
        <f t="shared" si="29"/>
        <v>October</v>
      </c>
    </row>
    <row r="312" spans="1:15" x14ac:dyDescent="0.3">
      <c r="A312" s="8">
        <v>311</v>
      </c>
      <c r="B312" s="25">
        <v>45265</v>
      </c>
      <c r="C312" s="5" t="s">
        <v>319</v>
      </c>
      <c r="D312" s="5" t="s">
        <v>8</v>
      </c>
      <c r="E312" s="12">
        <v>32</v>
      </c>
      <c r="F312" s="2" t="str">
        <f t="shared" si="24"/>
        <v>Adult</v>
      </c>
      <c r="G312" s="5" t="s">
        <v>6</v>
      </c>
      <c r="H312" s="8">
        <v>4</v>
      </c>
      <c r="I312" s="2">
        <v>25</v>
      </c>
      <c r="J312" s="2">
        <v>100</v>
      </c>
      <c r="K312" t="str">
        <f t="shared" si="25"/>
        <v>Low</v>
      </c>
      <c r="L312" s="12">
        <f t="shared" si="26"/>
        <v>2023</v>
      </c>
      <c r="M312" s="12">
        <f t="shared" si="27"/>
        <v>4</v>
      </c>
      <c r="N312" s="5" t="str">
        <f t="shared" si="28"/>
        <v>Tuesday</v>
      </c>
      <c r="O312" s="5" t="str">
        <f t="shared" si="29"/>
        <v>December</v>
      </c>
    </row>
    <row r="313" spans="1:15" x14ac:dyDescent="0.3">
      <c r="A313" s="8">
        <v>312</v>
      </c>
      <c r="B313" s="25">
        <v>45176</v>
      </c>
      <c r="C313" s="5" t="s">
        <v>320</v>
      </c>
      <c r="D313" s="5" t="s">
        <v>5</v>
      </c>
      <c r="E313" s="12">
        <v>41</v>
      </c>
      <c r="F313" s="2" t="str">
        <f t="shared" si="24"/>
        <v>Adult</v>
      </c>
      <c r="G313" s="5" t="s">
        <v>9</v>
      </c>
      <c r="H313" s="8">
        <v>4</v>
      </c>
      <c r="I313" s="2">
        <v>30</v>
      </c>
      <c r="J313" s="2">
        <v>120</v>
      </c>
      <c r="K313" t="str">
        <f t="shared" si="25"/>
        <v>Low</v>
      </c>
      <c r="L313" s="12">
        <f t="shared" si="26"/>
        <v>2023</v>
      </c>
      <c r="M313" s="12">
        <f t="shared" si="27"/>
        <v>3</v>
      </c>
      <c r="N313" s="5" t="str">
        <f t="shared" si="28"/>
        <v>Thursday</v>
      </c>
      <c r="O313" s="5" t="str">
        <f t="shared" si="29"/>
        <v>September</v>
      </c>
    </row>
    <row r="314" spans="1:15" x14ac:dyDescent="0.3">
      <c r="A314" s="8">
        <v>313</v>
      </c>
      <c r="B314" s="25">
        <v>45006</v>
      </c>
      <c r="C314" s="5" t="s">
        <v>321</v>
      </c>
      <c r="D314" s="5" t="s">
        <v>8</v>
      </c>
      <c r="E314" s="12">
        <v>55</v>
      </c>
      <c r="F314" s="2" t="str">
        <f t="shared" si="24"/>
        <v>Adult</v>
      </c>
      <c r="G314" s="5" t="s">
        <v>6</v>
      </c>
      <c r="H314" s="8">
        <v>3</v>
      </c>
      <c r="I314" s="2">
        <v>500</v>
      </c>
      <c r="J314" s="2">
        <v>1500</v>
      </c>
      <c r="K314" t="str">
        <f t="shared" si="25"/>
        <v>Medium</v>
      </c>
      <c r="L314" s="12">
        <f t="shared" si="26"/>
        <v>2023</v>
      </c>
      <c r="M314" s="12">
        <f t="shared" si="27"/>
        <v>1</v>
      </c>
      <c r="N314" s="5" t="str">
        <f t="shared" si="28"/>
        <v>Tuesday</v>
      </c>
      <c r="O314" s="5" t="str">
        <f t="shared" si="29"/>
        <v>March</v>
      </c>
    </row>
    <row r="315" spans="1:15" x14ac:dyDescent="0.3">
      <c r="A315" s="8">
        <v>314</v>
      </c>
      <c r="B315" s="25">
        <v>45024</v>
      </c>
      <c r="C315" s="5" t="s">
        <v>322</v>
      </c>
      <c r="D315" s="5" t="s">
        <v>5</v>
      </c>
      <c r="E315" s="12">
        <v>52</v>
      </c>
      <c r="F315" s="2" t="str">
        <f t="shared" si="24"/>
        <v>Adult</v>
      </c>
      <c r="G315" s="5" t="s">
        <v>9</v>
      </c>
      <c r="H315" s="8">
        <v>4</v>
      </c>
      <c r="I315" s="2">
        <v>30</v>
      </c>
      <c r="J315" s="2">
        <v>120</v>
      </c>
      <c r="K315" t="str">
        <f t="shared" si="25"/>
        <v>Low</v>
      </c>
      <c r="L315" s="12">
        <f t="shared" si="26"/>
        <v>2023</v>
      </c>
      <c r="M315" s="12">
        <f t="shared" si="27"/>
        <v>2</v>
      </c>
      <c r="N315" s="5" t="str">
        <f t="shared" si="28"/>
        <v>Saturday</v>
      </c>
      <c r="O315" s="5" t="str">
        <f t="shared" si="29"/>
        <v>April</v>
      </c>
    </row>
    <row r="316" spans="1:15" x14ac:dyDescent="0.3">
      <c r="A316" s="8">
        <v>315</v>
      </c>
      <c r="B316" s="25">
        <v>45078</v>
      </c>
      <c r="C316" s="5" t="s">
        <v>323</v>
      </c>
      <c r="D316" s="5" t="s">
        <v>5</v>
      </c>
      <c r="E316" s="12">
        <v>47</v>
      </c>
      <c r="F316" s="2" t="str">
        <f t="shared" si="24"/>
        <v>Adult</v>
      </c>
      <c r="G316" s="5" t="s">
        <v>9</v>
      </c>
      <c r="H316" s="8">
        <v>2</v>
      </c>
      <c r="I316" s="2">
        <v>30</v>
      </c>
      <c r="J316" s="2">
        <v>60</v>
      </c>
      <c r="K316" t="str">
        <f t="shared" si="25"/>
        <v>Low</v>
      </c>
      <c r="L316" s="12">
        <f t="shared" si="26"/>
        <v>2023</v>
      </c>
      <c r="M316" s="12">
        <f t="shared" si="27"/>
        <v>2</v>
      </c>
      <c r="N316" s="5" t="str">
        <f t="shared" si="28"/>
        <v>Thursday</v>
      </c>
      <c r="O316" s="5" t="str">
        <f t="shared" si="29"/>
        <v>June</v>
      </c>
    </row>
    <row r="317" spans="1:15" x14ac:dyDescent="0.3">
      <c r="A317" s="8">
        <v>316</v>
      </c>
      <c r="B317" s="25">
        <v>45038</v>
      </c>
      <c r="C317" s="5" t="s">
        <v>324</v>
      </c>
      <c r="D317" s="5" t="s">
        <v>8</v>
      </c>
      <c r="E317" s="12">
        <v>48</v>
      </c>
      <c r="F317" s="2" t="str">
        <f t="shared" si="24"/>
        <v>Adult</v>
      </c>
      <c r="G317" s="5" t="s">
        <v>9</v>
      </c>
      <c r="H317" s="8">
        <v>2</v>
      </c>
      <c r="I317" s="2">
        <v>25</v>
      </c>
      <c r="J317" s="2">
        <v>50</v>
      </c>
      <c r="K317" t="str">
        <f t="shared" si="25"/>
        <v>Low</v>
      </c>
      <c r="L317" s="12">
        <f t="shared" si="26"/>
        <v>2023</v>
      </c>
      <c r="M317" s="12">
        <f t="shared" si="27"/>
        <v>2</v>
      </c>
      <c r="N317" s="5" t="str">
        <f t="shared" si="28"/>
        <v>Saturday</v>
      </c>
      <c r="O317" s="5" t="str">
        <f t="shared" si="29"/>
        <v>April</v>
      </c>
    </row>
    <row r="318" spans="1:15" x14ac:dyDescent="0.3">
      <c r="A318" s="8">
        <v>317</v>
      </c>
      <c r="B318" s="25">
        <v>44956</v>
      </c>
      <c r="C318" s="5" t="s">
        <v>325</v>
      </c>
      <c r="D318" s="5" t="s">
        <v>5</v>
      </c>
      <c r="E318" s="12">
        <v>22</v>
      </c>
      <c r="F318" s="2" t="str">
        <f t="shared" si="24"/>
        <v>Young</v>
      </c>
      <c r="G318" s="5" t="s">
        <v>11</v>
      </c>
      <c r="H318" s="8">
        <v>3</v>
      </c>
      <c r="I318" s="2">
        <v>30</v>
      </c>
      <c r="J318" s="2">
        <v>90</v>
      </c>
      <c r="K318" t="str">
        <f t="shared" si="25"/>
        <v>Low</v>
      </c>
      <c r="L318" s="12">
        <f t="shared" si="26"/>
        <v>2023</v>
      </c>
      <c r="M318" s="12">
        <f t="shared" si="27"/>
        <v>1</v>
      </c>
      <c r="N318" s="5" t="str">
        <f t="shared" si="28"/>
        <v>Monday</v>
      </c>
      <c r="O318" s="5" t="str">
        <f t="shared" si="29"/>
        <v>January</v>
      </c>
    </row>
    <row r="319" spans="1:15" x14ac:dyDescent="0.3">
      <c r="A319" s="8">
        <v>318</v>
      </c>
      <c r="B319" s="25">
        <v>45223</v>
      </c>
      <c r="C319" s="5" t="s">
        <v>326</v>
      </c>
      <c r="D319" s="5" t="s">
        <v>5</v>
      </c>
      <c r="E319" s="12">
        <v>61</v>
      </c>
      <c r="F319" s="2" t="str">
        <f t="shared" si="24"/>
        <v>Senior</v>
      </c>
      <c r="G319" s="5" t="s">
        <v>9</v>
      </c>
      <c r="H319" s="8">
        <v>1</v>
      </c>
      <c r="I319" s="2">
        <v>25</v>
      </c>
      <c r="J319" s="2">
        <v>25</v>
      </c>
      <c r="K319" t="str">
        <f t="shared" si="25"/>
        <v>Low</v>
      </c>
      <c r="L319" s="12">
        <f t="shared" si="26"/>
        <v>2023</v>
      </c>
      <c r="M319" s="12">
        <f t="shared" si="27"/>
        <v>4</v>
      </c>
      <c r="N319" s="5" t="str">
        <f t="shared" si="28"/>
        <v>Tuesday</v>
      </c>
      <c r="O319" s="5" t="str">
        <f t="shared" si="29"/>
        <v>October</v>
      </c>
    </row>
    <row r="320" spans="1:15" x14ac:dyDescent="0.3">
      <c r="A320" s="8">
        <v>319</v>
      </c>
      <c r="B320" s="25">
        <v>45204</v>
      </c>
      <c r="C320" s="5" t="s">
        <v>327</v>
      </c>
      <c r="D320" s="5" t="s">
        <v>5</v>
      </c>
      <c r="E320" s="12">
        <v>31</v>
      </c>
      <c r="F320" s="2" t="str">
        <f t="shared" si="24"/>
        <v>Adult</v>
      </c>
      <c r="G320" s="5" t="s">
        <v>9</v>
      </c>
      <c r="H320" s="8">
        <v>1</v>
      </c>
      <c r="I320" s="2">
        <v>500</v>
      </c>
      <c r="J320" s="2">
        <v>500</v>
      </c>
      <c r="K320" t="str">
        <f t="shared" si="25"/>
        <v>Low</v>
      </c>
      <c r="L320" s="12">
        <f t="shared" si="26"/>
        <v>2023</v>
      </c>
      <c r="M320" s="12">
        <f t="shared" si="27"/>
        <v>4</v>
      </c>
      <c r="N320" s="5" t="str">
        <f t="shared" si="28"/>
        <v>Thursday</v>
      </c>
      <c r="O320" s="5" t="str">
        <f t="shared" si="29"/>
        <v>October</v>
      </c>
    </row>
    <row r="321" spans="1:15" x14ac:dyDescent="0.3">
      <c r="A321" s="8">
        <v>320</v>
      </c>
      <c r="B321" s="25">
        <v>44958</v>
      </c>
      <c r="C321" s="5" t="s">
        <v>328</v>
      </c>
      <c r="D321" s="5" t="s">
        <v>8</v>
      </c>
      <c r="E321" s="12">
        <v>28</v>
      </c>
      <c r="F321" s="2" t="str">
        <f t="shared" si="24"/>
        <v>Young</v>
      </c>
      <c r="G321" s="5" t="s">
        <v>11</v>
      </c>
      <c r="H321" s="8">
        <v>4</v>
      </c>
      <c r="I321" s="2">
        <v>300</v>
      </c>
      <c r="J321" s="2">
        <v>1200</v>
      </c>
      <c r="K321" t="str">
        <f t="shared" si="25"/>
        <v>Medium</v>
      </c>
      <c r="L321" s="12">
        <f t="shared" si="26"/>
        <v>2023</v>
      </c>
      <c r="M321" s="12">
        <f t="shared" si="27"/>
        <v>1</v>
      </c>
      <c r="N321" s="5" t="str">
        <f t="shared" si="28"/>
        <v>Wednesday</v>
      </c>
      <c r="O321" s="5" t="str">
        <f t="shared" si="29"/>
        <v>February</v>
      </c>
    </row>
    <row r="322" spans="1:15" x14ac:dyDescent="0.3">
      <c r="A322" s="8">
        <v>321</v>
      </c>
      <c r="B322" s="25">
        <v>45087</v>
      </c>
      <c r="C322" s="5" t="s">
        <v>329</v>
      </c>
      <c r="D322" s="5" t="s">
        <v>8</v>
      </c>
      <c r="E322" s="12">
        <v>26</v>
      </c>
      <c r="F322" s="2" t="str">
        <f t="shared" si="24"/>
        <v>Young</v>
      </c>
      <c r="G322" s="5" t="s">
        <v>11</v>
      </c>
      <c r="H322" s="8">
        <v>2</v>
      </c>
      <c r="I322" s="2">
        <v>25</v>
      </c>
      <c r="J322" s="2">
        <v>50</v>
      </c>
      <c r="K322" t="str">
        <f t="shared" si="25"/>
        <v>Low</v>
      </c>
      <c r="L322" s="12">
        <f t="shared" si="26"/>
        <v>2023</v>
      </c>
      <c r="M322" s="12">
        <f t="shared" si="27"/>
        <v>2</v>
      </c>
      <c r="N322" s="5" t="str">
        <f t="shared" si="28"/>
        <v>Saturday</v>
      </c>
      <c r="O322" s="5" t="str">
        <f t="shared" si="29"/>
        <v>June</v>
      </c>
    </row>
    <row r="323" spans="1:15" x14ac:dyDescent="0.3">
      <c r="A323" s="8">
        <v>322</v>
      </c>
      <c r="B323" s="25">
        <v>44956</v>
      </c>
      <c r="C323" s="5" t="s">
        <v>330</v>
      </c>
      <c r="D323" s="5" t="s">
        <v>5</v>
      </c>
      <c r="E323" s="12">
        <v>51</v>
      </c>
      <c r="F323" s="2" t="str">
        <f t="shared" ref="F323:F386" si="30">IF(E323&gt;60,"Senior",IF(E323&gt;30,"Adult","Young"))</f>
        <v>Adult</v>
      </c>
      <c r="G323" s="5" t="s">
        <v>11</v>
      </c>
      <c r="H323" s="8">
        <v>1</v>
      </c>
      <c r="I323" s="2">
        <v>500</v>
      </c>
      <c r="J323" s="2">
        <v>500</v>
      </c>
      <c r="K323" t="str">
        <f t="shared" ref="K323:K386" si="31">IF(J323&gt;1500,"High",IF(J323&gt;500,"Medium","Low"))</f>
        <v>Low</v>
      </c>
      <c r="L323" s="12">
        <f t="shared" ref="L323:L386" si="32">YEAR(B323)</f>
        <v>2023</v>
      </c>
      <c r="M323" s="12">
        <f t="shared" ref="M323:M386" si="33">ROUNDUP(MONTH(B323)/3,0)</f>
        <v>1</v>
      </c>
      <c r="N323" s="5" t="str">
        <f t="shared" ref="N323:N386" si="34">TEXT(B323,"dddd")</f>
        <v>Monday</v>
      </c>
      <c r="O323" s="5" t="str">
        <f t="shared" ref="O323:O386" si="35">TEXT(B323,"mmmm")</f>
        <v>January</v>
      </c>
    </row>
    <row r="324" spans="1:15" x14ac:dyDescent="0.3">
      <c r="A324" s="8">
        <v>323</v>
      </c>
      <c r="B324" s="25">
        <v>44952</v>
      </c>
      <c r="C324" s="5" t="s">
        <v>331</v>
      </c>
      <c r="D324" s="5" t="s">
        <v>8</v>
      </c>
      <c r="E324" s="12">
        <v>29</v>
      </c>
      <c r="F324" s="2" t="str">
        <f t="shared" si="30"/>
        <v>Young</v>
      </c>
      <c r="G324" s="5" t="s">
        <v>6</v>
      </c>
      <c r="H324" s="8">
        <v>3</v>
      </c>
      <c r="I324" s="2">
        <v>300</v>
      </c>
      <c r="J324" s="2">
        <v>900</v>
      </c>
      <c r="K324" t="str">
        <f t="shared" si="31"/>
        <v>Medium</v>
      </c>
      <c r="L324" s="12">
        <f t="shared" si="32"/>
        <v>2023</v>
      </c>
      <c r="M324" s="12">
        <f t="shared" si="33"/>
        <v>1</v>
      </c>
      <c r="N324" s="5" t="str">
        <f t="shared" si="34"/>
        <v>Thursday</v>
      </c>
      <c r="O324" s="5" t="str">
        <f t="shared" si="35"/>
        <v>January</v>
      </c>
    </row>
    <row r="325" spans="1:15" x14ac:dyDescent="0.3">
      <c r="A325" s="8">
        <v>324</v>
      </c>
      <c r="B325" s="25">
        <v>45226</v>
      </c>
      <c r="C325" s="5" t="s">
        <v>332</v>
      </c>
      <c r="D325" s="5" t="s">
        <v>8</v>
      </c>
      <c r="E325" s="12">
        <v>52</v>
      </c>
      <c r="F325" s="2" t="str">
        <f t="shared" si="30"/>
        <v>Adult</v>
      </c>
      <c r="G325" s="5" t="s">
        <v>11</v>
      </c>
      <c r="H325" s="8">
        <v>3</v>
      </c>
      <c r="I325" s="2">
        <v>50</v>
      </c>
      <c r="J325" s="2">
        <v>150</v>
      </c>
      <c r="K325" t="str">
        <f t="shared" si="31"/>
        <v>Low</v>
      </c>
      <c r="L325" s="12">
        <f t="shared" si="32"/>
        <v>2023</v>
      </c>
      <c r="M325" s="12">
        <f t="shared" si="33"/>
        <v>4</v>
      </c>
      <c r="N325" s="5" t="str">
        <f t="shared" si="34"/>
        <v>Friday</v>
      </c>
      <c r="O325" s="5" t="str">
        <f t="shared" si="35"/>
        <v>October</v>
      </c>
    </row>
    <row r="326" spans="1:15" x14ac:dyDescent="0.3">
      <c r="A326" s="8">
        <v>325</v>
      </c>
      <c r="B326" s="25">
        <v>45171</v>
      </c>
      <c r="C326" s="5" t="s">
        <v>333</v>
      </c>
      <c r="D326" s="5" t="s">
        <v>8</v>
      </c>
      <c r="E326" s="12">
        <v>52</v>
      </c>
      <c r="F326" s="2" t="str">
        <f t="shared" si="30"/>
        <v>Adult</v>
      </c>
      <c r="G326" s="5" t="s">
        <v>11</v>
      </c>
      <c r="H326" s="8">
        <v>2</v>
      </c>
      <c r="I326" s="2">
        <v>25</v>
      </c>
      <c r="J326" s="2">
        <v>50</v>
      </c>
      <c r="K326" t="str">
        <f t="shared" si="31"/>
        <v>Low</v>
      </c>
      <c r="L326" s="12">
        <f t="shared" si="32"/>
        <v>2023</v>
      </c>
      <c r="M326" s="12">
        <f t="shared" si="33"/>
        <v>3</v>
      </c>
      <c r="N326" s="5" t="str">
        <f t="shared" si="34"/>
        <v>Saturday</v>
      </c>
      <c r="O326" s="5" t="str">
        <f t="shared" si="35"/>
        <v>September</v>
      </c>
    </row>
    <row r="327" spans="1:15" x14ac:dyDescent="0.3">
      <c r="A327" s="8">
        <v>326</v>
      </c>
      <c r="B327" s="25">
        <v>45184</v>
      </c>
      <c r="C327" s="5" t="s">
        <v>334</v>
      </c>
      <c r="D327" s="5" t="s">
        <v>8</v>
      </c>
      <c r="E327" s="12">
        <v>18</v>
      </c>
      <c r="F327" s="2" t="str">
        <f t="shared" si="30"/>
        <v>Young</v>
      </c>
      <c r="G327" s="5" t="s">
        <v>9</v>
      </c>
      <c r="H327" s="8">
        <v>3</v>
      </c>
      <c r="I327" s="2">
        <v>25</v>
      </c>
      <c r="J327" s="2">
        <v>75</v>
      </c>
      <c r="K327" t="str">
        <f t="shared" si="31"/>
        <v>Low</v>
      </c>
      <c r="L327" s="12">
        <f t="shared" si="32"/>
        <v>2023</v>
      </c>
      <c r="M327" s="12">
        <f t="shared" si="33"/>
        <v>3</v>
      </c>
      <c r="N327" s="5" t="str">
        <f t="shared" si="34"/>
        <v>Friday</v>
      </c>
      <c r="O327" s="5" t="str">
        <f t="shared" si="35"/>
        <v>September</v>
      </c>
    </row>
    <row r="328" spans="1:15" x14ac:dyDescent="0.3">
      <c r="A328" s="8">
        <v>327</v>
      </c>
      <c r="B328" s="25">
        <v>45198</v>
      </c>
      <c r="C328" s="5" t="s">
        <v>335</v>
      </c>
      <c r="D328" s="5" t="s">
        <v>5</v>
      </c>
      <c r="E328" s="12">
        <v>57</v>
      </c>
      <c r="F328" s="2" t="str">
        <f t="shared" si="30"/>
        <v>Adult</v>
      </c>
      <c r="G328" s="5" t="s">
        <v>11</v>
      </c>
      <c r="H328" s="8">
        <v>3</v>
      </c>
      <c r="I328" s="2">
        <v>50</v>
      </c>
      <c r="J328" s="2">
        <v>150</v>
      </c>
      <c r="K328" t="str">
        <f t="shared" si="31"/>
        <v>Low</v>
      </c>
      <c r="L328" s="12">
        <f t="shared" si="32"/>
        <v>2023</v>
      </c>
      <c r="M328" s="12">
        <f t="shared" si="33"/>
        <v>3</v>
      </c>
      <c r="N328" s="5" t="str">
        <f t="shared" si="34"/>
        <v>Friday</v>
      </c>
      <c r="O328" s="5" t="str">
        <f t="shared" si="35"/>
        <v>September</v>
      </c>
    </row>
    <row r="329" spans="1:15" x14ac:dyDescent="0.3">
      <c r="A329" s="8">
        <v>328</v>
      </c>
      <c r="B329" s="25">
        <v>45007</v>
      </c>
      <c r="C329" s="5" t="s">
        <v>336</v>
      </c>
      <c r="D329" s="5" t="s">
        <v>5</v>
      </c>
      <c r="E329" s="12">
        <v>39</v>
      </c>
      <c r="F329" s="2" t="str">
        <f t="shared" si="30"/>
        <v>Adult</v>
      </c>
      <c r="G329" s="5" t="s">
        <v>6</v>
      </c>
      <c r="H329" s="8">
        <v>2</v>
      </c>
      <c r="I329" s="2">
        <v>50</v>
      </c>
      <c r="J329" s="2">
        <v>100</v>
      </c>
      <c r="K329" t="str">
        <f t="shared" si="31"/>
        <v>Low</v>
      </c>
      <c r="L329" s="12">
        <f t="shared" si="32"/>
        <v>2023</v>
      </c>
      <c r="M329" s="12">
        <f t="shared" si="33"/>
        <v>1</v>
      </c>
      <c r="N329" s="5" t="str">
        <f t="shared" si="34"/>
        <v>Wednesday</v>
      </c>
      <c r="O329" s="5" t="str">
        <f t="shared" si="35"/>
        <v>March</v>
      </c>
    </row>
    <row r="330" spans="1:15" x14ac:dyDescent="0.3">
      <c r="A330" s="8">
        <v>329</v>
      </c>
      <c r="B330" s="25">
        <v>44956</v>
      </c>
      <c r="C330" s="5" t="s">
        <v>337</v>
      </c>
      <c r="D330" s="5" t="s">
        <v>8</v>
      </c>
      <c r="E330" s="12">
        <v>46</v>
      </c>
      <c r="F330" s="2" t="str">
        <f t="shared" si="30"/>
        <v>Adult</v>
      </c>
      <c r="G330" s="5" t="s">
        <v>11</v>
      </c>
      <c r="H330" s="8">
        <v>4</v>
      </c>
      <c r="I330" s="2">
        <v>25</v>
      </c>
      <c r="J330" s="2">
        <v>100</v>
      </c>
      <c r="K330" t="str">
        <f t="shared" si="31"/>
        <v>Low</v>
      </c>
      <c r="L330" s="12">
        <f t="shared" si="32"/>
        <v>2023</v>
      </c>
      <c r="M330" s="12">
        <f t="shared" si="33"/>
        <v>1</v>
      </c>
      <c r="N330" s="5" t="str">
        <f t="shared" si="34"/>
        <v>Monday</v>
      </c>
      <c r="O330" s="5" t="str">
        <f t="shared" si="35"/>
        <v>January</v>
      </c>
    </row>
    <row r="331" spans="1:15" x14ac:dyDescent="0.3">
      <c r="A331" s="8">
        <v>330</v>
      </c>
      <c r="B331" s="25">
        <v>45187</v>
      </c>
      <c r="C331" s="5" t="s">
        <v>338</v>
      </c>
      <c r="D331" s="5" t="s">
        <v>8</v>
      </c>
      <c r="E331" s="12">
        <v>25</v>
      </c>
      <c r="F331" s="2" t="str">
        <f t="shared" si="30"/>
        <v>Young</v>
      </c>
      <c r="G331" s="5" t="s">
        <v>6</v>
      </c>
      <c r="H331" s="8">
        <v>4</v>
      </c>
      <c r="I331" s="2">
        <v>50</v>
      </c>
      <c r="J331" s="2">
        <v>200</v>
      </c>
      <c r="K331" t="str">
        <f t="shared" si="31"/>
        <v>Low</v>
      </c>
      <c r="L331" s="12">
        <f t="shared" si="32"/>
        <v>2023</v>
      </c>
      <c r="M331" s="12">
        <f t="shared" si="33"/>
        <v>3</v>
      </c>
      <c r="N331" s="5" t="str">
        <f t="shared" si="34"/>
        <v>Monday</v>
      </c>
      <c r="O331" s="5" t="str">
        <f t="shared" si="35"/>
        <v>September</v>
      </c>
    </row>
    <row r="332" spans="1:15" x14ac:dyDescent="0.3">
      <c r="A332" s="8">
        <v>331</v>
      </c>
      <c r="B332" s="25">
        <v>44968</v>
      </c>
      <c r="C332" s="5" t="s">
        <v>339</v>
      </c>
      <c r="D332" s="5" t="s">
        <v>5</v>
      </c>
      <c r="E332" s="12">
        <v>28</v>
      </c>
      <c r="F332" s="2" t="str">
        <f t="shared" si="30"/>
        <v>Young</v>
      </c>
      <c r="G332" s="5" t="s">
        <v>11</v>
      </c>
      <c r="H332" s="8">
        <v>3</v>
      </c>
      <c r="I332" s="2">
        <v>30</v>
      </c>
      <c r="J332" s="2">
        <v>90</v>
      </c>
      <c r="K332" t="str">
        <f t="shared" si="31"/>
        <v>Low</v>
      </c>
      <c r="L332" s="12">
        <f t="shared" si="32"/>
        <v>2023</v>
      </c>
      <c r="M332" s="12">
        <f t="shared" si="33"/>
        <v>1</v>
      </c>
      <c r="N332" s="5" t="str">
        <f t="shared" si="34"/>
        <v>Saturday</v>
      </c>
      <c r="O332" s="5" t="str">
        <f t="shared" si="35"/>
        <v>February</v>
      </c>
    </row>
    <row r="333" spans="1:15" x14ac:dyDescent="0.3">
      <c r="A333" s="8">
        <v>332</v>
      </c>
      <c r="B333" s="25">
        <v>45022</v>
      </c>
      <c r="C333" s="5" t="s">
        <v>340</v>
      </c>
      <c r="D333" s="5" t="s">
        <v>5</v>
      </c>
      <c r="E333" s="12">
        <v>58</v>
      </c>
      <c r="F333" s="2" t="str">
        <f t="shared" si="30"/>
        <v>Adult</v>
      </c>
      <c r="G333" s="5" t="s">
        <v>11</v>
      </c>
      <c r="H333" s="8">
        <v>4</v>
      </c>
      <c r="I333" s="2">
        <v>300</v>
      </c>
      <c r="J333" s="2">
        <v>1200</v>
      </c>
      <c r="K333" t="str">
        <f t="shared" si="31"/>
        <v>Medium</v>
      </c>
      <c r="L333" s="12">
        <f t="shared" si="32"/>
        <v>2023</v>
      </c>
      <c r="M333" s="12">
        <f t="shared" si="33"/>
        <v>2</v>
      </c>
      <c r="N333" s="5" t="str">
        <f t="shared" si="34"/>
        <v>Thursday</v>
      </c>
      <c r="O333" s="5" t="str">
        <f t="shared" si="35"/>
        <v>April</v>
      </c>
    </row>
    <row r="334" spans="1:15" x14ac:dyDescent="0.3">
      <c r="A334" s="8">
        <v>333</v>
      </c>
      <c r="B334" s="25">
        <v>44962</v>
      </c>
      <c r="C334" s="5" t="s">
        <v>341</v>
      </c>
      <c r="D334" s="5" t="s">
        <v>8</v>
      </c>
      <c r="E334" s="12">
        <v>54</v>
      </c>
      <c r="F334" s="2" t="str">
        <f t="shared" si="30"/>
        <v>Adult</v>
      </c>
      <c r="G334" s="5" t="s">
        <v>11</v>
      </c>
      <c r="H334" s="8">
        <v>4</v>
      </c>
      <c r="I334" s="2">
        <v>300</v>
      </c>
      <c r="J334" s="2">
        <v>1200</v>
      </c>
      <c r="K334" t="str">
        <f t="shared" si="31"/>
        <v>Medium</v>
      </c>
      <c r="L334" s="12">
        <f t="shared" si="32"/>
        <v>2023</v>
      </c>
      <c r="M334" s="12">
        <f t="shared" si="33"/>
        <v>1</v>
      </c>
      <c r="N334" s="5" t="str">
        <f t="shared" si="34"/>
        <v>Sunday</v>
      </c>
      <c r="O334" s="5" t="str">
        <f t="shared" si="35"/>
        <v>February</v>
      </c>
    </row>
    <row r="335" spans="1:15" x14ac:dyDescent="0.3">
      <c r="A335" s="8">
        <v>334</v>
      </c>
      <c r="B335" s="25">
        <v>45231</v>
      </c>
      <c r="C335" s="5" t="s">
        <v>342</v>
      </c>
      <c r="D335" s="5" t="s">
        <v>5</v>
      </c>
      <c r="E335" s="12">
        <v>31</v>
      </c>
      <c r="F335" s="2" t="str">
        <f t="shared" si="30"/>
        <v>Adult</v>
      </c>
      <c r="G335" s="5" t="s">
        <v>11</v>
      </c>
      <c r="H335" s="8">
        <v>3</v>
      </c>
      <c r="I335" s="2">
        <v>300</v>
      </c>
      <c r="J335" s="2">
        <v>900</v>
      </c>
      <c r="K335" t="str">
        <f t="shared" si="31"/>
        <v>Medium</v>
      </c>
      <c r="L335" s="12">
        <f t="shared" si="32"/>
        <v>2023</v>
      </c>
      <c r="M335" s="12">
        <f t="shared" si="33"/>
        <v>4</v>
      </c>
      <c r="N335" s="5" t="str">
        <f t="shared" si="34"/>
        <v>Wednesday</v>
      </c>
      <c r="O335" s="5" t="str">
        <f t="shared" si="35"/>
        <v>November</v>
      </c>
    </row>
    <row r="336" spans="1:15" x14ac:dyDescent="0.3">
      <c r="A336" s="8">
        <v>335</v>
      </c>
      <c r="B336" s="25">
        <v>44961</v>
      </c>
      <c r="C336" s="5" t="s">
        <v>343</v>
      </c>
      <c r="D336" s="5" t="s">
        <v>8</v>
      </c>
      <c r="E336" s="12">
        <v>47</v>
      </c>
      <c r="F336" s="2" t="str">
        <f t="shared" si="30"/>
        <v>Adult</v>
      </c>
      <c r="G336" s="5" t="s">
        <v>6</v>
      </c>
      <c r="H336" s="8">
        <v>4</v>
      </c>
      <c r="I336" s="2">
        <v>30</v>
      </c>
      <c r="J336" s="2">
        <v>120</v>
      </c>
      <c r="K336" t="str">
        <f t="shared" si="31"/>
        <v>Low</v>
      </c>
      <c r="L336" s="12">
        <f t="shared" si="32"/>
        <v>2023</v>
      </c>
      <c r="M336" s="12">
        <f t="shared" si="33"/>
        <v>1</v>
      </c>
      <c r="N336" s="5" t="str">
        <f t="shared" si="34"/>
        <v>Saturday</v>
      </c>
      <c r="O336" s="5" t="str">
        <f t="shared" si="35"/>
        <v>February</v>
      </c>
    </row>
    <row r="337" spans="1:15" x14ac:dyDescent="0.3">
      <c r="A337" s="8">
        <v>336</v>
      </c>
      <c r="B337" s="25">
        <v>45272</v>
      </c>
      <c r="C337" s="5" t="s">
        <v>344</v>
      </c>
      <c r="D337" s="5" t="s">
        <v>8</v>
      </c>
      <c r="E337" s="12">
        <v>52</v>
      </c>
      <c r="F337" s="2" t="str">
        <f t="shared" si="30"/>
        <v>Adult</v>
      </c>
      <c r="G337" s="5" t="s">
        <v>6</v>
      </c>
      <c r="H337" s="8">
        <v>3</v>
      </c>
      <c r="I337" s="2">
        <v>50</v>
      </c>
      <c r="J337" s="2">
        <v>150</v>
      </c>
      <c r="K337" t="str">
        <f t="shared" si="31"/>
        <v>Low</v>
      </c>
      <c r="L337" s="12">
        <f t="shared" si="32"/>
        <v>2023</v>
      </c>
      <c r="M337" s="12">
        <f t="shared" si="33"/>
        <v>4</v>
      </c>
      <c r="N337" s="5" t="str">
        <f t="shared" si="34"/>
        <v>Tuesday</v>
      </c>
      <c r="O337" s="5" t="str">
        <f t="shared" si="35"/>
        <v>December</v>
      </c>
    </row>
    <row r="338" spans="1:15" x14ac:dyDescent="0.3">
      <c r="A338" s="8">
        <v>337</v>
      </c>
      <c r="B338" s="25">
        <v>45047</v>
      </c>
      <c r="C338" s="5" t="s">
        <v>345</v>
      </c>
      <c r="D338" s="5" t="s">
        <v>5</v>
      </c>
      <c r="E338" s="12">
        <v>38</v>
      </c>
      <c r="F338" s="2" t="str">
        <f t="shared" si="30"/>
        <v>Adult</v>
      </c>
      <c r="G338" s="5" t="s">
        <v>9</v>
      </c>
      <c r="H338" s="8">
        <v>1</v>
      </c>
      <c r="I338" s="2">
        <v>500</v>
      </c>
      <c r="J338" s="2">
        <v>500</v>
      </c>
      <c r="K338" t="str">
        <f t="shared" si="31"/>
        <v>Low</v>
      </c>
      <c r="L338" s="12">
        <f t="shared" si="32"/>
        <v>2023</v>
      </c>
      <c r="M338" s="12">
        <f t="shared" si="33"/>
        <v>2</v>
      </c>
      <c r="N338" s="5" t="str">
        <f t="shared" si="34"/>
        <v>Monday</v>
      </c>
      <c r="O338" s="5" t="str">
        <f t="shared" si="35"/>
        <v>May</v>
      </c>
    </row>
    <row r="339" spans="1:15" x14ac:dyDescent="0.3">
      <c r="A339" s="8">
        <v>338</v>
      </c>
      <c r="B339" s="25">
        <v>45133</v>
      </c>
      <c r="C339" s="5" t="s">
        <v>346</v>
      </c>
      <c r="D339" s="5" t="s">
        <v>5</v>
      </c>
      <c r="E339" s="12">
        <v>54</v>
      </c>
      <c r="F339" s="2" t="str">
        <f t="shared" si="30"/>
        <v>Adult</v>
      </c>
      <c r="G339" s="5" t="s">
        <v>6</v>
      </c>
      <c r="H339" s="8">
        <v>2</v>
      </c>
      <c r="I339" s="2">
        <v>50</v>
      </c>
      <c r="J339" s="2">
        <v>100</v>
      </c>
      <c r="K339" t="str">
        <f t="shared" si="31"/>
        <v>Low</v>
      </c>
      <c r="L339" s="12">
        <f t="shared" si="32"/>
        <v>2023</v>
      </c>
      <c r="M339" s="12">
        <f t="shared" si="33"/>
        <v>3</v>
      </c>
      <c r="N339" s="5" t="str">
        <f t="shared" si="34"/>
        <v>Wednesday</v>
      </c>
      <c r="O339" s="5" t="str">
        <f t="shared" si="35"/>
        <v>July</v>
      </c>
    </row>
    <row r="340" spans="1:15" x14ac:dyDescent="0.3">
      <c r="A340" s="8">
        <v>339</v>
      </c>
      <c r="B340" s="25">
        <v>44988</v>
      </c>
      <c r="C340" s="5" t="s">
        <v>347</v>
      </c>
      <c r="D340" s="5" t="s">
        <v>8</v>
      </c>
      <c r="E340" s="12">
        <v>22</v>
      </c>
      <c r="F340" s="2" t="str">
        <f t="shared" si="30"/>
        <v>Young</v>
      </c>
      <c r="G340" s="5" t="s">
        <v>11</v>
      </c>
      <c r="H340" s="8">
        <v>2</v>
      </c>
      <c r="I340" s="2">
        <v>25</v>
      </c>
      <c r="J340" s="2">
        <v>50</v>
      </c>
      <c r="K340" t="str">
        <f t="shared" si="31"/>
        <v>Low</v>
      </c>
      <c r="L340" s="12">
        <f t="shared" si="32"/>
        <v>2023</v>
      </c>
      <c r="M340" s="12">
        <f t="shared" si="33"/>
        <v>1</v>
      </c>
      <c r="N340" s="5" t="str">
        <f t="shared" si="34"/>
        <v>Friday</v>
      </c>
      <c r="O340" s="5" t="str">
        <f t="shared" si="35"/>
        <v>March</v>
      </c>
    </row>
    <row r="341" spans="1:15" x14ac:dyDescent="0.3">
      <c r="A341" s="8">
        <v>340</v>
      </c>
      <c r="B341" s="25">
        <v>45218</v>
      </c>
      <c r="C341" s="5" t="s">
        <v>348</v>
      </c>
      <c r="D341" s="5" t="s">
        <v>8</v>
      </c>
      <c r="E341" s="12">
        <v>36</v>
      </c>
      <c r="F341" s="2" t="str">
        <f t="shared" si="30"/>
        <v>Adult</v>
      </c>
      <c r="G341" s="5" t="s">
        <v>9</v>
      </c>
      <c r="H341" s="8">
        <v>4</v>
      </c>
      <c r="I341" s="2">
        <v>300</v>
      </c>
      <c r="J341" s="2">
        <v>1200</v>
      </c>
      <c r="K341" t="str">
        <f t="shared" si="31"/>
        <v>Medium</v>
      </c>
      <c r="L341" s="12">
        <f t="shared" si="32"/>
        <v>2023</v>
      </c>
      <c r="M341" s="12">
        <f t="shared" si="33"/>
        <v>4</v>
      </c>
      <c r="N341" s="5" t="str">
        <f t="shared" si="34"/>
        <v>Thursday</v>
      </c>
      <c r="O341" s="5" t="str">
        <f t="shared" si="35"/>
        <v>October</v>
      </c>
    </row>
    <row r="342" spans="1:15" x14ac:dyDescent="0.3">
      <c r="A342" s="8">
        <v>341</v>
      </c>
      <c r="B342" s="25">
        <v>45053</v>
      </c>
      <c r="C342" s="5" t="s">
        <v>349</v>
      </c>
      <c r="D342" s="5" t="s">
        <v>5</v>
      </c>
      <c r="E342" s="12">
        <v>31</v>
      </c>
      <c r="F342" s="2" t="str">
        <f t="shared" si="30"/>
        <v>Adult</v>
      </c>
      <c r="G342" s="5" t="s">
        <v>9</v>
      </c>
      <c r="H342" s="8">
        <v>4</v>
      </c>
      <c r="I342" s="2">
        <v>50</v>
      </c>
      <c r="J342" s="2">
        <v>200</v>
      </c>
      <c r="K342" t="str">
        <f t="shared" si="31"/>
        <v>Low</v>
      </c>
      <c r="L342" s="12">
        <f t="shared" si="32"/>
        <v>2023</v>
      </c>
      <c r="M342" s="12">
        <f t="shared" si="33"/>
        <v>2</v>
      </c>
      <c r="N342" s="5" t="str">
        <f t="shared" si="34"/>
        <v>Sunday</v>
      </c>
      <c r="O342" s="5" t="str">
        <f t="shared" si="35"/>
        <v>May</v>
      </c>
    </row>
    <row r="343" spans="1:15" x14ac:dyDescent="0.3">
      <c r="A343" s="8">
        <v>342</v>
      </c>
      <c r="B343" s="25">
        <v>45223</v>
      </c>
      <c r="C343" s="5" t="s">
        <v>350</v>
      </c>
      <c r="D343" s="5" t="s">
        <v>8</v>
      </c>
      <c r="E343" s="12">
        <v>43</v>
      </c>
      <c r="F343" s="2" t="str">
        <f t="shared" si="30"/>
        <v>Adult</v>
      </c>
      <c r="G343" s="5" t="s">
        <v>9</v>
      </c>
      <c r="H343" s="8">
        <v>4</v>
      </c>
      <c r="I343" s="2">
        <v>500</v>
      </c>
      <c r="J343" s="2">
        <v>2000</v>
      </c>
      <c r="K343" t="str">
        <f t="shared" si="31"/>
        <v>High</v>
      </c>
      <c r="L343" s="12">
        <f t="shared" si="32"/>
        <v>2023</v>
      </c>
      <c r="M343" s="12">
        <f t="shared" si="33"/>
        <v>4</v>
      </c>
      <c r="N343" s="5" t="str">
        <f t="shared" si="34"/>
        <v>Tuesday</v>
      </c>
      <c r="O343" s="5" t="str">
        <f t="shared" si="35"/>
        <v>October</v>
      </c>
    </row>
    <row r="344" spans="1:15" x14ac:dyDescent="0.3">
      <c r="A344" s="8">
        <v>343</v>
      </c>
      <c r="B344" s="25">
        <v>45231</v>
      </c>
      <c r="C344" s="5" t="s">
        <v>351</v>
      </c>
      <c r="D344" s="5" t="s">
        <v>5</v>
      </c>
      <c r="E344" s="12">
        <v>21</v>
      </c>
      <c r="F344" s="2" t="str">
        <f t="shared" si="30"/>
        <v>Young</v>
      </c>
      <c r="G344" s="5" t="s">
        <v>11</v>
      </c>
      <c r="H344" s="8">
        <v>2</v>
      </c>
      <c r="I344" s="2">
        <v>25</v>
      </c>
      <c r="J344" s="2">
        <v>50</v>
      </c>
      <c r="K344" t="str">
        <f t="shared" si="31"/>
        <v>Low</v>
      </c>
      <c r="L344" s="12">
        <f t="shared" si="32"/>
        <v>2023</v>
      </c>
      <c r="M344" s="12">
        <f t="shared" si="33"/>
        <v>4</v>
      </c>
      <c r="N344" s="5" t="str">
        <f t="shared" si="34"/>
        <v>Wednesday</v>
      </c>
      <c r="O344" s="5" t="str">
        <f t="shared" si="35"/>
        <v>November</v>
      </c>
    </row>
    <row r="345" spans="1:15" x14ac:dyDescent="0.3">
      <c r="A345" s="8">
        <v>344</v>
      </c>
      <c r="B345" s="25">
        <v>44947</v>
      </c>
      <c r="C345" s="5" t="s">
        <v>352</v>
      </c>
      <c r="D345" s="5" t="s">
        <v>8</v>
      </c>
      <c r="E345" s="12">
        <v>42</v>
      </c>
      <c r="F345" s="2" t="str">
        <f t="shared" si="30"/>
        <v>Adult</v>
      </c>
      <c r="G345" s="5" t="s">
        <v>6</v>
      </c>
      <c r="H345" s="8">
        <v>1</v>
      </c>
      <c r="I345" s="2">
        <v>30</v>
      </c>
      <c r="J345" s="2">
        <v>30</v>
      </c>
      <c r="K345" t="str">
        <f t="shared" si="31"/>
        <v>Low</v>
      </c>
      <c r="L345" s="12">
        <f t="shared" si="32"/>
        <v>2023</v>
      </c>
      <c r="M345" s="12">
        <f t="shared" si="33"/>
        <v>1</v>
      </c>
      <c r="N345" s="5" t="str">
        <f t="shared" si="34"/>
        <v>Saturday</v>
      </c>
      <c r="O345" s="5" t="str">
        <f t="shared" si="35"/>
        <v>January</v>
      </c>
    </row>
    <row r="346" spans="1:15" x14ac:dyDescent="0.3">
      <c r="A346" s="8">
        <v>345</v>
      </c>
      <c r="B346" s="25">
        <v>45244</v>
      </c>
      <c r="C346" s="5" t="s">
        <v>353</v>
      </c>
      <c r="D346" s="5" t="s">
        <v>5</v>
      </c>
      <c r="E346" s="12">
        <v>62</v>
      </c>
      <c r="F346" s="2" t="str">
        <f t="shared" si="30"/>
        <v>Senior</v>
      </c>
      <c r="G346" s="5" t="s">
        <v>11</v>
      </c>
      <c r="H346" s="8">
        <v>1</v>
      </c>
      <c r="I346" s="2">
        <v>30</v>
      </c>
      <c r="J346" s="2">
        <v>30</v>
      </c>
      <c r="K346" t="str">
        <f t="shared" si="31"/>
        <v>Low</v>
      </c>
      <c r="L346" s="12">
        <f t="shared" si="32"/>
        <v>2023</v>
      </c>
      <c r="M346" s="12">
        <f t="shared" si="33"/>
        <v>4</v>
      </c>
      <c r="N346" s="5" t="str">
        <f t="shared" si="34"/>
        <v>Tuesday</v>
      </c>
      <c r="O346" s="5" t="str">
        <f t="shared" si="35"/>
        <v>November</v>
      </c>
    </row>
    <row r="347" spans="1:15" x14ac:dyDescent="0.3">
      <c r="A347" s="8">
        <v>346</v>
      </c>
      <c r="B347" s="25">
        <v>44968</v>
      </c>
      <c r="C347" s="5" t="s">
        <v>354</v>
      </c>
      <c r="D347" s="5" t="s">
        <v>5</v>
      </c>
      <c r="E347" s="12">
        <v>59</v>
      </c>
      <c r="F347" s="2" t="str">
        <f t="shared" si="30"/>
        <v>Adult</v>
      </c>
      <c r="G347" s="5" t="s">
        <v>9</v>
      </c>
      <c r="H347" s="8">
        <v>2</v>
      </c>
      <c r="I347" s="2">
        <v>500</v>
      </c>
      <c r="J347" s="2">
        <v>1000</v>
      </c>
      <c r="K347" t="str">
        <f t="shared" si="31"/>
        <v>Medium</v>
      </c>
      <c r="L347" s="12">
        <f t="shared" si="32"/>
        <v>2023</v>
      </c>
      <c r="M347" s="12">
        <f t="shared" si="33"/>
        <v>1</v>
      </c>
      <c r="N347" s="5" t="str">
        <f t="shared" si="34"/>
        <v>Saturday</v>
      </c>
      <c r="O347" s="5" t="str">
        <f t="shared" si="35"/>
        <v>February</v>
      </c>
    </row>
    <row r="348" spans="1:15" x14ac:dyDescent="0.3">
      <c r="A348" s="8">
        <v>347</v>
      </c>
      <c r="B348" s="25">
        <v>45141</v>
      </c>
      <c r="C348" s="5" t="s">
        <v>355</v>
      </c>
      <c r="D348" s="5" t="s">
        <v>5</v>
      </c>
      <c r="E348" s="12">
        <v>42</v>
      </c>
      <c r="F348" s="2" t="str">
        <f t="shared" si="30"/>
        <v>Adult</v>
      </c>
      <c r="G348" s="5" t="s">
        <v>11</v>
      </c>
      <c r="H348" s="8">
        <v>1</v>
      </c>
      <c r="I348" s="2">
        <v>25</v>
      </c>
      <c r="J348" s="2">
        <v>25</v>
      </c>
      <c r="K348" t="str">
        <f t="shared" si="31"/>
        <v>Low</v>
      </c>
      <c r="L348" s="12">
        <f t="shared" si="32"/>
        <v>2023</v>
      </c>
      <c r="M348" s="12">
        <f t="shared" si="33"/>
        <v>3</v>
      </c>
      <c r="N348" s="5" t="str">
        <f t="shared" si="34"/>
        <v>Thursday</v>
      </c>
      <c r="O348" s="5" t="str">
        <f t="shared" si="35"/>
        <v>August</v>
      </c>
    </row>
    <row r="349" spans="1:15" x14ac:dyDescent="0.3">
      <c r="A349" s="8">
        <v>348</v>
      </c>
      <c r="B349" s="25">
        <v>45263</v>
      </c>
      <c r="C349" s="5" t="s">
        <v>356</v>
      </c>
      <c r="D349" s="5" t="s">
        <v>8</v>
      </c>
      <c r="E349" s="12">
        <v>35</v>
      </c>
      <c r="F349" s="2" t="str">
        <f t="shared" si="30"/>
        <v>Adult</v>
      </c>
      <c r="G349" s="5" t="s">
        <v>11</v>
      </c>
      <c r="H349" s="8">
        <v>2</v>
      </c>
      <c r="I349" s="2">
        <v>300</v>
      </c>
      <c r="J349" s="2">
        <v>600</v>
      </c>
      <c r="K349" t="str">
        <f t="shared" si="31"/>
        <v>Medium</v>
      </c>
      <c r="L349" s="12">
        <f t="shared" si="32"/>
        <v>2023</v>
      </c>
      <c r="M349" s="12">
        <f t="shared" si="33"/>
        <v>4</v>
      </c>
      <c r="N349" s="5" t="str">
        <f t="shared" si="34"/>
        <v>Sunday</v>
      </c>
      <c r="O349" s="5" t="str">
        <f t="shared" si="35"/>
        <v>December</v>
      </c>
    </row>
    <row r="350" spans="1:15" x14ac:dyDescent="0.3">
      <c r="A350" s="8">
        <v>349</v>
      </c>
      <c r="B350" s="25">
        <v>45225</v>
      </c>
      <c r="C350" s="5" t="s">
        <v>357</v>
      </c>
      <c r="D350" s="5" t="s">
        <v>8</v>
      </c>
      <c r="E350" s="12">
        <v>57</v>
      </c>
      <c r="F350" s="2" t="str">
        <f t="shared" si="30"/>
        <v>Adult</v>
      </c>
      <c r="G350" s="5" t="s">
        <v>6</v>
      </c>
      <c r="H350" s="8">
        <v>1</v>
      </c>
      <c r="I350" s="2">
        <v>50</v>
      </c>
      <c r="J350" s="2">
        <v>50</v>
      </c>
      <c r="K350" t="str">
        <f t="shared" si="31"/>
        <v>Low</v>
      </c>
      <c r="L350" s="12">
        <f t="shared" si="32"/>
        <v>2023</v>
      </c>
      <c r="M350" s="12">
        <f t="shared" si="33"/>
        <v>4</v>
      </c>
      <c r="N350" s="5" t="str">
        <f t="shared" si="34"/>
        <v>Thursday</v>
      </c>
      <c r="O350" s="5" t="str">
        <f t="shared" si="35"/>
        <v>October</v>
      </c>
    </row>
    <row r="351" spans="1:15" x14ac:dyDescent="0.3">
      <c r="A351" s="8">
        <v>350</v>
      </c>
      <c r="B351" s="25">
        <v>45216</v>
      </c>
      <c r="C351" s="5" t="s">
        <v>358</v>
      </c>
      <c r="D351" s="5" t="s">
        <v>5</v>
      </c>
      <c r="E351" s="12">
        <v>25</v>
      </c>
      <c r="F351" s="2" t="str">
        <f t="shared" si="30"/>
        <v>Young</v>
      </c>
      <c r="G351" s="5" t="s">
        <v>6</v>
      </c>
      <c r="H351" s="8">
        <v>3</v>
      </c>
      <c r="I351" s="2">
        <v>25</v>
      </c>
      <c r="J351" s="2">
        <v>75</v>
      </c>
      <c r="K351" t="str">
        <f t="shared" si="31"/>
        <v>Low</v>
      </c>
      <c r="L351" s="12">
        <f t="shared" si="32"/>
        <v>2023</v>
      </c>
      <c r="M351" s="12">
        <f t="shared" si="33"/>
        <v>4</v>
      </c>
      <c r="N351" s="5" t="str">
        <f t="shared" si="34"/>
        <v>Tuesday</v>
      </c>
      <c r="O351" s="5" t="str">
        <f t="shared" si="35"/>
        <v>October</v>
      </c>
    </row>
    <row r="352" spans="1:15" x14ac:dyDescent="0.3">
      <c r="A352" s="8">
        <v>351</v>
      </c>
      <c r="B352" s="25">
        <v>45194</v>
      </c>
      <c r="C352" s="5" t="s">
        <v>359</v>
      </c>
      <c r="D352" s="5" t="s">
        <v>8</v>
      </c>
      <c r="E352" s="12">
        <v>56</v>
      </c>
      <c r="F352" s="2" t="str">
        <f t="shared" si="30"/>
        <v>Adult</v>
      </c>
      <c r="G352" s="5" t="s">
        <v>9</v>
      </c>
      <c r="H352" s="8">
        <v>3</v>
      </c>
      <c r="I352" s="2">
        <v>30</v>
      </c>
      <c r="J352" s="2">
        <v>90</v>
      </c>
      <c r="K352" t="str">
        <f t="shared" si="31"/>
        <v>Low</v>
      </c>
      <c r="L352" s="12">
        <f t="shared" si="32"/>
        <v>2023</v>
      </c>
      <c r="M352" s="12">
        <f t="shared" si="33"/>
        <v>3</v>
      </c>
      <c r="N352" s="5" t="str">
        <f t="shared" si="34"/>
        <v>Monday</v>
      </c>
      <c r="O352" s="5" t="str">
        <f t="shared" si="35"/>
        <v>September</v>
      </c>
    </row>
    <row r="353" spans="1:15" x14ac:dyDescent="0.3">
      <c r="A353" s="8">
        <v>352</v>
      </c>
      <c r="B353" s="25">
        <v>45088</v>
      </c>
      <c r="C353" s="5" t="s">
        <v>360</v>
      </c>
      <c r="D353" s="5" t="s">
        <v>5</v>
      </c>
      <c r="E353" s="12">
        <v>57</v>
      </c>
      <c r="F353" s="2" t="str">
        <f t="shared" si="30"/>
        <v>Adult</v>
      </c>
      <c r="G353" s="5" t="s">
        <v>11</v>
      </c>
      <c r="H353" s="8">
        <v>2</v>
      </c>
      <c r="I353" s="2">
        <v>500</v>
      </c>
      <c r="J353" s="2">
        <v>1000</v>
      </c>
      <c r="K353" t="str">
        <f t="shared" si="31"/>
        <v>Medium</v>
      </c>
      <c r="L353" s="12">
        <f t="shared" si="32"/>
        <v>2023</v>
      </c>
      <c r="M353" s="12">
        <f t="shared" si="33"/>
        <v>2</v>
      </c>
      <c r="N353" s="5" t="str">
        <f t="shared" si="34"/>
        <v>Sunday</v>
      </c>
      <c r="O353" s="5" t="str">
        <f t="shared" si="35"/>
        <v>June</v>
      </c>
    </row>
    <row r="354" spans="1:15" x14ac:dyDescent="0.3">
      <c r="A354" s="8">
        <v>353</v>
      </c>
      <c r="B354" s="25">
        <v>45060</v>
      </c>
      <c r="C354" s="5" t="s">
        <v>361</v>
      </c>
      <c r="D354" s="5" t="s">
        <v>5</v>
      </c>
      <c r="E354" s="12">
        <v>31</v>
      </c>
      <c r="F354" s="2" t="str">
        <f t="shared" si="30"/>
        <v>Adult</v>
      </c>
      <c r="G354" s="5" t="s">
        <v>11</v>
      </c>
      <c r="H354" s="8">
        <v>1</v>
      </c>
      <c r="I354" s="2">
        <v>500</v>
      </c>
      <c r="J354" s="2">
        <v>500</v>
      </c>
      <c r="K354" t="str">
        <f t="shared" si="31"/>
        <v>Low</v>
      </c>
      <c r="L354" s="12">
        <f t="shared" si="32"/>
        <v>2023</v>
      </c>
      <c r="M354" s="12">
        <f t="shared" si="33"/>
        <v>2</v>
      </c>
      <c r="N354" s="5" t="str">
        <f t="shared" si="34"/>
        <v>Sunday</v>
      </c>
      <c r="O354" s="5" t="str">
        <f t="shared" si="35"/>
        <v>May</v>
      </c>
    </row>
    <row r="355" spans="1:15" x14ac:dyDescent="0.3">
      <c r="A355" s="8">
        <v>354</v>
      </c>
      <c r="B355" s="25">
        <v>45031</v>
      </c>
      <c r="C355" s="5" t="s">
        <v>362</v>
      </c>
      <c r="D355" s="5" t="s">
        <v>8</v>
      </c>
      <c r="E355" s="12">
        <v>49</v>
      </c>
      <c r="F355" s="2" t="str">
        <f t="shared" si="30"/>
        <v>Adult</v>
      </c>
      <c r="G355" s="5" t="s">
        <v>6</v>
      </c>
      <c r="H355" s="8">
        <v>4</v>
      </c>
      <c r="I355" s="2">
        <v>50</v>
      </c>
      <c r="J355" s="2">
        <v>200</v>
      </c>
      <c r="K355" t="str">
        <f t="shared" si="31"/>
        <v>Low</v>
      </c>
      <c r="L355" s="12">
        <f t="shared" si="32"/>
        <v>2023</v>
      </c>
      <c r="M355" s="12">
        <f t="shared" si="33"/>
        <v>2</v>
      </c>
      <c r="N355" s="5" t="str">
        <f t="shared" si="34"/>
        <v>Saturday</v>
      </c>
      <c r="O355" s="5" t="str">
        <f t="shared" si="35"/>
        <v>April</v>
      </c>
    </row>
    <row r="356" spans="1:15" x14ac:dyDescent="0.3">
      <c r="A356" s="8">
        <v>355</v>
      </c>
      <c r="B356" s="25">
        <v>45269</v>
      </c>
      <c r="C356" s="5" t="s">
        <v>363</v>
      </c>
      <c r="D356" s="5" t="s">
        <v>8</v>
      </c>
      <c r="E356" s="12">
        <v>55</v>
      </c>
      <c r="F356" s="2" t="str">
        <f t="shared" si="30"/>
        <v>Adult</v>
      </c>
      <c r="G356" s="5" t="s">
        <v>11</v>
      </c>
      <c r="H356" s="8">
        <v>1</v>
      </c>
      <c r="I356" s="2">
        <v>500</v>
      </c>
      <c r="J356" s="2">
        <v>500</v>
      </c>
      <c r="K356" t="str">
        <f t="shared" si="31"/>
        <v>Low</v>
      </c>
      <c r="L356" s="12">
        <f t="shared" si="32"/>
        <v>2023</v>
      </c>
      <c r="M356" s="12">
        <f t="shared" si="33"/>
        <v>4</v>
      </c>
      <c r="N356" s="5" t="str">
        <f t="shared" si="34"/>
        <v>Saturday</v>
      </c>
      <c r="O356" s="5" t="str">
        <f t="shared" si="35"/>
        <v>December</v>
      </c>
    </row>
    <row r="357" spans="1:15" x14ac:dyDescent="0.3">
      <c r="A357" s="8">
        <v>356</v>
      </c>
      <c r="B357" s="25">
        <v>45087</v>
      </c>
      <c r="C357" s="5" t="s">
        <v>364</v>
      </c>
      <c r="D357" s="5" t="s">
        <v>5</v>
      </c>
      <c r="E357" s="12">
        <v>50</v>
      </c>
      <c r="F357" s="2" t="str">
        <f t="shared" si="30"/>
        <v>Adult</v>
      </c>
      <c r="G357" s="5" t="s">
        <v>11</v>
      </c>
      <c r="H357" s="8">
        <v>3</v>
      </c>
      <c r="I357" s="2">
        <v>500</v>
      </c>
      <c r="J357" s="2">
        <v>1500</v>
      </c>
      <c r="K357" t="str">
        <f t="shared" si="31"/>
        <v>Medium</v>
      </c>
      <c r="L357" s="12">
        <f t="shared" si="32"/>
        <v>2023</v>
      </c>
      <c r="M357" s="12">
        <f t="shared" si="33"/>
        <v>2</v>
      </c>
      <c r="N357" s="5" t="str">
        <f t="shared" si="34"/>
        <v>Saturday</v>
      </c>
      <c r="O357" s="5" t="str">
        <f t="shared" si="35"/>
        <v>June</v>
      </c>
    </row>
    <row r="358" spans="1:15" x14ac:dyDescent="0.3">
      <c r="A358" s="8">
        <v>357</v>
      </c>
      <c r="B358" s="25">
        <v>45049</v>
      </c>
      <c r="C358" s="5" t="s">
        <v>365</v>
      </c>
      <c r="D358" s="5" t="s">
        <v>8</v>
      </c>
      <c r="E358" s="12">
        <v>40</v>
      </c>
      <c r="F358" s="2" t="str">
        <f t="shared" si="30"/>
        <v>Adult</v>
      </c>
      <c r="G358" s="5" t="s">
        <v>11</v>
      </c>
      <c r="H358" s="8">
        <v>3</v>
      </c>
      <c r="I358" s="2">
        <v>25</v>
      </c>
      <c r="J358" s="2">
        <v>75</v>
      </c>
      <c r="K358" t="str">
        <f t="shared" si="31"/>
        <v>Low</v>
      </c>
      <c r="L358" s="12">
        <f t="shared" si="32"/>
        <v>2023</v>
      </c>
      <c r="M358" s="12">
        <f t="shared" si="33"/>
        <v>2</v>
      </c>
      <c r="N358" s="5" t="str">
        <f t="shared" si="34"/>
        <v>Wednesday</v>
      </c>
      <c r="O358" s="5" t="str">
        <f t="shared" si="35"/>
        <v>May</v>
      </c>
    </row>
    <row r="359" spans="1:15" x14ac:dyDescent="0.3">
      <c r="A359" s="8">
        <v>358</v>
      </c>
      <c r="B359" s="25">
        <v>45062</v>
      </c>
      <c r="C359" s="5" t="s">
        <v>366</v>
      </c>
      <c r="D359" s="5" t="s">
        <v>8</v>
      </c>
      <c r="E359" s="12">
        <v>32</v>
      </c>
      <c r="F359" s="2" t="str">
        <f t="shared" si="30"/>
        <v>Adult</v>
      </c>
      <c r="G359" s="5" t="s">
        <v>6</v>
      </c>
      <c r="H359" s="8">
        <v>1</v>
      </c>
      <c r="I359" s="2">
        <v>300</v>
      </c>
      <c r="J359" s="2">
        <v>300</v>
      </c>
      <c r="K359" t="str">
        <f t="shared" si="31"/>
        <v>Low</v>
      </c>
      <c r="L359" s="12">
        <f t="shared" si="32"/>
        <v>2023</v>
      </c>
      <c r="M359" s="12">
        <f t="shared" si="33"/>
        <v>2</v>
      </c>
      <c r="N359" s="5" t="str">
        <f t="shared" si="34"/>
        <v>Tuesday</v>
      </c>
      <c r="O359" s="5" t="str">
        <f t="shared" si="35"/>
        <v>May</v>
      </c>
    </row>
    <row r="360" spans="1:15" x14ac:dyDescent="0.3">
      <c r="A360" s="8">
        <v>359</v>
      </c>
      <c r="B360" s="25">
        <v>45129</v>
      </c>
      <c r="C360" s="5" t="s">
        <v>367</v>
      </c>
      <c r="D360" s="5" t="s">
        <v>5</v>
      </c>
      <c r="E360" s="12">
        <v>50</v>
      </c>
      <c r="F360" s="2" t="str">
        <f t="shared" si="30"/>
        <v>Adult</v>
      </c>
      <c r="G360" s="5" t="s">
        <v>9</v>
      </c>
      <c r="H360" s="8">
        <v>1</v>
      </c>
      <c r="I360" s="2">
        <v>50</v>
      </c>
      <c r="J360" s="2">
        <v>50</v>
      </c>
      <c r="K360" t="str">
        <f t="shared" si="31"/>
        <v>Low</v>
      </c>
      <c r="L360" s="12">
        <f t="shared" si="32"/>
        <v>2023</v>
      </c>
      <c r="M360" s="12">
        <f t="shared" si="33"/>
        <v>3</v>
      </c>
      <c r="N360" s="5" t="str">
        <f t="shared" si="34"/>
        <v>Saturday</v>
      </c>
      <c r="O360" s="5" t="str">
        <f t="shared" si="35"/>
        <v>July</v>
      </c>
    </row>
    <row r="361" spans="1:15" x14ac:dyDescent="0.3">
      <c r="A361" s="8">
        <v>360</v>
      </c>
      <c r="B361" s="25">
        <v>44994</v>
      </c>
      <c r="C361" s="5" t="s">
        <v>368</v>
      </c>
      <c r="D361" s="5" t="s">
        <v>5</v>
      </c>
      <c r="E361" s="12">
        <v>42</v>
      </c>
      <c r="F361" s="2" t="str">
        <f t="shared" si="30"/>
        <v>Adult</v>
      </c>
      <c r="G361" s="5" t="s">
        <v>9</v>
      </c>
      <c r="H361" s="8">
        <v>4</v>
      </c>
      <c r="I361" s="2">
        <v>25</v>
      </c>
      <c r="J361" s="2">
        <v>100</v>
      </c>
      <c r="K361" t="str">
        <f t="shared" si="31"/>
        <v>Low</v>
      </c>
      <c r="L361" s="12">
        <f t="shared" si="32"/>
        <v>2023</v>
      </c>
      <c r="M361" s="12">
        <f t="shared" si="33"/>
        <v>1</v>
      </c>
      <c r="N361" s="5" t="str">
        <f t="shared" si="34"/>
        <v>Thursday</v>
      </c>
      <c r="O361" s="5" t="str">
        <f t="shared" si="35"/>
        <v>March</v>
      </c>
    </row>
    <row r="362" spans="1:15" x14ac:dyDescent="0.3">
      <c r="A362" s="8">
        <v>361</v>
      </c>
      <c r="B362" s="25">
        <v>45270</v>
      </c>
      <c r="C362" s="5" t="s">
        <v>369</v>
      </c>
      <c r="D362" s="5" t="s">
        <v>8</v>
      </c>
      <c r="E362" s="12">
        <v>34</v>
      </c>
      <c r="F362" s="2" t="str">
        <f t="shared" si="30"/>
        <v>Adult</v>
      </c>
      <c r="G362" s="5" t="s">
        <v>11</v>
      </c>
      <c r="H362" s="8">
        <v>4</v>
      </c>
      <c r="I362" s="2">
        <v>300</v>
      </c>
      <c r="J362" s="2">
        <v>1200</v>
      </c>
      <c r="K362" t="str">
        <f t="shared" si="31"/>
        <v>Medium</v>
      </c>
      <c r="L362" s="12">
        <f t="shared" si="32"/>
        <v>2023</v>
      </c>
      <c r="M362" s="12">
        <f t="shared" si="33"/>
        <v>4</v>
      </c>
      <c r="N362" s="5" t="str">
        <f t="shared" si="34"/>
        <v>Sunday</v>
      </c>
      <c r="O362" s="5" t="str">
        <f t="shared" si="35"/>
        <v>December</v>
      </c>
    </row>
    <row r="363" spans="1:15" x14ac:dyDescent="0.3">
      <c r="A363" s="8">
        <v>362</v>
      </c>
      <c r="B363" s="25">
        <v>45257</v>
      </c>
      <c r="C363" s="5" t="s">
        <v>370</v>
      </c>
      <c r="D363" s="5" t="s">
        <v>5</v>
      </c>
      <c r="E363" s="12">
        <v>50</v>
      </c>
      <c r="F363" s="2" t="str">
        <f t="shared" si="30"/>
        <v>Adult</v>
      </c>
      <c r="G363" s="5" t="s">
        <v>9</v>
      </c>
      <c r="H363" s="8">
        <v>1</v>
      </c>
      <c r="I363" s="2">
        <v>25</v>
      </c>
      <c r="J363" s="2">
        <v>25</v>
      </c>
      <c r="K363" t="str">
        <f t="shared" si="31"/>
        <v>Low</v>
      </c>
      <c r="L363" s="12">
        <f t="shared" si="32"/>
        <v>2023</v>
      </c>
      <c r="M363" s="12">
        <f t="shared" si="33"/>
        <v>4</v>
      </c>
      <c r="N363" s="5" t="str">
        <f t="shared" si="34"/>
        <v>Monday</v>
      </c>
      <c r="O363" s="5" t="str">
        <f t="shared" si="35"/>
        <v>November</v>
      </c>
    </row>
    <row r="364" spans="1:15" x14ac:dyDescent="0.3">
      <c r="A364" s="8">
        <v>363</v>
      </c>
      <c r="B364" s="25">
        <v>45080</v>
      </c>
      <c r="C364" s="5" t="s">
        <v>371</v>
      </c>
      <c r="D364" s="5" t="s">
        <v>5</v>
      </c>
      <c r="E364" s="12">
        <v>64</v>
      </c>
      <c r="F364" s="2" t="str">
        <f t="shared" si="30"/>
        <v>Senior</v>
      </c>
      <c r="G364" s="5" t="s">
        <v>6</v>
      </c>
      <c r="H364" s="8">
        <v>1</v>
      </c>
      <c r="I364" s="2">
        <v>25</v>
      </c>
      <c r="J364" s="2">
        <v>25</v>
      </c>
      <c r="K364" t="str">
        <f t="shared" si="31"/>
        <v>Low</v>
      </c>
      <c r="L364" s="12">
        <f t="shared" si="32"/>
        <v>2023</v>
      </c>
      <c r="M364" s="12">
        <f t="shared" si="33"/>
        <v>2</v>
      </c>
      <c r="N364" s="5" t="str">
        <f t="shared" si="34"/>
        <v>Saturday</v>
      </c>
      <c r="O364" s="5" t="str">
        <f t="shared" si="35"/>
        <v>June</v>
      </c>
    </row>
    <row r="365" spans="1:15" x14ac:dyDescent="0.3">
      <c r="A365" s="8">
        <v>364</v>
      </c>
      <c r="B365" s="25">
        <v>45161</v>
      </c>
      <c r="C365" s="5" t="s">
        <v>372</v>
      </c>
      <c r="D365" s="5" t="s">
        <v>8</v>
      </c>
      <c r="E365" s="12">
        <v>19</v>
      </c>
      <c r="F365" s="2" t="str">
        <f t="shared" si="30"/>
        <v>Young</v>
      </c>
      <c r="G365" s="5" t="s">
        <v>6</v>
      </c>
      <c r="H365" s="8">
        <v>1</v>
      </c>
      <c r="I365" s="2">
        <v>500</v>
      </c>
      <c r="J365" s="2">
        <v>500</v>
      </c>
      <c r="K365" t="str">
        <f t="shared" si="31"/>
        <v>Low</v>
      </c>
      <c r="L365" s="12">
        <f t="shared" si="32"/>
        <v>2023</v>
      </c>
      <c r="M365" s="12">
        <f t="shared" si="33"/>
        <v>3</v>
      </c>
      <c r="N365" s="5" t="str">
        <f t="shared" si="34"/>
        <v>Wednesday</v>
      </c>
      <c r="O365" s="5" t="str">
        <f t="shared" si="35"/>
        <v>August</v>
      </c>
    </row>
    <row r="366" spans="1:15" x14ac:dyDescent="0.3">
      <c r="A366" s="8">
        <v>365</v>
      </c>
      <c r="B366" s="25">
        <v>45088</v>
      </c>
      <c r="C366" s="5" t="s">
        <v>373</v>
      </c>
      <c r="D366" s="5" t="s">
        <v>5</v>
      </c>
      <c r="E366" s="12">
        <v>31</v>
      </c>
      <c r="F366" s="2" t="str">
        <f t="shared" si="30"/>
        <v>Adult</v>
      </c>
      <c r="G366" s="5" t="s">
        <v>9</v>
      </c>
      <c r="H366" s="8">
        <v>1</v>
      </c>
      <c r="I366" s="2">
        <v>300</v>
      </c>
      <c r="J366" s="2">
        <v>300</v>
      </c>
      <c r="K366" t="str">
        <f t="shared" si="31"/>
        <v>Low</v>
      </c>
      <c r="L366" s="12">
        <f t="shared" si="32"/>
        <v>2023</v>
      </c>
      <c r="M366" s="12">
        <f t="shared" si="33"/>
        <v>2</v>
      </c>
      <c r="N366" s="5" t="str">
        <f t="shared" si="34"/>
        <v>Sunday</v>
      </c>
      <c r="O366" s="5" t="str">
        <f t="shared" si="35"/>
        <v>June</v>
      </c>
    </row>
    <row r="367" spans="1:15" x14ac:dyDescent="0.3">
      <c r="A367" s="8">
        <v>366</v>
      </c>
      <c r="B367" s="25">
        <v>44964</v>
      </c>
      <c r="C367" s="5" t="s">
        <v>374</v>
      </c>
      <c r="D367" s="5" t="s">
        <v>5</v>
      </c>
      <c r="E367" s="12">
        <v>57</v>
      </c>
      <c r="F367" s="2" t="str">
        <f t="shared" si="30"/>
        <v>Adult</v>
      </c>
      <c r="G367" s="5" t="s">
        <v>9</v>
      </c>
      <c r="H367" s="8">
        <v>2</v>
      </c>
      <c r="I367" s="2">
        <v>50</v>
      </c>
      <c r="J367" s="2">
        <v>100</v>
      </c>
      <c r="K367" t="str">
        <f t="shared" si="31"/>
        <v>Low</v>
      </c>
      <c r="L367" s="12">
        <f t="shared" si="32"/>
        <v>2023</v>
      </c>
      <c r="M367" s="12">
        <f t="shared" si="33"/>
        <v>1</v>
      </c>
      <c r="N367" s="5" t="str">
        <f t="shared" si="34"/>
        <v>Tuesday</v>
      </c>
      <c r="O367" s="5" t="str">
        <f t="shared" si="35"/>
        <v>February</v>
      </c>
    </row>
    <row r="368" spans="1:15" x14ac:dyDescent="0.3">
      <c r="A368" s="8">
        <v>367</v>
      </c>
      <c r="B368" s="25">
        <v>44931</v>
      </c>
      <c r="C368" s="5" t="s">
        <v>375</v>
      </c>
      <c r="D368" s="5" t="s">
        <v>8</v>
      </c>
      <c r="E368" s="12">
        <v>57</v>
      </c>
      <c r="F368" s="2" t="str">
        <f t="shared" si="30"/>
        <v>Adult</v>
      </c>
      <c r="G368" s="5" t="s">
        <v>11</v>
      </c>
      <c r="H368" s="8">
        <v>1</v>
      </c>
      <c r="I368" s="2">
        <v>50</v>
      </c>
      <c r="J368" s="2">
        <v>50</v>
      </c>
      <c r="K368" t="str">
        <f t="shared" si="31"/>
        <v>Low</v>
      </c>
      <c r="L368" s="12">
        <f t="shared" si="32"/>
        <v>2023</v>
      </c>
      <c r="M368" s="12">
        <f t="shared" si="33"/>
        <v>1</v>
      </c>
      <c r="N368" s="5" t="str">
        <f t="shared" si="34"/>
        <v>Thursday</v>
      </c>
      <c r="O368" s="5" t="str">
        <f t="shared" si="35"/>
        <v>January</v>
      </c>
    </row>
    <row r="369" spans="1:15" x14ac:dyDescent="0.3">
      <c r="A369" s="8">
        <v>368</v>
      </c>
      <c r="B369" s="25">
        <v>45161</v>
      </c>
      <c r="C369" s="5" t="s">
        <v>376</v>
      </c>
      <c r="D369" s="5" t="s">
        <v>8</v>
      </c>
      <c r="E369" s="12">
        <v>56</v>
      </c>
      <c r="F369" s="2" t="str">
        <f t="shared" si="30"/>
        <v>Adult</v>
      </c>
      <c r="G369" s="5" t="s">
        <v>9</v>
      </c>
      <c r="H369" s="8">
        <v>4</v>
      </c>
      <c r="I369" s="2">
        <v>300</v>
      </c>
      <c r="J369" s="2">
        <v>1200</v>
      </c>
      <c r="K369" t="str">
        <f t="shared" si="31"/>
        <v>Medium</v>
      </c>
      <c r="L369" s="12">
        <f t="shared" si="32"/>
        <v>2023</v>
      </c>
      <c r="M369" s="12">
        <f t="shared" si="33"/>
        <v>3</v>
      </c>
      <c r="N369" s="5" t="str">
        <f t="shared" si="34"/>
        <v>Wednesday</v>
      </c>
      <c r="O369" s="5" t="str">
        <f t="shared" si="35"/>
        <v>August</v>
      </c>
    </row>
    <row r="370" spans="1:15" x14ac:dyDescent="0.3">
      <c r="A370" s="8">
        <v>369</v>
      </c>
      <c r="B370" s="25">
        <v>45245</v>
      </c>
      <c r="C370" s="5" t="s">
        <v>377</v>
      </c>
      <c r="D370" s="5" t="s">
        <v>5</v>
      </c>
      <c r="E370" s="12">
        <v>23</v>
      </c>
      <c r="F370" s="2" t="str">
        <f t="shared" si="30"/>
        <v>Young</v>
      </c>
      <c r="G370" s="5" t="s">
        <v>11</v>
      </c>
      <c r="H370" s="8">
        <v>3</v>
      </c>
      <c r="I370" s="2">
        <v>500</v>
      </c>
      <c r="J370" s="2">
        <v>1500</v>
      </c>
      <c r="K370" t="str">
        <f t="shared" si="31"/>
        <v>Medium</v>
      </c>
      <c r="L370" s="12">
        <f t="shared" si="32"/>
        <v>2023</v>
      </c>
      <c r="M370" s="12">
        <f t="shared" si="33"/>
        <v>4</v>
      </c>
      <c r="N370" s="5" t="str">
        <f t="shared" si="34"/>
        <v>Wednesday</v>
      </c>
      <c r="O370" s="5" t="str">
        <f t="shared" si="35"/>
        <v>November</v>
      </c>
    </row>
    <row r="371" spans="1:15" x14ac:dyDescent="0.3">
      <c r="A371" s="8">
        <v>370</v>
      </c>
      <c r="B371" s="25">
        <v>45215</v>
      </c>
      <c r="C371" s="5" t="s">
        <v>378</v>
      </c>
      <c r="D371" s="5" t="s">
        <v>5</v>
      </c>
      <c r="E371" s="12">
        <v>23</v>
      </c>
      <c r="F371" s="2" t="str">
        <f t="shared" si="30"/>
        <v>Young</v>
      </c>
      <c r="G371" s="5" t="s">
        <v>11</v>
      </c>
      <c r="H371" s="8">
        <v>2</v>
      </c>
      <c r="I371" s="2">
        <v>30</v>
      </c>
      <c r="J371" s="2">
        <v>60</v>
      </c>
      <c r="K371" t="str">
        <f t="shared" si="31"/>
        <v>Low</v>
      </c>
      <c r="L371" s="12">
        <f t="shared" si="32"/>
        <v>2023</v>
      </c>
      <c r="M371" s="12">
        <f t="shared" si="33"/>
        <v>4</v>
      </c>
      <c r="N371" s="5" t="str">
        <f t="shared" si="34"/>
        <v>Monday</v>
      </c>
      <c r="O371" s="5" t="str">
        <f t="shared" si="35"/>
        <v>October</v>
      </c>
    </row>
    <row r="372" spans="1:15" x14ac:dyDescent="0.3">
      <c r="A372" s="8">
        <v>371</v>
      </c>
      <c r="B372" s="25">
        <v>44978</v>
      </c>
      <c r="C372" s="5" t="s">
        <v>379</v>
      </c>
      <c r="D372" s="5" t="s">
        <v>8</v>
      </c>
      <c r="E372" s="12">
        <v>20</v>
      </c>
      <c r="F372" s="2" t="str">
        <f t="shared" si="30"/>
        <v>Young</v>
      </c>
      <c r="G372" s="5" t="s">
        <v>6</v>
      </c>
      <c r="H372" s="8">
        <v>1</v>
      </c>
      <c r="I372" s="2">
        <v>25</v>
      </c>
      <c r="J372" s="2">
        <v>25</v>
      </c>
      <c r="K372" t="str">
        <f t="shared" si="31"/>
        <v>Low</v>
      </c>
      <c r="L372" s="12">
        <f t="shared" si="32"/>
        <v>2023</v>
      </c>
      <c r="M372" s="12">
        <f t="shared" si="33"/>
        <v>1</v>
      </c>
      <c r="N372" s="5" t="str">
        <f t="shared" si="34"/>
        <v>Tuesday</v>
      </c>
      <c r="O372" s="5" t="str">
        <f t="shared" si="35"/>
        <v>February</v>
      </c>
    </row>
    <row r="373" spans="1:15" x14ac:dyDescent="0.3">
      <c r="A373" s="8">
        <v>372</v>
      </c>
      <c r="B373" s="25">
        <v>44964</v>
      </c>
      <c r="C373" s="5" t="s">
        <v>380</v>
      </c>
      <c r="D373" s="5" t="s">
        <v>8</v>
      </c>
      <c r="E373" s="12">
        <v>24</v>
      </c>
      <c r="F373" s="2" t="str">
        <f t="shared" si="30"/>
        <v>Young</v>
      </c>
      <c r="G373" s="5" t="s">
        <v>6</v>
      </c>
      <c r="H373" s="8">
        <v>3</v>
      </c>
      <c r="I373" s="2">
        <v>500</v>
      </c>
      <c r="J373" s="2">
        <v>1500</v>
      </c>
      <c r="K373" t="str">
        <f t="shared" si="31"/>
        <v>Medium</v>
      </c>
      <c r="L373" s="12">
        <f t="shared" si="32"/>
        <v>2023</v>
      </c>
      <c r="M373" s="12">
        <f t="shared" si="33"/>
        <v>1</v>
      </c>
      <c r="N373" s="5" t="str">
        <f t="shared" si="34"/>
        <v>Tuesday</v>
      </c>
      <c r="O373" s="5" t="str">
        <f t="shared" si="35"/>
        <v>February</v>
      </c>
    </row>
    <row r="374" spans="1:15" x14ac:dyDescent="0.3">
      <c r="A374" s="8">
        <v>373</v>
      </c>
      <c r="B374" s="25">
        <v>45202</v>
      </c>
      <c r="C374" s="5" t="s">
        <v>381</v>
      </c>
      <c r="D374" s="5" t="s">
        <v>8</v>
      </c>
      <c r="E374" s="12">
        <v>25</v>
      </c>
      <c r="F374" s="2" t="str">
        <f t="shared" si="30"/>
        <v>Young</v>
      </c>
      <c r="G374" s="5" t="s">
        <v>6</v>
      </c>
      <c r="H374" s="8">
        <v>2</v>
      </c>
      <c r="I374" s="2">
        <v>300</v>
      </c>
      <c r="J374" s="2">
        <v>600</v>
      </c>
      <c r="K374" t="str">
        <f t="shared" si="31"/>
        <v>Medium</v>
      </c>
      <c r="L374" s="12">
        <f t="shared" si="32"/>
        <v>2023</v>
      </c>
      <c r="M374" s="12">
        <f t="shared" si="33"/>
        <v>4</v>
      </c>
      <c r="N374" s="5" t="str">
        <f t="shared" si="34"/>
        <v>Tuesday</v>
      </c>
      <c r="O374" s="5" t="str">
        <f t="shared" si="35"/>
        <v>October</v>
      </c>
    </row>
    <row r="375" spans="1:15" x14ac:dyDescent="0.3">
      <c r="A375" s="8">
        <v>374</v>
      </c>
      <c r="B375" s="25">
        <v>45036</v>
      </c>
      <c r="C375" s="5" t="s">
        <v>382</v>
      </c>
      <c r="D375" s="5" t="s">
        <v>8</v>
      </c>
      <c r="E375" s="12">
        <v>59</v>
      </c>
      <c r="F375" s="2" t="str">
        <f t="shared" si="30"/>
        <v>Adult</v>
      </c>
      <c r="G375" s="5" t="s">
        <v>6</v>
      </c>
      <c r="H375" s="8">
        <v>3</v>
      </c>
      <c r="I375" s="2">
        <v>25</v>
      </c>
      <c r="J375" s="2">
        <v>75</v>
      </c>
      <c r="K375" t="str">
        <f t="shared" si="31"/>
        <v>Low</v>
      </c>
      <c r="L375" s="12">
        <f t="shared" si="32"/>
        <v>2023</v>
      </c>
      <c r="M375" s="12">
        <f t="shared" si="33"/>
        <v>2</v>
      </c>
      <c r="N375" s="5" t="str">
        <f t="shared" si="34"/>
        <v>Thursday</v>
      </c>
      <c r="O375" s="5" t="str">
        <f t="shared" si="35"/>
        <v>April</v>
      </c>
    </row>
    <row r="376" spans="1:15" x14ac:dyDescent="0.3">
      <c r="A376" s="8">
        <v>375</v>
      </c>
      <c r="B376" s="25">
        <v>45186</v>
      </c>
      <c r="C376" s="5" t="s">
        <v>383</v>
      </c>
      <c r="D376" s="5" t="s">
        <v>5</v>
      </c>
      <c r="E376" s="12">
        <v>32</v>
      </c>
      <c r="F376" s="2" t="str">
        <f t="shared" si="30"/>
        <v>Adult</v>
      </c>
      <c r="G376" s="5" t="s">
        <v>9</v>
      </c>
      <c r="H376" s="8">
        <v>1</v>
      </c>
      <c r="I376" s="2">
        <v>50</v>
      </c>
      <c r="J376" s="2">
        <v>50</v>
      </c>
      <c r="K376" t="str">
        <f t="shared" si="31"/>
        <v>Low</v>
      </c>
      <c r="L376" s="12">
        <f t="shared" si="32"/>
        <v>2023</v>
      </c>
      <c r="M376" s="12">
        <f t="shared" si="33"/>
        <v>3</v>
      </c>
      <c r="N376" s="5" t="str">
        <f t="shared" si="34"/>
        <v>Sunday</v>
      </c>
      <c r="O376" s="5" t="str">
        <f t="shared" si="35"/>
        <v>September</v>
      </c>
    </row>
    <row r="377" spans="1:15" x14ac:dyDescent="0.3">
      <c r="A377" s="8">
        <v>376</v>
      </c>
      <c r="B377" s="25">
        <v>45062</v>
      </c>
      <c r="C377" s="5" t="s">
        <v>384</v>
      </c>
      <c r="D377" s="5" t="s">
        <v>8</v>
      </c>
      <c r="E377" s="12">
        <v>64</v>
      </c>
      <c r="F377" s="2" t="str">
        <f t="shared" si="30"/>
        <v>Senior</v>
      </c>
      <c r="G377" s="5" t="s">
        <v>6</v>
      </c>
      <c r="H377" s="8">
        <v>1</v>
      </c>
      <c r="I377" s="2">
        <v>30</v>
      </c>
      <c r="J377" s="2">
        <v>30</v>
      </c>
      <c r="K377" t="str">
        <f t="shared" si="31"/>
        <v>Low</v>
      </c>
      <c r="L377" s="12">
        <f t="shared" si="32"/>
        <v>2023</v>
      </c>
      <c r="M377" s="12">
        <f t="shared" si="33"/>
        <v>2</v>
      </c>
      <c r="N377" s="5" t="str">
        <f t="shared" si="34"/>
        <v>Tuesday</v>
      </c>
      <c r="O377" s="5" t="str">
        <f t="shared" si="35"/>
        <v>May</v>
      </c>
    </row>
    <row r="378" spans="1:15" x14ac:dyDescent="0.3">
      <c r="A378" s="8">
        <v>377</v>
      </c>
      <c r="B378" s="25">
        <v>44994</v>
      </c>
      <c r="C378" s="5" t="s">
        <v>385</v>
      </c>
      <c r="D378" s="5" t="s">
        <v>8</v>
      </c>
      <c r="E378" s="12">
        <v>46</v>
      </c>
      <c r="F378" s="2" t="str">
        <f t="shared" si="30"/>
        <v>Adult</v>
      </c>
      <c r="G378" s="5" t="s">
        <v>9</v>
      </c>
      <c r="H378" s="8">
        <v>4</v>
      </c>
      <c r="I378" s="2">
        <v>50</v>
      </c>
      <c r="J378" s="2">
        <v>200</v>
      </c>
      <c r="K378" t="str">
        <f t="shared" si="31"/>
        <v>Low</v>
      </c>
      <c r="L378" s="12">
        <f t="shared" si="32"/>
        <v>2023</v>
      </c>
      <c r="M378" s="12">
        <f t="shared" si="33"/>
        <v>1</v>
      </c>
      <c r="N378" s="5" t="str">
        <f t="shared" si="34"/>
        <v>Thursday</v>
      </c>
      <c r="O378" s="5" t="str">
        <f t="shared" si="35"/>
        <v>March</v>
      </c>
    </row>
    <row r="379" spans="1:15" x14ac:dyDescent="0.3">
      <c r="A379" s="8">
        <v>378</v>
      </c>
      <c r="B379" s="25">
        <v>45105</v>
      </c>
      <c r="C379" s="5" t="s">
        <v>386</v>
      </c>
      <c r="D379" s="5" t="s">
        <v>5</v>
      </c>
      <c r="E379" s="12">
        <v>50</v>
      </c>
      <c r="F379" s="2" t="str">
        <f t="shared" si="30"/>
        <v>Adult</v>
      </c>
      <c r="G379" s="5" t="s">
        <v>6</v>
      </c>
      <c r="H379" s="8">
        <v>1</v>
      </c>
      <c r="I379" s="2">
        <v>300</v>
      </c>
      <c r="J379" s="2">
        <v>300</v>
      </c>
      <c r="K379" t="str">
        <f t="shared" si="31"/>
        <v>Low</v>
      </c>
      <c r="L379" s="12">
        <f t="shared" si="32"/>
        <v>2023</v>
      </c>
      <c r="M379" s="12">
        <f t="shared" si="33"/>
        <v>2</v>
      </c>
      <c r="N379" s="5" t="str">
        <f t="shared" si="34"/>
        <v>Wednesday</v>
      </c>
      <c r="O379" s="5" t="str">
        <f t="shared" si="35"/>
        <v>June</v>
      </c>
    </row>
    <row r="380" spans="1:15" x14ac:dyDescent="0.3">
      <c r="A380" s="8">
        <v>379</v>
      </c>
      <c r="B380" s="25">
        <v>44962</v>
      </c>
      <c r="C380" s="5" t="s">
        <v>387</v>
      </c>
      <c r="D380" s="5" t="s">
        <v>8</v>
      </c>
      <c r="E380" s="12">
        <v>47</v>
      </c>
      <c r="F380" s="2" t="str">
        <f t="shared" si="30"/>
        <v>Adult</v>
      </c>
      <c r="G380" s="5" t="s">
        <v>9</v>
      </c>
      <c r="H380" s="8">
        <v>1</v>
      </c>
      <c r="I380" s="2">
        <v>25</v>
      </c>
      <c r="J380" s="2">
        <v>25</v>
      </c>
      <c r="K380" t="str">
        <f t="shared" si="31"/>
        <v>Low</v>
      </c>
      <c r="L380" s="12">
        <f t="shared" si="32"/>
        <v>2023</v>
      </c>
      <c r="M380" s="12">
        <f t="shared" si="33"/>
        <v>1</v>
      </c>
      <c r="N380" s="5" t="str">
        <f t="shared" si="34"/>
        <v>Sunday</v>
      </c>
      <c r="O380" s="5" t="str">
        <f t="shared" si="35"/>
        <v>February</v>
      </c>
    </row>
    <row r="381" spans="1:15" x14ac:dyDescent="0.3">
      <c r="A381" s="8">
        <v>380</v>
      </c>
      <c r="B381" s="25">
        <v>45052</v>
      </c>
      <c r="C381" s="5" t="s">
        <v>388</v>
      </c>
      <c r="D381" s="5" t="s">
        <v>5</v>
      </c>
      <c r="E381" s="12">
        <v>56</v>
      </c>
      <c r="F381" s="2" t="str">
        <f t="shared" si="30"/>
        <v>Adult</v>
      </c>
      <c r="G381" s="5" t="s">
        <v>11</v>
      </c>
      <c r="H381" s="8">
        <v>2</v>
      </c>
      <c r="I381" s="2">
        <v>300</v>
      </c>
      <c r="J381" s="2">
        <v>600</v>
      </c>
      <c r="K381" t="str">
        <f t="shared" si="31"/>
        <v>Medium</v>
      </c>
      <c r="L381" s="12">
        <f t="shared" si="32"/>
        <v>2023</v>
      </c>
      <c r="M381" s="12">
        <f t="shared" si="33"/>
        <v>2</v>
      </c>
      <c r="N381" s="5" t="str">
        <f t="shared" si="34"/>
        <v>Saturday</v>
      </c>
      <c r="O381" s="5" t="str">
        <f t="shared" si="35"/>
        <v>May</v>
      </c>
    </row>
    <row r="382" spans="1:15" x14ac:dyDescent="0.3">
      <c r="A382" s="8">
        <v>381</v>
      </c>
      <c r="B382" s="25">
        <v>45116</v>
      </c>
      <c r="C382" s="5" t="s">
        <v>389</v>
      </c>
      <c r="D382" s="5" t="s">
        <v>8</v>
      </c>
      <c r="E382" s="12">
        <v>44</v>
      </c>
      <c r="F382" s="2" t="str">
        <f t="shared" si="30"/>
        <v>Adult</v>
      </c>
      <c r="G382" s="5" t="s">
        <v>9</v>
      </c>
      <c r="H382" s="8">
        <v>4</v>
      </c>
      <c r="I382" s="2">
        <v>25</v>
      </c>
      <c r="J382" s="2">
        <v>100</v>
      </c>
      <c r="K382" t="str">
        <f t="shared" si="31"/>
        <v>Low</v>
      </c>
      <c r="L382" s="12">
        <f t="shared" si="32"/>
        <v>2023</v>
      </c>
      <c r="M382" s="12">
        <f t="shared" si="33"/>
        <v>3</v>
      </c>
      <c r="N382" s="5" t="str">
        <f t="shared" si="34"/>
        <v>Sunday</v>
      </c>
      <c r="O382" s="5" t="str">
        <f t="shared" si="35"/>
        <v>July</v>
      </c>
    </row>
    <row r="383" spans="1:15" x14ac:dyDescent="0.3">
      <c r="A383" s="8">
        <v>382</v>
      </c>
      <c r="B383" s="25">
        <v>45072</v>
      </c>
      <c r="C383" s="5" t="s">
        <v>390</v>
      </c>
      <c r="D383" s="5" t="s">
        <v>8</v>
      </c>
      <c r="E383" s="12">
        <v>53</v>
      </c>
      <c r="F383" s="2" t="str">
        <f t="shared" si="30"/>
        <v>Adult</v>
      </c>
      <c r="G383" s="5" t="s">
        <v>9</v>
      </c>
      <c r="H383" s="8">
        <v>2</v>
      </c>
      <c r="I383" s="2">
        <v>500</v>
      </c>
      <c r="J383" s="2">
        <v>1000</v>
      </c>
      <c r="K383" t="str">
        <f t="shared" si="31"/>
        <v>Medium</v>
      </c>
      <c r="L383" s="12">
        <f t="shared" si="32"/>
        <v>2023</v>
      </c>
      <c r="M383" s="12">
        <f t="shared" si="33"/>
        <v>2</v>
      </c>
      <c r="N383" s="5" t="str">
        <f t="shared" si="34"/>
        <v>Friday</v>
      </c>
      <c r="O383" s="5" t="str">
        <f t="shared" si="35"/>
        <v>May</v>
      </c>
    </row>
    <row r="384" spans="1:15" x14ac:dyDescent="0.3">
      <c r="A384" s="8">
        <v>383</v>
      </c>
      <c r="B384" s="25">
        <v>45007</v>
      </c>
      <c r="C384" s="5" t="s">
        <v>391</v>
      </c>
      <c r="D384" s="5" t="s">
        <v>8</v>
      </c>
      <c r="E384" s="12">
        <v>46</v>
      </c>
      <c r="F384" s="2" t="str">
        <f t="shared" si="30"/>
        <v>Adult</v>
      </c>
      <c r="G384" s="5" t="s">
        <v>6</v>
      </c>
      <c r="H384" s="8">
        <v>3</v>
      </c>
      <c r="I384" s="2">
        <v>30</v>
      </c>
      <c r="J384" s="2">
        <v>90</v>
      </c>
      <c r="K384" t="str">
        <f t="shared" si="31"/>
        <v>Low</v>
      </c>
      <c r="L384" s="12">
        <f t="shared" si="32"/>
        <v>2023</v>
      </c>
      <c r="M384" s="12">
        <f t="shared" si="33"/>
        <v>1</v>
      </c>
      <c r="N384" s="5" t="str">
        <f t="shared" si="34"/>
        <v>Wednesday</v>
      </c>
      <c r="O384" s="5" t="str">
        <f t="shared" si="35"/>
        <v>March</v>
      </c>
    </row>
    <row r="385" spans="1:15" x14ac:dyDescent="0.3">
      <c r="A385" s="8">
        <v>384</v>
      </c>
      <c r="B385" s="25">
        <v>45151</v>
      </c>
      <c r="C385" s="5" t="s">
        <v>392</v>
      </c>
      <c r="D385" s="5" t="s">
        <v>5</v>
      </c>
      <c r="E385" s="12">
        <v>55</v>
      </c>
      <c r="F385" s="2" t="str">
        <f t="shared" si="30"/>
        <v>Adult</v>
      </c>
      <c r="G385" s="5" t="s">
        <v>9</v>
      </c>
      <c r="H385" s="8">
        <v>1</v>
      </c>
      <c r="I385" s="2">
        <v>500</v>
      </c>
      <c r="J385" s="2">
        <v>500</v>
      </c>
      <c r="K385" t="str">
        <f t="shared" si="31"/>
        <v>Low</v>
      </c>
      <c r="L385" s="12">
        <f t="shared" si="32"/>
        <v>2023</v>
      </c>
      <c r="M385" s="12">
        <f t="shared" si="33"/>
        <v>3</v>
      </c>
      <c r="N385" s="5" t="str">
        <f t="shared" si="34"/>
        <v>Sunday</v>
      </c>
      <c r="O385" s="5" t="str">
        <f t="shared" si="35"/>
        <v>August</v>
      </c>
    </row>
    <row r="386" spans="1:15" x14ac:dyDescent="0.3">
      <c r="A386" s="8">
        <v>385</v>
      </c>
      <c r="B386" s="25">
        <v>45205</v>
      </c>
      <c r="C386" s="5" t="s">
        <v>393</v>
      </c>
      <c r="D386" s="5" t="s">
        <v>5</v>
      </c>
      <c r="E386" s="12">
        <v>50</v>
      </c>
      <c r="F386" s="2" t="str">
        <f t="shared" si="30"/>
        <v>Adult</v>
      </c>
      <c r="G386" s="5" t="s">
        <v>11</v>
      </c>
      <c r="H386" s="8">
        <v>3</v>
      </c>
      <c r="I386" s="2">
        <v>500</v>
      </c>
      <c r="J386" s="2">
        <v>1500</v>
      </c>
      <c r="K386" t="str">
        <f t="shared" si="31"/>
        <v>Medium</v>
      </c>
      <c r="L386" s="12">
        <f t="shared" si="32"/>
        <v>2023</v>
      </c>
      <c r="M386" s="12">
        <f t="shared" si="33"/>
        <v>4</v>
      </c>
      <c r="N386" s="5" t="str">
        <f t="shared" si="34"/>
        <v>Friday</v>
      </c>
      <c r="O386" s="5" t="str">
        <f t="shared" si="35"/>
        <v>October</v>
      </c>
    </row>
    <row r="387" spans="1:15" x14ac:dyDescent="0.3">
      <c r="A387" s="8">
        <v>386</v>
      </c>
      <c r="B387" s="25">
        <v>45287</v>
      </c>
      <c r="C387" s="5" t="s">
        <v>394</v>
      </c>
      <c r="D387" s="5" t="s">
        <v>8</v>
      </c>
      <c r="E387" s="12">
        <v>54</v>
      </c>
      <c r="F387" s="2" t="str">
        <f t="shared" ref="F387:F450" si="36">IF(E387&gt;60,"Senior",IF(E387&gt;30,"Adult","Young"))</f>
        <v>Adult</v>
      </c>
      <c r="G387" s="5" t="s">
        <v>11</v>
      </c>
      <c r="H387" s="8">
        <v>2</v>
      </c>
      <c r="I387" s="2">
        <v>300</v>
      </c>
      <c r="J387" s="2">
        <v>600</v>
      </c>
      <c r="K387" t="str">
        <f t="shared" ref="K387:K450" si="37">IF(J387&gt;1500,"High",IF(J387&gt;500,"Medium","Low"))</f>
        <v>Medium</v>
      </c>
      <c r="L387" s="12">
        <f t="shared" ref="L387:L450" si="38">YEAR(B387)</f>
        <v>2023</v>
      </c>
      <c r="M387" s="12">
        <f t="shared" ref="M387:M450" si="39">ROUNDUP(MONTH(B387)/3,0)</f>
        <v>4</v>
      </c>
      <c r="N387" s="5" t="str">
        <f t="shared" ref="N387:N450" si="40">TEXT(B387,"dddd")</f>
        <v>Wednesday</v>
      </c>
      <c r="O387" s="5" t="str">
        <f t="shared" ref="O387:O450" si="41">TEXT(B387,"mmmm")</f>
        <v>December</v>
      </c>
    </row>
    <row r="388" spans="1:15" x14ac:dyDescent="0.3">
      <c r="A388" s="8">
        <v>387</v>
      </c>
      <c r="B388" s="25">
        <v>45081</v>
      </c>
      <c r="C388" s="5" t="s">
        <v>395</v>
      </c>
      <c r="D388" s="5" t="s">
        <v>5</v>
      </c>
      <c r="E388" s="12">
        <v>44</v>
      </c>
      <c r="F388" s="2" t="str">
        <f t="shared" si="36"/>
        <v>Adult</v>
      </c>
      <c r="G388" s="5" t="s">
        <v>6</v>
      </c>
      <c r="H388" s="8">
        <v>1</v>
      </c>
      <c r="I388" s="2">
        <v>30</v>
      </c>
      <c r="J388" s="2">
        <v>30</v>
      </c>
      <c r="K388" t="str">
        <f t="shared" si="37"/>
        <v>Low</v>
      </c>
      <c r="L388" s="12">
        <f t="shared" si="38"/>
        <v>2023</v>
      </c>
      <c r="M388" s="12">
        <f t="shared" si="39"/>
        <v>2</v>
      </c>
      <c r="N388" s="5" t="str">
        <f t="shared" si="40"/>
        <v>Sunday</v>
      </c>
      <c r="O388" s="5" t="str">
        <f t="shared" si="41"/>
        <v>June</v>
      </c>
    </row>
    <row r="389" spans="1:15" x14ac:dyDescent="0.3">
      <c r="A389" s="8">
        <v>388</v>
      </c>
      <c r="B389" s="25">
        <v>45240</v>
      </c>
      <c r="C389" s="5" t="s">
        <v>396</v>
      </c>
      <c r="D389" s="5" t="s">
        <v>5</v>
      </c>
      <c r="E389" s="12">
        <v>50</v>
      </c>
      <c r="F389" s="2" t="str">
        <f t="shared" si="36"/>
        <v>Adult</v>
      </c>
      <c r="G389" s="5" t="s">
        <v>11</v>
      </c>
      <c r="H389" s="8">
        <v>1</v>
      </c>
      <c r="I389" s="2">
        <v>25</v>
      </c>
      <c r="J389" s="2">
        <v>25</v>
      </c>
      <c r="K389" t="str">
        <f t="shared" si="37"/>
        <v>Low</v>
      </c>
      <c r="L389" s="12">
        <f t="shared" si="38"/>
        <v>2023</v>
      </c>
      <c r="M389" s="12">
        <f t="shared" si="39"/>
        <v>4</v>
      </c>
      <c r="N389" s="5" t="str">
        <f t="shared" si="40"/>
        <v>Friday</v>
      </c>
      <c r="O389" s="5" t="str">
        <f t="shared" si="41"/>
        <v>November</v>
      </c>
    </row>
    <row r="390" spans="1:15" x14ac:dyDescent="0.3">
      <c r="A390" s="8">
        <v>389</v>
      </c>
      <c r="B390" s="25">
        <v>45261</v>
      </c>
      <c r="C390" s="5" t="s">
        <v>397</v>
      </c>
      <c r="D390" s="5" t="s">
        <v>5</v>
      </c>
      <c r="E390" s="12">
        <v>21</v>
      </c>
      <c r="F390" s="2" t="str">
        <f t="shared" si="36"/>
        <v>Young</v>
      </c>
      <c r="G390" s="5" t="s">
        <v>9</v>
      </c>
      <c r="H390" s="8">
        <v>2</v>
      </c>
      <c r="I390" s="2">
        <v>25</v>
      </c>
      <c r="J390" s="2">
        <v>50</v>
      </c>
      <c r="K390" t="str">
        <f t="shared" si="37"/>
        <v>Low</v>
      </c>
      <c r="L390" s="12">
        <f t="shared" si="38"/>
        <v>2023</v>
      </c>
      <c r="M390" s="12">
        <f t="shared" si="39"/>
        <v>4</v>
      </c>
      <c r="N390" s="5" t="str">
        <f t="shared" si="40"/>
        <v>Friday</v>
      </c>
      <c r="O390" s="5" t="str">
        <f t="shared" si="41"/>
        <v>December</v>
      </c>
    </row>
    <row r="391" spans="1:15" x14ac:dyDescent="0.3">
      <c r="A391" s="8">
        <v>390</v>
      </c>
      <c r="B391" s="25">
        <v>45197</v>
      </c>
      <c r="C391" s="5" t="s">
        <v>398</v>
      </c>
      <c r="D391" s="5" t="s">
        <v>5</v>
      </c>
      <c r="E391" s="12">
        <v>39</v>
      </c>
      <c r="F391" s="2" t="str">
        <f t="shared" si="36"/>
        <v>Adult</v>
      </c>
      <c r="G391" s="5" t="s">
        <v>11</v>
      </c>
      <c r="H391" s="8">
        <v>2</v>
      </c>
      <c r="I391" s="2">
        <v>50</v>
      </c>
      <c r="J391" s="2">
        <v>100</v>
      </c>
      <c r="K391" t="str">
        <f t="shared" si="37"/>
        <v>Low</v>
      </c>
      <c r="L391" s="12">
        <f t="shared" si="38"/>
        <v>2023</v>
      </c>
      <c r="M391" s="12">
        <f t="shared" si="39"/>
        <v>3</v>
      </c>
      <c r="N391" s="5" t="str">
        <f t="shared" si="40"/>
        <v>Thursday</v>
      </c>
      <c r="O391" s="5" t="str">
        <f t="shared" si="41"/>
        <v>September</v>
      </c>
    </row>
    <row r="392" spans="1:15" x14ac:dyDescent="0.3">
      <c r="A392" s="8">
        <v>391</v>
      </c>
      <c r="B392" s="25">
        <v>44931</v>
      </c>
      <c r="C392" s="5" t="s">
        <v>399</v>
      </c>
      <c r="D392" s="5" t="s">
        <v>5</v>
      </c>
      <c r="E392" s="12">
        <v>19</v>
      </c>
      <c r="F392" s="2" t="str">
        <f t="shared" si="36"/>
        <v>Young</v>
      </c>
      <c r="G392" s="5" t="s">
        <v>6</v>
      </c>
      <c r="H392" s="8">
        <v>2</v>
      </c>
      <c r="I392" s="2">
        <v>25</v>
      </c>
      <c r="J392" s="2">
        <v>50</v>
      </c>
      <c r="K392" t="str">
        <f t="shared" si="37"/>
        <v>Low</v>
      </c>
      <c r="L392" s="12">
        <f t="shared" si="38"/>
        <v>2023</v>
      </c>
      <c r="M392" s="12">
        <f t="shared" si="39"/>
        <v>1</v>
      </c>
      <c r="N392" s="5" t="str">
        <f t="shared" si="40"/>
        <v>Thursday</v>
      </c>
      <c r="O392" s="5" t="str">
        <f t="shared" si="41"/>
        <v>January</v>
      </c>
    </row>
    <row r="393" spans="1:15" x14ac:dyDescent="0.3">
      <c r="A393" s="8">
        <v>392</v>
      </c>
      <c r="B393" s="25">
        <v>45268</v>
      </c>
      <c r="C393" s="5" t="s">
        <v>400</v>
      </c>
      <c r="D393" s="5" t="s">
        <v>5</v>
      </c>
      <c r="E393" s="12">
        <v>27</v>
      </c>
      <c r="F393" s="2" t="str">
        <f t="shared" si="36"/>
        <v>Young</v>
      </c>
      <c r="G393" s="5" t="s">
        <v>9</v>
      </c>
      <c r="H393" s="8">
        <v>2</v>
      </c>
      <c r="I393" s="2">
        <v>300</v>
      </c>
      <c r="J393" s="2">
        <v>600</v>
      </c>
      <c r="K393" t="str">
        <f t="shared" si="37"/>
        <v>Medium</v>
      </c>
      <c r="L393" s="12">
        <f t="shared" si="38"/>
        <v>2023</v>
      </c>
      <c r="M393" s="12">
        <f t="shared" si="39"/>
        <v>4</v>
      </c>
      <c r="N393" s="5" t="str">
        <f t="shared" si="40"/>
        <v>Friday</v>
      </c>
      <c r="O393" s="5" t="str">
        <f t="shared" si="41"/>
        <v>December</v>
      </c>
    </row>
    <row r="394" spans="1:15" x14ac:dyDescent="0.3">
      <c r="A394" s="8">
        <v>393</v>
      </c>
      <c r="B394" s="25">
        <v>45210</v>
      </c>
      <c r="C394" s="5" t="s">
        <v>401</v>
      </c>
      <c r="D394" s="5" t="s">
        <v>8</v>
      </c>
      <c r="E394" s="12">
        <v>22</v>
      </c>
      <c r="F394" s="2" t="str">
        <f t="shared" si="36"/>
        <v>Young</v>
      </c>
      <c r="G394" s="5" t="s">
        <v>6</v>
      </c>
      <c r="H394" s="8">
        <v>2</v>
      </c>
      <c r="I394" s="2">
        <v>500</v>
      </c>
      <c r="J394" s="2">
        <v>1000</v>
      </c>
      <c r="K394" t="str">
        <f t="shared" si="37"/>
        <v>Medium</v>
      </c>
      <c r="L394" s="12">
        <f t="shared" si="38"/>
        <v>2023</v>
      </c>
      <c r="M394" s="12">
        <f t="shared" si="39"/>
        <v>4</v>
      </c>
      <c r="N394" s="5" t="str">
        <f t="shared" si="40"/>
        <v>Wednesday</v>
      </c>
      <c r="O394" s="5" t="str">
        <f t="shared" si="41"/>
        <v>October</v>
      </c>
    </row>
    <row r="395" spans="1:15" x14ac:dyDescent="0.3">
      <c r="A395" s="8">
        <v>394</v>
      </c>
      <c r="B395" s="25">
        <v>45080</v>
      </c>
      <c r="C395" s="5" t="s">
        <v>402</v>
      </c>
      <c r="D395" s="5" t="s">
        <v>8</v>
      </c>
      <c r="E395" s="12">
        <v>27</v>
      </c>
      <c r="F395" s="2" t="str">
        <f t="shared" si="36"/>
        <v>Young</v>
      </c>
      <c r="G395" s="5" t="s">
        <v>9</v>
      </c>
      <c r="H395" s="8">
        <v>1</v>
      </c>
      <c r="I395" s="2">
        <v>500</v>
      </c>
      <c r="J395" s="2">
        <v>500</v>
      </c>
      <c r="K395" t="str">
        <f t="shared" si="37"/>
        <v>Low</v>
      </c>
      <c r="L395" s="12">
        <f t="shared" si="38"/>
        <v>2023</v>
      </c>
      <c r="M395" s="12">
        <f t="shared" si="39"/>
        <v>2</v>
      </c>
      <c r="N395" s="5" t="str">
        <f t="shared" si="40"/>
        <v>Saturday</v>
      </c>
      <c r="O395" s="5" t="str">
        <f t="shared" si="41"/>
        <v>June</v>
      </c>
    </row>
    <row r="396" spans="1:15" x14ac:dyDescent="0.3">
      <c r="A396" s="8">
        <v>395</v>
      </c>
      <c r="B396" s="25">
        <v>45266</v>
      </c>
      <c r="C396" s="5" t="s">
        <v>403</v>
      </c>
      <c r="D396" s="5" t="s">
        <v>5</v>
      </c>
      <c r="E396" s="12">
        <v>50</v>
      </c>
      <c r="F396" s="2" t="str">
        <f t="shared" si="36"/>
        <v>Adult</v>
      </c>
      <c r="G396" s="5" t="s">
        <v>11</v>
      </c>
      <c r="H396" s="8">
        <v>2</v>
      </c>
      <c r="I396" s="2">
        <v>500</v>
      </c>
      <c r="J396" s="2">
        <v>1000</v>
      </c>
      <c r="K396" t="str">
        <f t="shared" si="37"/>
        <v>Medium</v>
      </c>
      <c r="L396" s="12">
        <f t="shared" si="38"/>
        <v>2023</v>
      </c>
      <c r="M396" s="12">
        <f t="shared" si="39"/>
        <v>4</v>
      </c>
      <c r="N396" s="5" t="str">
        <f t="shared" si="40"/>
        <v>Wednesday</v>
      </c>
      <c r="O396" s="5" t="str">
        <f t="shared" si="41"/>
        <v>December</v>
      </c>
    </row>
    <row r="397" spans="1:15" x14ac:dyDescent="0.3">
      <c r="A397" s="8">
        <v>396</v>
      </c>
      <c r="B397" s="25">
        <v>44980</v>
      </c>
      <c r="C397" s="5" t="s">
        <v>404</v>
      </c>
      <c r="D397" s="5" t="s">
        <v>8</v>
      </c>
      <c r="E397" s="12">
        <v>55</v>
      </c>
      <c r="F397" s="2" t="str">
        <f t="shared" si="36"/>
        <v>Adult</v>
      </c>
      <c r="G397" s="5" t="s">
        <v>6</v>
      </c>
      <c r="H397" s="8">
        <v>1</v>
      </c>
      <c r="I397" s="2">
        <v>30</v>
      </c>
      <c r="J397" s="2">
        <v>30</v>
      </c>
      <c r="K397" t="str">
        <f t="shared" si="37"/>
        <v>Low</v>
      </c>
      <c r="L397" s="12">
        <f t="shared" si="38"/>
        <v>2023</v>
      </c>
      <c r="M397" s="12">
        <f t="shared" si="39"/>
        <v>1</v>
      </c>
      <c r="N397" s="5" t="str">
        <f t="shared" si="40"/>
        <v>Thursday</v>
      </c>
      <c r="O397" s="5" t="str">
        <f t="shared" si="41"/>
        <v>February</v>
      </c>
    </row>
    <row r="398" spans="1:15" x14ac:dyDescent="0.3">
      <c r="A398" s="8">
        <v>397</v>
      </c>
      <c r="B398" s="25">
        <v>44995</v>
      </c>
      <c r="C398" s="5" t="s">
        <v>405</v>
      </c>
      <c r="D398" s="5" t="s">
        <v>8</v>
      </c>
      <c r="E398" s="12">
        <v>30</v>
      </c>
      <c r="F398" s="2" t="str">
        <f t="shared" si="36"/>
        <v>Young</v>
      </c>
      <c r="G398" s="5" t="s">
        <v>6</v>
      </c>
      <c r="H398" s="8">
        <v>1</v>
      </c>
      <c r="I398" s="2">
        <v>25</v>
      </c>
      <c r="J398" s="2">
        <v>25</v>
      </c>
      <c r="K398" t="str">
        <f t="shared" si="37"/>
        <v>Low</v>
      </c>
      <c r="L398" s="12">
        <f t="shared" si="38"/>
        <v>2023</v>
      </c>
      <c r="M398" s="12">
        <f t="shared" si="39"/>
        <v>1</v>
      </c>
      <c r="N398" s="5" t="str">
        <f t="shared" si="40"/>
        <v>Friday</v>
      </c>
      <c r="O398" s="5" t="str">
        <f t="shared" si="41"/>
        <v>March</v>
      </c>
    </row>
    <row r="399" spans="1:15" x14ac:dyDescent="0.3">
      <c r="A399" s="8">
        <v>398</v>
      </c>
      <c r="B399" s="25">
        <v>45062</v>
      </c>
      <c r="C399" s="5" t="s">
        <v>406</v>
      </c>
      <c r="D399" s="5" t="s">
        <v>8</v>
      </c>
      <c r="E399" s="12">
        <v>48</v>
      </c>
      <c r="F399" s="2" t="str">
        <f t="shared" si="36"/>
        <v>Adult</v>
      </c>
      <c r="G399" s="5" t="s">
        <v>9</v>
      </c>
      <c r="H399" s="8">
        <v>2</v>
      </c>
      <c r="I399" s="2">
        <v>300</v>
      </c>
      <c r="J399" s="2">
        <v>600</v>
      </c>
      <c r="K399" t="str">
        <f t="shared" si="37"/>
        <v>Medium</v>
      </c>
      <c r="L399" s="12">
        <f t="shared" si="38"/>
        <v>2023</v>
      </c>
      <c r="M399" s="12">
        <f t="shared" si="39"/>
        <v>2</v>
      </c>
      <c r="N399" s="5" t="str">
        <f t="shared" si="40"/>
        <v>Tuesday</v>
      </c>
      <c r="O399" s="5" t="str">
        <f t="shared" si="41"/>
        <v>May</v>
      </c>
    </row>
    <row r="400" spans="1:15" x14ac:dyDescent="0.3">
      <c r="A400" s="8">
        <v>399</v>
      </c>
      <c r="B400" s="25">
        <v>44986</v>
      </c>
      <c r="C400" s="5" t="s">
        <v>407</v>
      </c>
      <c r="D400" s="5" t="s">
        <v>8</v>
      </c>
      <c r="E400" s="12">
        <v>64</v>
      </c>
      <c r="F400" s="2" t="str">
        <f t="shared" si="36"/>
        <v>Senior</v>
      </c>
      <c r="G400" s="5" t="s">
        <v>6</v>
      </c>
      <c r="H400" s="8">
        <v>2</v>
      </c>
      <c r="I400" s="2">
        <v>30</v>
      </c>
      <c r="J400" s="2">
        <v>60</v>
      </c>
      <c r="K400" t="str">
        <f t="shared" si="37"/>
        <v>Low</v>
      </c>
      <c r="L400" s="12">
        <f t="shared" si="38"/>
        <v>2023</v>
      </c>
      <c r="M400" s="12">
        <f t="shared" si="39"/>
        <v>1</v>
      </c>
      <c r="N400" s="5" t="str">
        <f t="shared" si="40"/>
        <v>Wednesday</v>
      </c>
      <c r="O400" s="5" t="str">
        <f t="shared" si="41"/>
        <v>March</v>
      </c>
    </row>
    <row r="401" spans="1:15" x14ac:dyDescent="0.3">
      <c r="A401" s="8">
        <v>400</v>
      </c>
      <c r="B401" s="25">
        <v>44981</v>
      </c>
      <c r="C401" s="5" t="s">
        <v>408</v>
      </c>
      <c r="D401" s="5" t="s">
        <v>5</v>
      </c>
      <c r="E401" s="12">
        <v>53</v>
      </c>
      <c r="F401" s="2" t="str">
        <f t="shared" si="36"/>
        <v>Adult</v>
      </c>
      <c r="G401" s="5" t="s">
        <v>9</v>
      </c>
      <c r="H401" s="8">
        <v>4</v>
      </c>
      <c r="I401" s="2">
        <v>50</v>
      </c>
      <c r="J401" s="2">
        <v>200</v>
      </c>
      <c r="K401" t="str">
        <f t="shared" si="37"/>
        <v>Low</v>
      </c>
      <c r="L401" s="12">
        <f t="shared" si="38"/>
        <v>2023</v>
      </c>
      <c r="M401" s="12">
        <f t="shared" si="39"/>
        <v>1</v>
      </c>
      <c r="N401" s="5" t="str">
        <f t="shared" si="40"/>
        <v>Friday</v>
      </c>
      <c r="O401" s="5" t="str">
        <f t="shared" si="41"/>
        <v>February</v>
      </c>
    </row>
    <row r="402" spans="1:15" x14ac:dyDescent="0.3">
      <c r="A402" s="8">
        <v>401</v>
      </c>
      <c r="B402" s="25">
        <v>45210</v>
      </c>
      <c r="C402" s="5" t="s">
        <v>409</v>
      </c>
      <c r="D402" s="5" t="s">
        <v>8</v>
      </c>
      <c r="E402" s="12">
        <v>62</v>
      </c>
      <c r="F402" s="2" t="str">
        <f t="shared" si="36"/>
        <v>Senior</v>
      </c>
      <c r="G402" s="5" t="s">
        <v>9</v>
      </c>
      <c r="H402" s="8">
        <v>1</v>
      </c>
      <c r="I402" s="2">
        <v>300</v>
      </c>
      <c r="J402" s="2">
        <v>300</v>
      </c>
      <c r="K402" t="str">
        <f t="shared" si="37"/>
        <v>Low</v>
      </c>
      <c r="L402" s="12">
        <f t="shared" si="38"/>
        <v>2023</v>
      </c>
      <c r="M402" s="12">
        <f t="shared" si="39"/>
        <v>4</v>
      </c>
      <c r="N402" s="5" t="str">
        <f t="shared" si="40"/>
        <v>Wednesday</v>
      </c>
      <c r="O402" s="5" t="str">
        <f t="shared" si="41"/>
        <v>October</v>
      </c>
    </row>
    <row r="403" spans="1:15" x14ac:dyDescent="0.3">
      <c r="A403" s="8">
        <v>402</v>
      </c>
      <c r="B403" s="25">
        <v>45006</v>
      </c>
      <c r="C403" s="5" t="s">
        <v>410</v>
      </c>
      <c r="D403" s="5" t="s">
        <v>8</v>
      </c>
      <c r="E403" s="12">
        <v>41</v>
      </c>
      <c r="F403" s="2" t="str">
        <f t="shared" si="36"/>
        <v>Adult</v>
      </c>
      <c r="G403" s="5" t="s">
        <v>9</v>
      </c>
      <c r="H403" s="8">
        <v>2</v>
      </c>
      <c r="I403" s="2">
        <v>300</v>
      </c>
      <c r="J403" s="2">
        <v>600</v>
      </c>
      <c r="K403" t="str">
        <f t="shared" si="37"/>
        <v>Medium</v>
      </c>
      <c r="L403" s="12">
        <f t="shared" si="38"/>
        <v>2023</v>
      </c>
      <c r="M403" s="12">
        <f t="shared" si="39"/>
        <v>1</v>
      </c>
      <c r="N403" s="5" t="str">
        <f t="shared" si="40"/>
        <v>Tuesday</v>
      </c>
      <c r="O403" s="5" t="str">
        <f t="shared" si="41"/>
        <v>March</v>
      </c>
    </row>
    <row r="404" spans="1:15" x14ac:dyDescent="0.3">
      <c r="A404" s="8">
        <v>403</v>
      </c>
      <c r="B404" s="25">
        <v>45066</v>
      </c>
      <c r="C404" s="5" t="s">
        <v>411</v>
      </c>
      <c r="D404" s="5" t="s">
        <v>5</v>
      </c>
      <c r="E404" s="12">
        <v>32</v>
      </c>
      <c r="F404" s="2" t="str">
        <f t="shared" si="36"/>
        <v>Adult</v>
      </c>
      <c r="G404" s="5" t="s">
        <v>9</v>
      </c>
      <c r="H404" s="8">
        <v>2</v>
      </c>
      <c r="I404" s="2">
        <v>300</v>
      </c>
      <c r="J404" s="2">
        <v>600</v>
      </c>
      <c r="K404" t="str">
        <f t="shared" si="37"/>
        <v>Medium</v>
      </c>
      <c r="L404" s="12">
        <f t="shared" si="38"/>
        <v>2023</v>
      </c>
      <c r="M404" s="12">
        <f t="shared" si="39"/>
        <v>2</v>
      </c>
      <c r="N404" s="5" t="str">
        <f t="shared" si="40"/>
        <v>Saturday</v>
      </c>
      <c r="O404" s="5" t="str">
        <f t="shared" si="41"/>
        <v>May</v>
      </c>
    </row>
    <row r="405" spans="1:15" x14ac:dyDescent="0.3">
      <c r="A405" s="8">
        <v>404</v>
      </c>
      <c r="B405" s="25">
        <v>45071</v>
      </c>
      <c r="C405" s="5" t="s">
        <v>412</v>
      </c>
      <c r="D405" s="5" t="s">
        <v>5</v>
      </c>
      <c r="E405" s="12">
        <v>46</v>
      </c>
      <c r="F405" s="2" t="str">
        <f t="shared" si="36"/>
        <v>Adult</v>
      </c>
      <c r="G405" s="5" t="s">
        <v>11</v>
      </c>
      <c r="H405" s="8">
        <v>2</v>
      </c>
      <c r="I405" s="2">
        <v>500</v>
      </c>
      <c r="J405" s="2">
        <v>1000</v>
      </c>
      <c r="K405" t="str">
        <f t="shared" si="37"/>
        <v>Medium</v>
      </c>
      <c r="L405" s="12">
        <f t="shared" si="38"/>
        <v>2023</v>
      </c>
      <c r="M405" s="12">
        <f t="shared" si="39"/>
        <v>2</v>
      </c>
      <c r="N405" s="5" t="str">
        <f t="shared" si="40"/>
        <v>Thursday</v>
      </c>
      <c r="O405" s="5" t="str">
        <f t="shared" si="41"/>
        <v>May</v>
      </c>
    </row>
    <row r="406" spans="1:15" x14ac:dyDescent="0.3">
      <c r="A406" s="8">
        <v>405</v>
      </c>
      <c r="B406" s="25">
        <v>45236</v>
      </c>
      <c r="C406" s="5" t="s">
        <v>413</v>
      </c>
      <c r="D406" s="5" t="s">
        <v>8</v>
      </c>
      <c r="E406" s="12">
        <v>25</v>
      </c>
      <c r="F406" s="2" t="str">
        <f t="shared" si="36"/>
        <v>Young</v>
      </c>
      <c r="G406" s="5" t="s">
        <v>9</v>
      </c>
      <c r="H406" s="8">
        <v>4</v>
      </c>
      <c r="I406" s="2">
        <v>300</v>
      </c>
      <c r="J406" s="2">
        <v>1200</v>
      </c>
      <c r="K406" t="str">
        <f t="shared" si="37"/>
        <v>Medium</v>
      </c>
      <c r="L406" s="12">
        <f t="shared" si="38"/>
        <v>2023</v>
      </c>
      <c r="M406" s="12">
        <f t="shared" si="39"/>
        <v>4</v>
      </c>
      <c r="N406" s="5" t="str">
        <f t="shared" si="40"/>
        <v>Monday</v>
      </c>
      <c r="O406" s="5" t="str">
        <f t="shared" si="41"/>
        <v>November</v>
      </c>
    </row>
    <row r="407" spans="1:15" x14ac:dyDescent="0.3">
      <c r="A407" s="8">
        <v>406</v>
      </c>
      <c r="B407" s="25">
        <v>45034</v>
      </c>
      <c r="C407" s="5" t="s">
        <v>414</v>
      </c>
      <c r="D407" s="5" t="s">
        <v>8</v>
      </c>
      <c r="E407" s="12">
        <v>22</v>
      </c>
      <c r="F407" s="2" t="str">
        <f t="shared" si="36"/>
        <v>Young</v>
      </c>
      <c r="G407" s="5" t="s">
        <v>6</v>
      </c>
      <c r="H407" s="8">
        <v>4</v>
      </c>
      <c r="I407" s="2">
        <v>25</v>
      </c>
      <c r="J407" s="2">
        <v>100</v>
      </c>
      <c r="K407" t="str">
        <f t="shared" si="37"/>
        <v>Low</v>
      </c>
      <c r="L407" s="12">
        <f t="shared" si="38"/>
        <v>2023</v>
      </c>
      <c r="M407" s="12">
        <f t="shared" si="39"/>
        <v>2</v>
      </c>
      <c r="N407" s="5" t="str">
        <f t="shared" si="40"/>
        <v>Tuesday</v>
      </c>
      <c r="O407" s="5" t="str">
        <f t="shared" si="41"/>
        <v>April</v>
      </c>
    </row>
    <row r="408" spans="1:15" x14ac:dyDescent="0.3">
      <c r="A408" s="8">
        <v>407</v>
      </c>
      <c r="B408" s="25">
        <v>45102</v>
      </c>
      <c r="C408" s="5" t="s">
        <v>415</v>
      </c>
      <c r="D408" s="5" t="s">
        <v>8</v>
      </c>
      <c r="E408" s="12">
        <v>46</v>
      </c>
      <c r="F408" s="2" t="str">
        <f t="shared" si="36"/>
        <v>Adult</v>
      </c>
      <c r="G408" s="5" t="s">
        <v>11</v>
      </c>
      <c r="H408" s="8">
        <v>3</v>
      </c>
      <c r="I408" s="2">
        <v>300</v>
      </c>
      <c r="J408" s="2">
        <v>900</v>
      </c>
      <c r="K408" t="str">
        <f t="shared" si="37"/>
        <v>Medium</v>
      </c>
      <c r="L408" s="12">
        <f t="shared" si="38"/>
        <v>2023</v>
      </c>
      <c r="M408" s="12">
        <f t="shared" si="39"/>
        <v>2</v>
      </c>
      <c r="N408" s="5" t="str">
        <f t="shared" si="40"/>
        <v>Sunday</v>
      </c>
      <c r="O408" s="5" t="str">
        <f t="shared" si="41"/>
        <v>June</v>
      </c>
    </row>
    <row r="409" spans="1:15" x14ac:dyDescent="0.3">
      <c r="A409" s="8">
        <v>408</v>
      </c>
      <c r="B409" s="25">
        <v>45031</v>
      </c>
      <c r="C409" s="5" t="s">
        <v>416</v>
      </c>
      <c r="D409" s="5" t="s">
        <v>8</v>
      </c>
      <c r="E409" s="12">
        <v>64</v>
      </c>
      <c r="F409" s="2" t="str">
        <f t="shared" si="36"/>
        <v>Senior</v>
      </c>
      <c r="G409" s="5" t="s">
        <v>6</v>
      </c>
      <c r="H409" s="8">
        <v>1</v>
      </c>
      <c r="I409" s="2">
        <v>500</v>
      </c>
      <c r="J409" s="2">
        <v>500</v>
      </c>
      <c r="K409" t="str">
        <f t="shared" si="37"/>
        <v>Low</v>
      </c>
      <c r="L409" s="12">
        <f t="shared" si="38"/>
        <v>2023</v>
      </c>
      <c r="M409" s="12">
        <f t="shared" si="39"/>
        <v>2</v>
      </c>
      <c r="N409" s="5" t="str">
        <f t="shared" si="40"/>
        <v>Saturday</v>
      </c>
      <c r="O409" s="5" t="str">
        <f t="shared" si="41"/>
        <v>April</v>
      </c>
    </row>
    <row r="410" spans="1:15" x14ac:dyDescent="0.3">
      <c r="A410" s="8">
        <v>409</v>
      </c>
      <c r="B410" s="25">
        <v>45278</v>
      </c>
      <c r="C410" s="5" t="s">
        <v>417</v>
      </c>
      <c r="D410" s="5" t="s">
        <v>8</v>
      </c>
      <c r="E410" s="12">
        <v>21</v>
      </c>
      <c r="F410" s="2" t="str">
        <f t="shared" si="36"/>
        <v>Young</v>
      </c>
      <c r="G410" s="5" t="s">
        <v>11</v>
      </c>
      <c r="H410" s="8">
        <v>3</v>
      </c>
      <c r="I410" s="2">
        <v>300</v>
      </c>
      <c r="J410" s="2">
        <v>900</v>
      </c>
      <c r="K410" t="str">
        <f t="shared" si="37"/>
        <v>Medium</v>
      </c>
      <c r="L410" s="12">
        <f t="shared" si="38"/>
        <v>2023</v>
      </c>
      <c r="M410" s="12">
        <f t="shared" si="39"/>
        <v>4</v>
      </c>
      <c r="N410" s="5" t="str">
        <f t="shared" si="40"/>
        <v>Monday</v>
      </c>
      <c r="O410" s="5" t="str">
        <f t="shared" si="41"/>
        <v>December</v>
      </c>
    </row>
    <row r="411" spans="1:15" x14ac:dyDescent="0.3">
      <c r="A411" s="8">
        <v>410</v>
      </c>
      <c r="B411" s="25">
        <v>45251</v>
      </c>
      <c r="C411" s="5" t="s">
        <v>418</v>
      </c>
      <c r="D411" s="5" t="s">
        <v>8</v>
      </c>
      <c r="E411" s="12">
        <v>29</v>
      </c>
      <c r="F411" s="2" t="str">
        <f t="shared" si="36"/>
        <v>Young</v>
      </c>
      <c r="G411" s="5" t="s">
        <v>9</v>
      </c>
      <c r="H411" s="8">
        <v>2</v>
      </c>
      <c r="I411" s="2">
        <v>50</v>
      </c>
      <c r="J411" s="2">
        <v>100</v>
      </c>
      <c r="K411" t="str">
        <f t="shared" si="37"/>
        <v>Low</v>
      </c>
      <c r="L411" s="12">
        <f t="shared" si="38"/>
        <v>2023</v>
      </c>
      <c r="M411" s="12">
        <f t="shared" si="39"/>
        <v>4</v>
      </c>
      <c r="N411" s="5" t="str">
        <f t="shared" si="40"/>
        <v>Tuesday</v>
      </c>
      <c r="O411" s="5" t="str">
        <f t="shared" si="41"/>
        <v>November</v>
      </c>
    </row>
    <row r="412" spans="1:15" x14ac:dyDescent="0.3">
      <c r="A412" s="8">
        <v>411</v>
      </c>
      <c r="B412" s="25">
        <v>45062</v>
      </c>
      <c r="C412" s="5" t="s">
        <v>419</v>
      </c>
      <c r="D412" s="5" t="s">
        <v>5</v>
      </c>
      <c r="E412" s="12">
        <v>62</v>
      </c>
      <c r="F412" s="2" t="str">
        <f t="shared" si="36"/>
        <v>Senior</v>
      </c>
      <c r="G412" s="5" t="s">
        <v>11</v>
      </c>
      <c r="H412" s="8">
        <v>4</v>
      </c>
      <c r="I412" s="2">
        <v>50</v>
      </c>
      <c r="J412" s="2">
        <v>200</v>
      </c>
      <c r="K412" t="str">
        <f t="shared" si="37"/>
        <v>Low</v>
      </c>
      <c r="L412" s="12">
        <f t="shared" si="38"/>
        <v>2023</v>
      </c>
      <c r="M412" s="12">
        <f t="shared" si="39"/>
        <v>2</v>
      </c>
      <c r="N412" s="5" t="str">
        <f t="shared" si="40"/>
        <v>Tuesday</v>
      </c>
      <c r="O412" s="5" t="str">
        <f t="shared" si="41"/>
        <v>May</v>
      </c>
    </row>
    <row r="413" spans="1:15" x14ac:dyDescent="0.3">
      <c r="A413" s="8">
        <v>412</v>
      </c>
      <c r="B413" s="25">
        <v>45185</v>
      </c>
      <c r="C413" s="5" t="s">
        <v>420</v>
      </c>
      <c r="D413" s="5" t="s">
        <v>8</v>
      </c>
      <c r="E413" s="12">
        <v>19</v>
      </c>
      <c r="F413" s="2" t="str">
        <f t="shared" si="36"/>
        <v>Young</v>
      </c>
      <c r="G413" s="5" t="s">
        <v>11</v>
      </c>
      <c r="H413" s="8">
        <v>4</v>
      </c>
      <c r="I413" s="2">
        <v>500</v>
      </c>
      <c r="J413" s="2">
        <v>2000</v>
      </c>
      <c r="K413" t="str">
        <f t="shared" si="37"/>
        <v>High</v>
      </c>
      <c r="L413" s="12">
        <f t="shared" si="38"/>
        <v>2023</v>
      </c>
      <c r="M413" s="12">
        <f t="shared" si="39"/>
        <v>3</v>
      </c>
      <c r="N413" s="5" t="str">
        <f t="shared" si="40"/>
        <v>Saturday</v>
      </c>
      <c r="O413" s="5" t="str">
        <f t="shared" si="41"/>
        <v>September</v>
      </c>
    </row>
    <row r="414" spans="1:15" x14ac:dyDescent="0.3">
      <c r="A414" s="8">
        <v>413</v>
      </c>
      <c r="B414" s="25">
        <v>45177</v>
      </c>
      <c r="C414" s="5" t="s">
        <v>421</v>
      </c>
      <c r="D414" s="5" t="s">
        <v>8</v>
      </c>
      <c r="E414" s="12">
        <v>44</v>
      </c>
      <c r="F414" s="2" t="str">
        <f t="shared" si="36"/>
        <v>Adult</v>
      </c>
      <c r="G414" s="5" t="s">
        <v>6</v>
      </c>
      <c r="H414" s="8">
        <v>3</v>
      </c>
      <c r="I414" s="2">
        <v>25</v>
      </c>
      <c r="J414" s="2">
        <v>75</v>
      </c>
      <c r="K414" t="str">
        <f t="shared" si="37"/>
        <v>Low</v>
      </c>
      <c r="L414" s="12">
        <f t="shared" si="38"/>
        <v>2023</v>
      </c>
      <c r="M414" s="12">
        <f t="shared" si="39"/>
        <v>3</v>
      </c>
      <c r="N414" s="5" t="str">
        <f t="shared" si="40"/>
        <v>Friday</v>
      </c>
      <c r="O414" s="5" t="str">
        <f t="shared" si="41"/>
        <v>September</v>
      </c>
    </row>
    <row r="415" spans="1:15" x14ac:dyDescent="0.3">
      <c r="A415" s="8">
        <v>414</v>
      </c>
      <c r="B415" s="25">
        <v>45055</v>
      </c>
      <c r="C415" s="5" t="s">
        <v>422</v>
      </c>
      <c r="D415" s="5" t="s">
        <v>5</v>
      </c>
      <c r="E415" s="12">
        <v>48</v>
      </c>
      <c r="F415" s="2" t="str">
        <f t="shared" si="36"/>
        <v>Adult</v>
      </c>
      <c r="G415" s="5" t="s">
        <v>6</v>
      </c>
      <c r="H415" s="8">
        <v>4</v>
      </c>
      <c r="I415" s="2">
        <v>25</v>
      </c>
      <c r="J415" s="2">
        <v>100</v>
      </c>
      <c r="K415" t="str">
        <f t="shared" si="37"/>
        <v>Low</v>
      </c>
      <c r="L415" s="12">
        <f t="shared" si="38"/>
        <v>2023</v>
      </c>
      <c r="M415" s="12">
        <f t="shared" si="39"/>
        <v>2</v>
      </c>
      <c r="N415" s="5" t="str">
        <f t="shared" si="40"/>
        <v>Tuesday</v>
      </c>
      <c r="O415" s="5" t="str">
        <f t="shared" si="41"/>
        <v>May</v>
      </c>
    </row>
    <row r="416" spans="1:15" x14ac:dyDescent="0.3">
      <c r="A416" s="8">
        <v>415</v>
      </c>
      <c r="B416" s="25">
        <v>44953</v>
      </c>
      <c r="C416" s="5" t="s">
        <v>423</v>
      </c>
      <c r="D416" s="5" t="s">
        <v>5</v>
      </c>
      <c r="E416" s="12">
        <v>53</v>
      </c>
      <c r="F416" s="2" t="str">
        <f t="shared" si="36"/>
        <v>Adult</v>
      </c>
      <c r="G416" s="5" t="s">
        <v>9</v>
      </c>
      <c r="H416" s="8">
        <v>2</v>
      </c>
      <c r="I416" s="2">
        <v>30</v>
      </c>
      <c r="J416" s="2">
        <v>60</v>
      </c>
      <c r="K416" t="str">
        <f t="shared" si="37"/>
        <v>Low</v>
      </c>
      <c r="L416" s="12">
        <f t="shared" si="38"/>
        <v>2023</v>
      </c>
      <c r="M416" s="12">
        <f t="shared" si="39"/>
        <v>1</v>
      </c>
      <c r="N416" s="5" t="str">
        <f t="shared" si="40"/>
        <v>Friday</v>
      </c>
      <c r="O416" s="5" t="str">
        <f t="shared" si="41"/>
        <v>January</v>
      </c>
    </row>
    <row r="417" spans="1:15" x14ac:dyDescent="0.3">
      <c r="A417" s="8">
        <v>416</v>
      </c>
      <c r="B417" s="25">
        <v>44974</v>
      </c>
      <c r="C417" s="5" t="s">
        <v>424</v>
      </c>
      <c r="D417" s="5" t="s">
        <v>5</v>
      </c>
      <c r="E417" s="12">
        <v>53</v>
      </c>
      <c r="F417" s="2" t="str">
        <f t="shared" si="36"/>
        <v>Adult</v>
      </c>
      <c r="G417" s="5" t="s">
        <v>11</v>
      </c>
      <c r="H417" s="8">
        <v>4</v>
      </c>
      <c r="I417" s="2">
        <v>500</v>
      </c>
      <c r="J417" s="2">
        <v>2000</v>
      </c>
      <c r="K417" t="str">
        <f t="shared" si="37"/>
        <v>High</v>
      </c>
      <c r="L417" s="12">
        <f t="shared" si="38"/>
        <v>2023</v>
      </c>
      <c r="M417" s="12">
        <f t="shared" si="39"/>
        <v>1</v>
      </c>
      <c r="N417" s="5" t="str">
        <f t="shared" si="40"/>
        <v>Friday</v>
      </c>
      <c r="O417" s="5" t="str">
        <f t="shared" si="41"/>
        <v>February</v>
      </c>
    </row>
    <row r="418" spans="1:15" x14ac:dyDescent="0.3">
      <c r="A418" s="8">
        <v>417</v>
      </c>
      <c r="B418" s="25">
        <v>45251</v>
      </c>
      <c r="C418" s="5" t="s">
        <v>425</v>
      </c>
      <c r="D418" s="5" t="s">
        <v>5</v>
      </c>
      <c r="E418" s="12">
        <v>43</v>
      </c>
      <c r="F418" s="2" t="str">
        <f t="shared" si="36"/>
        <v>Adult</v>
      </c>
      <c r="G418" s="5" t="s">
        <v>11</v>
      </c>
      <c r="H418" s="8">
        <v>3</v>
      </c>
      <c r="I418" s="2">
        <v>300</v>
      </c>
      <c r="J418" s="2">
        <v>900</v>
      </c>
      <c r="K418" t="str">
        <f t="shared" si="37"/>
        <v>Medium</v>
      </c>
      <c r="L418" s="12">
        <f t="shared" si="38"/>
        <v>2023</v>
      </c>
      <c r="M418" s="12">
        <f t="shared" si="39"/>
        <v>4</v>
      </c>
      <c r="N418" s="5" t="str">
        <f t="shared" si="40"/>
        <v>Tuesday</v>
      </c>
      <c r="O418" s="5" t="str">
        <f t="shared" si="41"/>
        <v>November</v>
      </c>
    </row>
    <row r="419" spans="1:15" x14ac:dyDescent="0.3">
      <c r="A419" s="8">
        <v>418</v>
      </c>
      <c r="B419" s="25">
        <v>45143</v>
      </c>
      <c r="C419" s="5" t="s">
        <v>426</v>
      </c>
      <c r="D419" s="5" t="s">
        <v>8</v>
      </c>
      <c r="E419" s="12">
        <v>60</v>
      </c>
      <c r="F419" s="2" t="str">
        <f t="shared" si="36"/>
        <v>Adult</v>
      </c>
      <c r="G419" s="5" t="s">
        <v>11</v>
      </c>
      <c r="H419" s="8">
        <v>2</v>
      </c>
      <c r="I419" s="2">
        <v>500</v>
      </c>
      <c r="J419" s="2">
        <v>1000</v>
      </c>
      <c r="K419" t="str">
        <f t="shared" si="37"/>
        <v>Medium</v>
      </c>
      <c r="L419" s="12">
        <f t="shared" si="38"/>
        <v>2023</v>
      </c>
      <c r="M419" s="12">
        <f t="shared" si="39"/>
        <v>3</v>
      </c>
      <c r="N419" s="5" t="str">
        <f t="shared" si="40"/>
        <v>Saturday</v>
      </c>
      <c r="O419" s="5" t="str">
        <f t="shared" si="41"/>
        <v>August</v>
      </c>
    </row>
    <row r="420" spans="1:15" x14ac:dyDescent="0.3">
      <c r="A420" s="8">
        <v>419</v>
      </c>
      <c r="B420" s="25">
        <v>45068</v>
      </c>
      <c r="C420" s="5" t="s">
        <v>427</v>
      </c>
      <c r="D420" s="5" t="s">
        <v>8</v>
      </c>
      <c r="E420" s="12">
        <v>44</v>
      </c>
      <c r="F420" s="2" t="str">
        <f t="shared" si="36"/>
        <v>Adult</v>
      </c>
      <c r="G420" s="5" t="s">
        <v>9</v>
      </c>
      <c r="H420" s="8">
        <v>3</v>
      </c>
      <c r="I420" s="2">
        <v>30</v>
      </c>
      <c r="J420" s="2">
        <v>90</v>
      </c>
      <c r="K420" t="str">
        <f t="shared" si="37"/>
        <v>Low</v>
      </c>
      <c r="L420" s="12">
        <f t="shared" si="38"/>
        <v>2023</v>
      </c>
      <c r="M420" s="12">
        <f t="shared" si="39"/>
        <v>2</v>
      </c>
      <c r="N420" s="5" t="str">
        <f t="shared" si="40"/>
        <v>Monday</v>
      </c>
      <c r="O420" s="5" t="str">
        <f t="shared" si="41"/>
        <v>May</v>
      </c>
    </row>
    <row r="421" spans="1:15" x14ac:dyDescent="0.3">
      <c r="A421" s="8">
        <v>420</v>
      </c>
      <c r="B421" s="25">
        <v>44949</v>
      </c>
      <c r="C421" s="5" t="s">
        <v>428</v>
      </c>
      <c r="D421" s="5" t="s">
        <v>8</v>
      </c>
      <c r="E421" s="12">
        <v>22</v>
      </c>
      <c r="F421" s="2" t="str">
        <f t="shared" si="36"/>
        <v>Young</v>
      </c>
      <c r="G421" s="5" t="s">
        <v>9</v>
      </c>
      <c r="H421" s="8">
        <v>4</v>
      </c>
      <c r="I421" s="2">
        <v>500</v>
      </c>
      <c r="J421" s="2">
        <v>2000</v>
      </c>
      <c r="K421" t="str">
        <f t="shared" si="37"/>
        <v>High</v>
      </c>
      <c r="L421" s="12">
        <f t="shared" si="38"/>
        <v>2023</v>
      </c>
      <c r="M421" s="12">
        <f t="shared" si="39"/>
        <v>1</v>
      </c>
      <c r="N421" s="5" t="str">
        <f t="shared" si="40"/>
        <v>Monday</v>
      </c>
      <c r="O421" s="5" t="str">
        <f t="shared" si="41"/>
        <v>January</v>
      </c>
    </row>
    <row r="422" spans="1:15" x14ac:dyDescent="0.3">
      <c r="A422" s="8">
        <v>421</v>
      </c>
      <c r="B422" s="25">
        <v>44928</v>
      </c>
      <c r="C422" s="5" t="s">
        <v>429</v>
      </c>
      <c r="D422" s="5" t="s">
        <v>8</v>
      </c>
      <c r="E422" s="12">
        <v>37</v>
      </c>
      <c r="F422" s="2" t="str">
        <f t="shared" si="36"/>
        <v>Adult</v>
      </c>
      <c r="G422" s="5" t="s">
        <v>9</v>
      </c>
      <c r="H422" s="8">
        <v>3</v>
      </c>
      <c r="I422" s="2">
        <v>500</v>
      </c>
      <c r="J422" s="2">
        <v>1500</v>
      </c>
      <c r="K422" t="str">
        <f t="shared" si="37"/>
        <v>Medium</v>
      </c>
      <c r="L422" s="12">
        <f t="shared" si="38"/>
        <v>2023</v>
      </c>
      <c r="M422" s="12">
        <f t="shared" si="39"/>
        <v>1</v>
      </c>
      <c r="N422" s="5" t="str">
        <f t="shared" si="40"/>
        <v>Monday</v>
      </c>
      <c r="O422" s="5" t="str">
        <f t="shared" si="41"/>
        <v>January</v>
      </c>
    </row>
    <row r="423" spans="1:15" x14ac:dyDescent="0.3">
      <c r="A423" s="8">
        <v>422</v>
      </c>
      <c r="B423" s="25">
        <v>45097</v>
      </c>
      <c r="C423" s="5" t="s">
        <v>430</v>
      </c>
      <c r="D423" s="5" t="s">
        <v>8</v>
      </c>
      <c r="E423" s="12">
        <v>28</v>
      </c>
      <c r="F423" s="2" t="str">
        <f t="shared" si="36"/>
        <v>Young</v>
      </c>
      <c r="G423" s="5" t="s">
        <v>9</v>
      </c>
      <c r="H423" s="8">
        <v>3</v>
      </c>
      <c r="I423" s="2">
        <v>30</v>
      </c>
      <c r="J423" s="2">
        <v>90</v>
      </c>
      <c r="K423" t="str">
        <f t="shared" si="37"/>
        <v>Low</v>
      </c>
      <c r="L423" s="12">
        <f t="shared" si="38"/>
        <v>2023</v>
      </c>
      <c r="M423" s="12">
        <f t="shared" si="39"/>
        <v>2</v>
      </c>
      <c r="N423" s="5" t="str">
        <f t="shared" si="40"/>
        <v>Tuesday</v>
      </c>
      <c r="O423" s="5" t="str">
        <f t="shared" si="41"/>
        <v>June</v>
      </c>
    </row>
    <row r="424" spans="1:15" x14ac:dyDescent="0.3">
      <c r="A424" s="8">
        <v>423</v>
      </c>
      <c r="B424" s="25">
        <v>44993</v>
      </c>
      <c r="C424" s="5" t="s">
        <v>431</v>
      </c>
      <c r="D424" s="5" t="s">
        <v>8</v>
      </c>
      <c r="E424" s="12">
        <v>27</v>
      </c>
      <c r="F424" s="2" t="str">
        <f t="shared" si="36"/>
        <v>Young</v>
      </c>
      <c r="G424" s="5" t="s">
        <v>9</v>
      </c>
      <c r="H424" s="8">
        <v>1</v>
      </c>
      <c r="I424" s="2">
        <v>25</v>
      </c>
      <c r="J424" s="2">
        <v>25</v>
      </c>
      <c r="K424" t="str">
        <f t="shared" si="37"/>
        <v>Low</v>
      </c>
      <c r="L424" s="12">
        <f t="shared" si="38"/>
        <v>2023</v>
      </c>
      <c r="M424" s="12">
        <f t="shared" si="39"/>
        <v>1</v>
      </c>
      <c r="N424" s="5" t="str">
        <f t="shared" si="40"/>
        <v>Wednesday</v>
      </c>
      <c r="O424" s="5" t="str">
        <f t="shared" si="41"/>
        <v>March</v>
      </c>
    </row>
    <row r="425" spans="1:15" x14ac:dyDescent="0.3">
      <c r="A425" s="8">
        <v>424</v>
      </c>
      <c r="B425" s="25">
        <v>45253</v>
      </c>
      <c r="C425" s="5" t="s">
        <v>432</v>
      </c>
      <c r="D425" s="5" t="s">
        <v>5</v>
      </c>
      <c r="E425" s="12">
        <v>57</v>
      </c>
      <c r="F425" s="2" t="str">
        <f t="shared" si="36"/>
        <v>Adult</v>
      </c>
      <c r="G425" s="5" t="s">
        <v>6</v>
      </c>
      <c r="H425" s="8">
        <v>4</v>
      </c>
      <c r="I425" s="2">
        <v>300</v>
      </c>
      <c r="J425" s="2">
        <v>1200</v>
      </c>
      <c r="K425" t="str">
        <f t="shared" si="37"/>
        <v>Medium</v>
      </c>
      <c r="L425" s="12">
        <f t="shared" si="38"/>
        <v>2023</v>
      </c>
      <c r="M425" s="12">
        <f t="shared" si="39"/>
        <v>4</v>
      </c>
      <c r="N425" s="5" t="str">
        <f t="shared" si="40"/>
        <v>Thursday</v>
      </c>
      <c r="O425" s="5" t="str">
        <f t="shared" si="41"/>
        <v>November</v>
      </c>
    </row>
    <row r="426" spans="1:15" x14ac:dyDescent="0.3">
      <c r="A426" s="8">
        <v>425</v>
      </c>
      <c r="B426" s="25">
        <v>45061</v>
      </c>
      <c r="C426" s="5" t="s">
        <v>433</v>
      </c>
      <c r="D426" s="5" t="s">
        <v>8</v>
      </c>
      <c r="E426" s="12">
        <v>55</v>
      </c>
      <c r="F426" s="2" t="str">
        <f t="shared" si="36"/>
        <v>Adult</v>
      </c>
      <c r="G426" s="5" t="s">
        <v>11</v>
      </c>
      <c r="H426" s="8">
        <v>4</v>
      </c>
      <c r="I426" s="2">
        <v>30</v>
      </c>
      <c r="J426" s="2">
        <v>120</v>
      </c>
      <c r="K426" t="str">
        <f t="shared" si="37"/>
        <v>Low</v>
      </c>
      <c r="L426" s="12">
        <f t="shared" si="38"/>
        <v>2023</v>
      </c>
      <c r="M426" s="12">
        <f t="shared" si="39"/>
        <v>2</v>
      </c>
      <c r="N426" s="5" t="str">
        <f t="shared" si="40"/>
        <v>Monday</v>
      </c>
      <c r="O426" s="5" t="str">
        <f t="shared" si="41"/>
        <v>May</v>
      </c>
    </row>
    <row r="427" spans="1:15" x14ac:dyDescent="0.3">
      <c r="A427" s="8">
        <v>426</v>
      </c>
      <c r="B427" s="25">
        <v>45009</v>
      </c>
      <c r="C427" s="5" t="s">
        <v>434</v>
      </c>
      <c r="D427" s="5" t="s">
        <v>5</v>
      </c>
      <c r="E427" s="12">
        <v>23</v>
      </c>
      <c r="F427" s="2" t="str">
        <f t="shared" si="36"/>
        <v>Young</v>
      </c>
      <c r="G427" s="5" t="s">
        <v>11</v>
      </c>
      <c r="H427" s="8">
        <v>3</v>
      </c>
      <c r="I427" s="2">
        <v>50</v>
      </c>
      <c r="J427" s="2">
        <v>150</v>
      </c>
      <c r="K427" t="str">
        <f t="shared" si="37"/>
        <v>Low</v>
      </c>
      <c r="L427" s="12">
        <f t="shared" si="38"/>
        <v>2023</v>
      </c>
      <c r="M427" s="12">
        <f t="shared" si="39"/>
        <v>1</v>
      </c>
      <c r="N427" s="5" t="str">
        <f t="shared" si="40"/>
        <v>Friday</v>
      </c>
      <c r="O427" s="5" t="str">
        <f t="shared" si="41"/>
        <v>March</v>
      </c>
    </row>
    <row r="428" spans="1:15" x14ac:dyDescent="0.3">
      <c r="A428" s="8">
        <v>427</v>
      </c>
      <c r="B428" s="25">
        <v>45153</v>
      </c>
      <c r="C428" s="5" t="s">
        <v>435</v>
      </c>
      <c r="D428" s="5" t="s">
        <v>5</v>
      </c>
      <c r="E428" s="12">
        <v>25</v>
      </c>
      <c r="F428" s="2" t="str">
        <f t="shared" si="36"/>
        <v>Young</v>
      </c>
      <c r="G428" s="5" t="s">
        <v>11</v>
      </c>
      <c r="H428" s="8">
        <v>1</v>
      </c>
      <c r="I428" s="2">
        <v>25</v>
      </c>
      <c r="J428" s="2">
        <v>25</v>
      </c>
      <c r="K428" t="str">
        <f t="shared" si="37"/>
        <v>Low</v>
      </c>
      <c r="L428" s="12">
        <f t="shared" si="38"/>
        <v>2023</v>
      </c>
      <c r="M428" s="12">
        <f t="shared" si="39"/>
        <v>3</v>
      </c>
      <c r="N428" s="5" t="str">
        <f t="shared" si="40"/>
        <v>Tuesday</v>
      </c>
      <c r="O428" s="5" t="str">
        <f t="shared" si="41"/>
        <v>August</v>
      </c>
    </row>
    <row r="429" spans="1:15" x14ac:dyDescent="0.3">
      <c r="A429" s="8">
        <v>428</v>
      </c>
      <c r="B429" s="25">
        <v>45209</v>
      </c>
      <c r="C429" s="5" t="s">
        <v>436</v>
      </c>
      <c r="D429" s="5" t="s">
        <v>8</v>
      </c>
      <c r="E429" s="12">
        <v>40</v>
      </c>
      <c r="F429" s="2" t="str">
        <f t="shared" si="36"/>
        <v>Adult</v>
      </c>
      <c r="G429" s="5" t="s">
        <v>11</v>
      </c>
      <c r="H429" s="8">
        <v>4</v>
      </c>
      <c r="I429" s="2">
        <v>50</v>
      </c>
      <c r="J429" s="2">
        <v>200</v>
      </c>
      <c r="K429" t="str">
        <f t="shared" si="37"/>
        <v>Low</v>
      </c>
      <c r="L429" s="12">
        <f t="shared" si="38"/>
        <v>2023</v>
      </c>
      <c r="M429" s="12">
        <f t="shared" si="39"/>
        <v>4</v>
      </c>
      <c r="N429" s="5" t="str">
        <f t="shared" si="40"/>
        <v>Tuesday</v>
      </c>
      <c r="O429" s="5" t="str">
        <f t="shared" si="41"/>
        <v>October</v>
      </c>
    </row>
    <row r="430" spans="1:15" x14ac:dyDescent="0.3">
      <c r="A430" s="8">
        <v>429</v>
      </c>
      <c r="B430" s="25">
        <v>45288</v>
      </c>
      <c r="C430" s="5" t="s">
        <v>437</v>
      </c>
      <c r="D430" s="5" t="s">
        <v>5</v>
      </c>
      <c r="E430" s="12">
        <v>64</v>
      </c>
      <c r="F430" s="2" t="str">
        <f t="shared" si="36"/>
        <v>Senior</v>
      </c>
      <c r="G430" s="5" t="s">
        <v>11</v>
      </c>
      <c r="H430" s="8">
        <v>2</v>
      </c>
      <c r="I430" s="2">
        <v>25</v>
      </c>
      <c r="J430" s="2">
        <v>50</v>
      </c>
      <c r="K430" t="str">
        <f t="shared" si="37"/>
        <v>Low</v>
      </c>
      <c r="L430" s="12">
        <f t="shared" si="38"/>
        <v>2023</v>
      </c>
      <c r="M430" s="12">
        <f t="shared" si="39"/>
        <v>4</v>
      </c>
      <c r="N430" s="5" t="str">
        <f t="shared" si="40"/>
        <v>Thursday</v>
      </c>
      <c r="O430" s="5" t="str">
        <f t="shared" si="41"/>
        <v>December</v>
      </c>
    </row>
    <row r="431" spans="1:15" x14ac:dyDescent="0.3">
      <c r="A431" s="8">
        <v>430</v>
      </c>
      <c r="B431" s="25">
        <v>45145</v>
      </c>
      <c r="C431" s="5" t="s">
        <v>438</v>
      </c>
      <c r="D431" s="5" t="s">
        <v>8</v>
      </c>
      <c r="E431" s="12">
        <v>43</v>
      </c>
      <c r="F431" s="2" t="str">
        <f t="shared" si="36"/>
        <v>Adult</v>
      </c>
      <c r="G431" s="5" t="s">
        <v>11</v>
      </c>
      <c r="H431" s="8">
        <v>3</v>
      </c>
      <c r="I431" s="2">
        <v>300</v>
      </c>
      <c r="J431" s="2">
        <v>900</v>
      </c>
      <c r="K431" t="str">
        <f t="shared" si="37"/>
        <v>Medium</v>
      </c>
      <c r="L431" s="12">
        <f t="shared" si="38"/>
        <v>2023</v>
      </c>
      <c r="M431" s="12">
        <f t="shared" si="39"/>
        <v>3</v>
      </c>
      <c r="N431" s="5" t="str">
        <f t="shared" si="40"/>
        <v>Monday</v>
      </c>
      <c r="O431" s="5" t="str">
        <f t="shared" si="41"/>
        <v>August</v>
      </c>
    </row>
    <row r="432" spans="1:15" x14ac:dyDescent="0.3">
      <c r="A432" s="8">
        <v>431</v>
      </c>
      <c r="B432" s="25">
        <v>45214</v>
      </c>
      <c r="C432" s="5" t="s">
        <v>439</v>
      </c>
      <c r="D432" s="5" t="s">
        <v>5</v>
      </c>
      <c r="E432" s="12">
        <v>63</v>
      </c>
      <c r="F432" s="2" t="str">
        <f t="shared" si="36"/>
        <v>Senior</v>
      </c>
      <c r="G432" s="5" t="s">
        <v>11</v>
      </c>
      <c r="H432" s="8">
        <v>4</v>
      </c>
      <c r="I432" s="2">
        <v>300</v>
      </c>
      <c r="J432" s="2">
        <v>1200</v>
      </c>
      <c r="K432" t="str">
        <f t="shared" si="37"/>
        <v>Medium</v>
      </c>
      <c r="L432" s="12">
        <f t="shared" si="38"/>
        <v>2023</v>
      </c>
      <c r="M432" s="12">
        <f t="shared" si="39"/>
        <v>4</v>
      </c>
      <c r="N432" s="5" t="str">
        <f t="shared" si="40"/>
        <v>Sunday</v>
      </c>
      <c r="O432" s="5" t="str">
        <f t="shared" si="41"/>
        <v>October</v>
      </c>
    </row>
    <row r="433" spans="1:15" x14ac:dyDescent="0.3">
      <c r="A433" s="8">
        <v>432</v>
      </c>
      <c r="B433" s="25">
        <v>44931</v>
      </c>
      <c r="C433" s="5" t="s">
        <v>440</v>
      </c>
      <c r="D433" s="5" t="s">
        <v>8</v>
      </c>
      <c r="E433" s="12">
        <v>60</v>
      </c>
      <c r="F433" s="2" t="str">
        <f t="shared" si="36"/>
        <v>Adult</v>
      </c>
      <c r="G433" s="5" t="s">
        <v>11</v>
      </c>
      <c r="H433" s="8">
        <v>2</v>
      </c>
      <c r="I433" s="2">
        <v>500</v>
      </c>
      <c r="J433" s="2">
        <v>1000</v>
      </c>
      <c r="K433" t="str">
        <f t="shared" si="37"/>
        <v>Medium</v>
      </c>
      <c r="L433" s="12">
        <f t="shared" si="38"/>
        <v>2023</v>
      </c>
      <c r="M433" s="12">
        <f t="shared" si="39"/>
        <v>1</v>
      </c>
      <c r="N433" s="5" t="str">
        <f t="shared" si="40"/>
        <v>Thursday</v>
      </c>
      <c r="O433" s="5" t="str">
        <f t="shared" si="41"/>
        <v>January</v>
      </c>
    </row>
    <row r="434" spans="1:15" x14ac:dyDescent="0.3">
      <c r="A434" s="8">
        <v>433</v>
      </c>
      <c r="B434" s="25">
        <v>44984</v>
      </c>
      <c r="C434" s="5" t="s">
        <v>441</v>
      </c>
      <c r="D434" s="5" t="s">
        <v>5</v>
      </c>
      <c r="E434" s="12">
        <v>29</v>
      </c>
      <c r="F434" s="2" t="str">
        <f t="shared" si="36"/>
        <v>Young</v>
      </c>
      <c r="G434" s="5" t="s">
        <v>6</v>
      </c>
      <c r="H434" s="8">
        <v>4</v>
      </c>
      <c r="I434" s="2">
        <v>50</v>
      </c>
      <c r="J434" s="2">
        <v>200</v>
      </c>
      <c r="K434" t="str">
        <f t="shared" si="37"/>
        <v>Low</v>
      </c>
      <c r="L434" s="12">
        <f t="shared" si="38"/>
        <v>2023</v>
      </c>
      <c r="M434" s="12">
        <f t="shared" si="39"/>
        <v>1</v>
      </c>
      <c r="N434" s="5" t="str">
        <f t="shared" si="40"/>
        <v>Monday</v>
      </c>
      <c r="O434" s="5" t="str">
        <f t="shared" si="41"/>
        <v>February</v>
      </c>
    </row>
    <row r="435" spans="1:15" x14ac:dyDescent="0.3">
      <c r="A435" s="8">
        <v>434</v>
      </c>
      <c r="B435" s="25">
        <v>44965</v>
      </c>
      <c r="C435" s="5" t="s">
        <v>442</v>
      </c>
      <c r="D435" s="5" t="s">
        <v>8</v>
      </c>
      <c r="E435" s="12">
        <v>43</v>
      </c>
      <c r="F435" s="2" t="str">
        <f t="shared" si="36"/>
        <v>Adult</v>
      </c>
      <c r="G435" s="5" t="s">
        <v>11</v>
      </c>
      <c r="H435" s="8">
        <v>2</v>
      </c>
      <c r="I435" s="2">
        <v>25</v>
      </c>
      <c r="J435" s="2">
        <v>50</v>
      </c>
      <c r="K435" t="str">
        <f t="shared" si="37"/>
        <v>Low</v>
      </c>
      <c r="L435" s="12">
        <f t="shared" si="38"/>
        <v>2023</v>
      </c>
      <c r="M435" s="12">
        <f t="shared" si="39"/>
        <v>1</v>
      </c>
      <c r="N435" s="5" t="str">
        <f t="shared" si="40"/>
        <v>Wednesday</v>
      </c>
      <c r="O435" s="5" t="str">
        <f t="shared" si="41"/>
        <v>February</v>
      </c>
    </row>
    <row r="436" spans="1:15" x14ac:dyDescent="0.3">
      <c r="A436" s="8">
        <v>435</v>
      </c>
      <c r="B436" s="25">
        <v>45280</v>
      </c>
      <c r="C436" s="5" t="s">
        <v>443</v>
      </c>
      <c r="D436" s="5" t="s">
        <v>8</v>
      </c>
      <c r="E436" s="12">
        <v>30</v>
      </c>
      <c r="F436" s="2" t="str">
        <f t="shared" si="36"/>
        <v>Young</v>
      </c>
      <c r="G436" s="5" t="s">
        <v>6</v>
      </c>
      <c r="H436" s="8">
        <v>3</v>
      </c>
      <c r="I436" s="2">
        <v>300</v>
      </c>
      <c r="J436" s="2">
        <v>900</v>
      </c>
      <c r="K436" t="str">
        <f t="shared" si="37"/>
        <v>Medium</v>
      </c>
      <c r="L436" s="12">
        <f t="shared" si="38"/>
        <v>2023</v>
      </c>
      <c r="M436" s="12">
        <f t="shared" si="39"/>
        <v>4</v>
      </c>
      <c r="N436" s="5" t="str">
        <f t="shared" si="40"/>
        <v>Wednesday</v>
      </c>
      <c r="O436" s="5" t="str">
        <f t="shared" si="41"/>
        <v>December</v>
      </c>
    </row>
    <row r="437" spans="1:15" x14ac:dyDescent="0.3">
      <c r="A437" s="8">
        <v>436</v>
      </c>
      <c r="B437" s="25">
        <v>45003</v>
      </c>
      <c r="C437" s="5" t="s">
        <v>444</v>
      </c>
      <c r="D437" s="5" t="s">
        <v>8</v>
      </c>
      <c r="E437" s="12">
        <v>57</v>
      </c>
      <c r="F437" s="2" t="str">
        <f t="shared" si="36"/>
        <v>Adult</v>
      </c>
      <c r="G437" s="5" t="s">
        <v>9</v>
      </c>
      <c r="H437" s="8">
        <v>4</v>
      </c>
      <c r="I437" s="2">
        <v>30</v>
      </c>
      <c r="J437" s="2">
        <v>120</v>
      </c>
      <c r="K437" t="str">
        <f t="shared" si="37"/>
        <v>Low</v>
      </c>
      <c r="L437" s="12">
        <f t="shared" si="38"/>
        <v>2023</v>
      </c>
      <c r="M437" s="12">
        <f t="shared" si="39"/>
        <v>1</v>
      </c>
      <c r="N437" s="5" t="str">
        <f t="shared" si="40"/>
        <v>Saturday</v>
      </c>
      <c r="O437" s="5" t="str">
        <f t="shared" si="41"/>
        <v>March</v>
      </c>
    </row>
    <row r="438" spans="1:15" x14ac:dyDescent="0.3">
      <c r="A438" s="8">
        <v>437</v>
      </c>
      <c r="B438" s="25">
        <v>45206</v>
      </c>
      <c r="C438" s="5" t="s">
        <v>445</v>
      </c>
      <c r="D438" s="5" t="s">
        <v>8</v>
      </c>
      <c r="E438" s="12">
        <v>35</v>
      </c>
      <c r="F438" s="2" t="str">
        <f t="shared" si="36"/>
        <v>Adult</v>
      </c>
      <c r="G438" s="5" t="s">
        <v>11</v>
      </c>
      <c r="H438" s="8">
        <v>4</v>
      </c>
      <c r="I438" s="2">
        <v>300</v>
      </c>
      <c r="J438" s="2">
        <v>1200</v>
      </c>
      <c r="K438" t="str">
        <f t="shared" si="37"/>
        <v>Medium</v>
      </c>
      <c r="L438" s="12">
        <f t="shared" si="38"/>
        <v>2023</v>
      </c>
      <c r="M438" s="12">
        <f t="shared" si="39"/>
        <v>4</v>
      </c>
      <c r="N438" s="5" t="str">
        <f t="shared" si="40"/>
        <v>Saturday</v>
      </c>
      <c r="O438" s="5" t="str">
        <f t="shared" si="41"/>
        <v>October</v>
      </c>
    </row>
    <row r="439" spans="1:15" x14ac:dyDescent="0.3">
      <c r="A439" s="8">
        <v>438</v>
      </c>
      <c r="B439" s="25">
        <v>44945</v>
      </c>
      <c r="C439" s="5" t="s">
        <v>446</v>
      </c>
      <c r="D439" s="5" t="s">
        <v>8</v>
      </c>
      <c r="E439" s="12">
        <v>42</v>
      </c>
      <c r="F439" s="2" t="str">
        <f t="shared" si="36"/>
        <v>Adult</v>
      </c>
      <c r="G439" s="5" t="s">
        <v>9</v>
      </c>
      <c r="H439" s="8">
        <v>1</v>
      </c>
      <c r="I439" s="2">
        <v>30</v>
      </c>
      <c r="J439" s="2">
        <v>30</v>
      </c>
      <c r="K439" t="str">
        <f t="shared" si="37"/>
        <v>Low</v>
      </c>
      <c r="L439" s="12">
        <f t="shared" si="38"/>
        <v>2023</v>
      </c>
      <c r="M439" s="12">
        <f t="shared" si="39"/>
        <v>1</v>
      </c>
      <c r="N439" s="5" t="str">
        <f t="shared" si="40"/>
        <v>Thursday</v>
      </c>
      <c r="O439" s="5" t="str">
        <f t="shared" si="41"/>
        <v>January</v>
      </c>
    </row>
    <row r="440" spans="1:15" x14ac:dyDescent="0.3">
      <c r="A440" s="8">
        <v>439</v>
      </c>
      <c r="B440" s="25">
        <v>45116</v>
      </c>
      <c r="C440" s="5" t="s">
        <v>447</v>
      </c>
      <c r="D440" s="5" t="s">
        <v>5</v>
      </c>
      <c r="E440" s="12">
        <v>50</v>
      </c>
      <c r="F440" s="2" t="str">
        <f t="shared" si="36"/>
        <v>Adult</v>
      </c>
      <c r="G440" s="5" t="s">
        <v>9</v>
      </c>
      <c r="H440" s="8">
        <v>3</v>
      </c>
      <c r="I440" s="2">
        <v>25</v>
      </c>
      <c r="J440" s="2">
        <v>75</v>
      </c>
      <c r="K440" t="str">
        <f t="shared" si="37"/>
        <v>Low</v>
      </c>
      <c r="L440" s="12">
        <f t="shared" si="38"/>
        <v>2023</v>
      </c>
      <c r="M440" s="12">
        <f t="shared" si="39"/>
        <v>3</v>
      </c>
      <c r="N440" s="5" t="str">
        <f t="shared" si="40"/>
        <v>Sunday</v>
      </c>
      <c r="O440" s="5" t="str">
        <f t="shared" si="41"/>
        <v>July</v>
      </c>
    </row>
    <row r="441" spans="1:15" x14ac:dyDescent="0.3">
      <c r="A441" s="8">
        <v>440</v>
      </c>
      <c r="B441" s="25">
        <v>45225</v>
      </c>
      <c r="C441" s="5" t="s">
        <v>448</v>
      </c>
      <c r="D441" s="5" t="s">
        <v>5</v>
      </c>
      <c r="E441" s="12">
        <v>64</v>
      </c>
      <c r="F441" s="2" t="str">
        <f t="shared" si="36"/>
        <v>Senior</v>
      </c>
      <c r="G441" s="5" t="s">
        <v>9</v>
      </c>
      <c r="H441" s="8">
        <v>2</v>
      </c>
      <c r="I441" s="2">
        <v>300</v>
      </c>
      <c r="J441" s="2">
        <v>600</v>
      </c>
      <c r="K441" t="str">
        <f t="shared" si="37"/>
        <v>Medium</v>
      </c>
      <c r="L441" s="12">
        <f t="shared" si="38"/>
        <v>2023</v>
      </c>
      <c r="M441" s="12">
        <f t="shared" si="39"/>
        <v>4</v>
      </c>
      <c r="N441" s="5" t="str">
        <f t="shared" si="40"/>
        <v>Thursday</v>
      </c>
      <c r="O441" s="5" t="str">
        <f t="shared" si="41"/>
        <v>October</v>
      </c>
    </row>
    <row r="442" spans="1:15" x14ac:dyDescent="0.3">
      <c r="A442" s="8">
        <v>441</v>
      </c>
      <c r="B442" s="25">
        <v>45209</v>
      </c>
      <c r="C442" s="5" t="s">
        <v>449</v>
      </c>
      <c r="D442" s="5" t="s">
        <v>5</v>
      </c>
      <c r="E442" s="12">
        <v>57</v>
      </c>
      <c r="F442" s="2" t="str">
        <f t="shared" si="36"/>
        <v>Adult</v>
      </c>
      <c r="G442" s="5" t="s">
        <v>6</v>
      </c>
      <c r="H442" s="8">
        <v>4</v>
      </c>
      <c r="I442" s="2">
        <v>300</v>
      </c>
      <c r="J442" s="2">
        <v>1200</v>
      </c>
      <c r="K442" t="str">
        <f t="shared" si="37"/>
        <v>Medium</v>
      </c>
      <c r="L442" s="12">
        <f t="shared" si="38"/>
        <v>2023</v>
      </c>
      <c r="M442" s="12">
        <f t="shared" si="39"/>
        <v>4</v>
      </c>
      <c r="N442" s="5" t="str">
        <f t="shared" si="40"/>
        <v>Tuesday</v>
      </c>
      <c r="O442" s="5" t="str">
        <f t="shared" si="41"/>
        <v>October</v>
      </c>
    </row>
    <row r="443" spans="1:15" x14ac:dyDescent="0.3">
      <c r="A443" s="8">
        <v>442</v>
      </c>
      <c r="B443" s="25">
        <v>45002</v>
      </c>
      <c r="C443" s="5" t="s">
        <v>450</v>
      </c>
      <c r="D443" s="5" t="s">
        <v>8</v>
      </c>
      <c r="E443" s="12">
        <v>60</v>
      </c>
      <c r="F443" s="2" t="str">
        <f t="shared" si="36"/>
        <v>Adult</v>
      </c>
      <c r="G443" s="5" t="s">
        <v>9</v>
      </c>
      <c r="H443" s="8">
        <v>4</v>
      </c>
      <c r="I443" s="2">
        <v>25</v>
      </c>
      <c r="J443" s="2">
        <v>100</v>
      </c>
      <c r="K443" t="str">
        <f t="shared" si="37"/>
        <v>Low</v>
      </c>
      <c r="L443" s="12">
        <f t="shared" si="38"/>
        <v>2023</v>
      </c>
      <c r="M443" s="12">
        <f t="shared" si="39"/>
        <v>1</v>
      </c>
      <c r="N443" s="5" t="str">
        <f t="shared" si="40"/>
        <v>Friday</v>
      </c>
      <c r="O443" s="5" t="str">
        <f t="shared" si="41"/>
        <v>March</v>
      </c>
    </row>
    <row r="444" spans="1:15" x14ac:dyDescent="0.3">
      <c r="A444" s="8">
        <v>443</v>
      </c>
      <c r="B444" s="25">
        <v>45147</v>
      </c>
      <c r="C444" s="5" t="s">
        <v>451</v>
      </c>
      <c r="D444" s="5" t="s">
        <v>5</v>
      </c>
      <c r="E444" s="12">
        <v>29</v>
      </c>
      <c r="F444" s="2" t="str">
        <f t="shared" si="36"/>
        <v>Young</v>
      </c>
      <c r="G444" s="5" t="s">
        <v>9</v>
      </c>
      <c r="H444" s="8">
        <v>2</v>
      </c>
      <c r="I444" s="2">
        <v>300</v>
      </c>
      <c r="J444" s="2">
        <v>600</v>
      </c>
      <c r="K444" t="str">
        <f t="shared" si="37"/>
        <v>Medium</v>
      </c>
      <c r="L444" s="12">
        <f t="shared" si="38"/>
        <v>2023</v>
      </c>
      <c r="M444" s="12">
        <f t="shared" si="39"/>
        <v>3</v>
      </c>
      <c r="N444" s="5" t="str">
        <f t="shared" si="40"/>
        <v>Wednesday</v>
      </c>
      <c r="O444" s="5" t="str">
        <f t="shared" si="41"/>
        <v>August</v>
      </c>
    </row>
    <row r="445" spans="1:15" x14ac:dyDescent="0.3">
      <c r="A445" s="8">
        <v>444</v>
      </c>
      <c r="B445" s="25">
        <v>44992</v>
      </c>
      <c r="C445" s="5" t="s">
        <v>452</v>
      </c>
      <c r="D445" s="5" t="s">
        <v>8</v>
      </c>
      <c r="E445" s="12">
        <v>61</v>
      </c>
      <c r="F445" s="2" t="str">
        <f t="shared" si="36"/>
        <v>Senior</v>
      </c>
      <c r="G445" s="5" t="s">
        <v>9</v>
      </c>
      <c r="H445" s="8">
        <v>3</v>
      </c>
      <c r="I445" s="2">
        <v>30</v>
      </c>
      <c r="J445" s="2">
        <v>90</v>
      </c>
      <c r="K445" t="str">
        <f t="shared" si="37"/>
        <v>Low</v>
      </c>
      <c r="L445" s="12">
        <f t="shared" si="38"/>
        <v>2023</v>
      </c>
      <c r="M445" s="12">
        <f t="shared" si="39"/>
        <v>1</v>
      </c>
      <c r="N445" s="5" t="str">
        <f t="shared" si="40"/>
        <v>Tuesday</v>
      </c>
      <c r="O445" s="5" t="str">
        <f t="shared" si="41"/>
        <v>March</v>
      </c>
    </row>
    <row r="446" spans="1:15" x14ac:dyDescent="0.3">
      <c r="A446" s="8">
        <v>445</v>
      </c>
      <c r="B446" s="25">
        <v>44948</v>
      </c>
      <c r="C446" s="5" t="s">
        <v>453</v>
      </c>
      <c r="D446" s="5" t="s">
        <v>8</v>
      </c>
      <c r="E446" s="12">
        <v>53</v>
      </c>
      <c r="F446" s="2" t="str">
        <f t="shared" si="36"/>
        <v>Adult</v>
      </c>
      <c r="G446" s="5" t="s">
        <v>11</v>
      </c>
      <c r="H446" s="8">
        <v>1</v>
      </c>
      <c r="I446" s="2">
        <v>300</v>
      </c>
      <c r="J446" s="2">
        <v>300</v>
      </c>
      <c r="K446" t="str">
        <f t="shared" si="37"/>
        <v>Low</v>
      </c>
      <c r="L446" s="12">
        <f t="shared" si="38"/>
        <v>2023</v>
      </c>
      <c r="M446" s="12">
        <f t="shared" si="39"/>
        <v>1</v>
      </c>
      <c r="N446" s="5" t="str">
        <f t="shared" si="40"/>
        <v>Sunday</v>
      </c>
      <c r="O446" s="5" t="str">
        <f t="shared" si="41"/>
        <v>January</v>
      </c>
    </row>
    <row r="447" spans="1:15" x14ac:dyDescent="0.3">
      <c r="A447" s="8">
        <v>446</v>
      </c>
      <c r="B447" s="25">
        <v>45084</v>
      </c>
      <c r="C447" s="5" t="s">
        <v>454</v>
      </c>
      <c r="D447" s="5" t="s">
        <v>5</v>
      </c>
      <c r="E447" s="12">
        <v>21</v>
      </c>
      <c r="F447" s="2" t="str">
        <f t="shared" si="36"/>
        <v>Young</v>
      </c>
      <c r="G447" s="5" t="s">
        <v>11</v>
      </c>
      <c r="H447" s="8">
        <v>1</v>
      </c>
      <c r="I447" s="2">
        <v>50</v>
      </c>
      <c r="J447" s="2">
        <v>50</v>
      </c>
      <c r="K447" t="str">
        <f t="shared" si="37"/>
        <v>Low</v>
      </c>
      <c r="L447" s="12">
        <f t="shared" si="38"/>
        <v>2023</v>
      </c>
      <c r="M447" s="12">
        <f t="shared" si="39"/>
        <v>2</v>
      </c>
      <c r="N447" s="5" t="str">
        <f t="shared" si="40"/>
        <v>Wednesday</v>
      </c>
      <c r="O447" s="5" t="str">
        <f t="shared" si="41"/>
        <v>June</v>
      </c>
    </row>
    <row r="448" spans="1:15" x14ac:dyDescent="0.3">
      <c r="A448" s="8">
        <v>447</v>
      </c>
      <c r="B448" s="25">
        <v>45113</v>
      </c>
      <c r="C448" s="5" t="s">
        <v>455</v>
      </c>
      <c r="D448" s="5" t="s">
        <v>5</v>
      </c>
      <c r="E448" s="12">
        <v>22</v>
      </c>
      <c r="F448" s="2" t="str">
        <f t="shared" si="36"/>
        <v>Young</v>
      </c>
      <c r="G448" s="5" t="s">
        <v>6</v>
      </c>
      <c r="H448" s="8">
        <v>4</v>
      </c>
      <c r="I448" s="2">
        <v>500</v>
      </c>
      <c r="J448" s="2">
        <v>2000</v>
      </c>
      <c r="K448" t="str">
        <f t="shared" si="37"/>
        <v>High</v>
      </c>
      <c r="L448" s="12">
        <f t="shared" si="38"/>
        <v>2023</v>
      </c>
      <c r="M448" s="12">
        <f t="shared" si="39"/>
        <v>3</v>
      </c>
      <c r="N448" s="5" t="str">
        <f t="shared" si="40"/>
        <v>Thursday</v>
      </c>
      <c r="O448" s="5" t="str">
        <f t="shared" si="41"/>
        <v>July</v>
      </c>
    </row>
    <row r="449" spans="1:15" x14ac:dyDescent="0.3">
      <c r="A449" s="8">
        <v>448</v>
      </c>
      <c r="B449" s="25">
        <v>44947</v>
      </c>
      <c r="C449" s="5" t="s">
        <v>456</v>
      </c>
      <c r="D449" s="5" t="s">
        <v>8</v>
      </c>
      <c r="E449" s="12">
        <v>54</v>
      </c>
      <c r="F449" s="2" t="str">
        <f t="shared" si="36"/>
        <v>Adult</v>
      </c>
      <c r="G449" s="5" t="s">
        <v>6</v>
      </c>
      <c r="H449" s="8">
        <v>2</v>
      </c>
      <c r="I449" s="2">
        <v>30</v>
      </c>
      <c r="J449" s="2">
        <v>60</v>
      </c>
      <c r="K449" t="str">
        <f t="shared" si="37"/>
        <v>Low</v>
      </c>
      <c r="L449" s="12">
        <f t="shared" si="38"/>
        <v>2023</v>
      </c>
      <c r="M449" s="12">
        <f t="shared" si="39"/>
        <v>1</v>
      </c>
      <c r="N449" s="5" t="str">
        <f t="shared" si="40"/>
        <v>Saturday</v>
      </c>
      <c r="O449" s="5" t="str">
        <f t="shared" si="41"/>
        <v>January</v>
      </c>
    </row>
    <row r="450" spans="1:15" x14ac:dyDescent="0.3">
      <c r="A450" s="8">
        <v>449</v>
      </c>
      <c r="B450" s="25">
        <v>45110</v>
      </c>
      <c r="C450" s="5" t="s">
        <v>457</v>
      </c>
      <c r="D450" s="5" t="s">
        <v>5</v>
      </c>
      <c r="E450" s="12">
        <v>25</v>
      </c>
      <c r="F450" s="2" t="str">
        <f t="shared" si="36"/>
        <v>Young</v>
      </c>
      <c r="G450" s="5" t="s">
        <v>11</v>
      </c>
      <c r="H450" s="8">
        <v>4</v>
      </c>
      <c r="I450" s="2">
        <v>50</v>
      </c>
      <c r="J450" s="2">
        <v>200</v>
      </c>
      <c r="K450" t="str">
        <f t="shared" si="37"/>
        <v>Low</v>
      </c>
      <c r="L450" s="12">
        <f t="shared" si="38"/>
        <v>2023</v>
      </c>
      <c r="M450" s="12">
        <f t="shared" si="39"/>
        <v>3</v>
      </c>
      <c r="N450" s="5" t="str">
        <f t="shared" si="40"/>
        <v>Monday</v>
      </c>
      <c r="O450" s="5" t="str">
        <f t="shared" si="41"/>
        <v>July</v>
      </c>
    </row>
    <row r="451" spans="1:15" x14ac:dyDescent="0.3">
      <c r="A451" s="8">
        <v>450</v>
      </c>
      <c r="B451" s="25">
        <v>45034</v>
      </c>
      <c r="C451" s="5" t="s">
        <v>458</v>
      </c>
      <c r="D451" s="5" t="s">
        <v>8</v>
      </c>
      <c r="E451" s="12">
        <v>59</v>
      </c>
      <c r="F451" s="2" t="str">
        <f t="shared" ref="F451:F514" si="42">IF(E451&gt;60,"Senior",IF(E451&gt;30,"Adult","Young"))</f>
        <v>Adult</v>
      </c>
      <c r="G451" s="5" t="s">
        <v>6</v>
      </c>
      <c r="H451" s="8">
        <v>2</v>
      </c>
      <c r="I451" s="2">
        <v>25</v>
      </c>
      <c r="J451" s="2">
        <v>50</v>
      </c>
      <c r="K451" t="str">
        <f t="shared" ref="K451:K514" si="43">IF(J451&gt;1500,"High",IF(J451&gt;500,"Medium","Low"))</f>
        <v>Low</v>
      </c>
      <c r="L451" s="12">
        <f t="shared" ref="L451:L514" si="44">YEAR(B451)</f>
        <v>2023</v>
      </c>
      <c r="M451" s="12">
        <f t="shared" ref="M451:M514" si="45">ROUNDUP(MONTH(B451)/3,0)</f>
        <v>2</v>
      </c>
      <c r="N451" s="5" t="str">
        <f t="shared" ref="N451:N514" si="46">TEXT(B451,"dddd")</f>
        <v>Tuesday</v>
      </c>
      <c r="O451" s="5" t="str">
        <f t="shared" ref="O451:O514" si="47">TEXT(B451,"mmmm")</f>
        <v>April</v>
      </c>
    </row>
    <row r="452" spans="1:15" x14ac:dyDescent="0.3">
      <c r="A452" s="8">
        <v>451</v>
      </c>
      <c r="B452" s="25">
        <v>45276</v>
      </c>
      <c r="C452" s="5" t="s">
        <v>459</v>
      </c>
      <c r="D452" s="5" t="s">
        <v>8</v>
      </c>
      <c r="E452" s="12">
        <v>45</v>
      </c>
      <c r="F452" s="2" t="str">
        <f t="shared" si="42"/>
        <v>Adult</v>
      </c>
      <c r="G452" s="5" t="s">
        <v>11</v>
      </c>
      <c r="H452" s="8">
        <v>1</v>
      </c>
      <c r="I452" s="2">
        <v>30</v>
      </c>
      <c r="J452" s="2">
        <v>30</v>
      </c>
      <c r="K452" t="str">
        <f t="shared" si="43"/>
        <v>Low</v>
      </c>
      <c r="L452" s="12">
        <f t="shared" si="44"/>
        <v>2023</v>
      </c>
      <c r="M452" s="12">
        <f t="shared" si="45"/>
        <v>4</v>
      </c>
      <c r="N452" s="5" t="str">
        <f t="shared" si="46"/>
        <v>Saturday</v>
      </c>
      <c r="O452" s="5" t="str">
        <f t="shared" si="47"/>
        <v>December</v>
      </c>
    </row>
    <row r="453" spans="1:15" x14ac:dyDescent="0.3">
      <c r="A453" s="8">
        <v>452</v>
      </c>
      <c r="B453" s="25">
        <v>45054</v>
      </c>
      <c r="C453" s="5" t="s">
        <v>460</v>
      </c>
      <c r="D453" s="5" t="s">
        <v>8</v>
      </c>
      <c r="E453" s="12">
        <v>48</v>
      </c>
      <c r="F453" s="2" t="str">
        <f t="shared" si="42"/>
        <v>Adult</v>
      </c>
      <c r="G453" s="5" t="s">
        <v>9</v>
      </c>
      <c r="H453" s="8">
        <v>3</v>
      </c>
      <c r="I453" s="2">
        <v>500</v>
      </c>
      <c r="J453" s="2">
        <v>1500</v>
      </c>
      <c r="K453" t="str">
        <f t="shared" si="43"/>
        <v>Medium</v>
      </c>
      <c r="L453" s="12">
        <f t="shared" si="44"/>
        <v>2023</v>
      </c>
      <c r="M453" s="12">
        <f t="shared" si="45"/>
        <v>2</v>
      </c>
      <c r="N453" s="5" t="str">
        <f t="shared" si="46"/>
        <v>Monday</v>
      </c>
      <c r="O453" s="5" t="str">
        <f t="shared" si="47"/>
        <v>May</v>
      </c>
    </row>
    <row r="454" spans="1:15" x14ac:dyDescent="0.3">
      <c r="A454" s="8">
        <v>453</v>
      </c>
      <c r="B454" s="25">
        <v>45268</v>
      </c>
      <c r="C454" s="5" t="s">
        <v>461</v>
      </c>
      <c r="D454" s="5" t="s">
        <v>8</v>
      </c>
      <c r="E454" s="12">
        <v>26</v>
      </c>
      <c r="F454" s="2" t="str">
        <f t="shared" si="42"/>
        <v>Young</v>
      </c>
      <c r="G454" s="5" t="s">
        <v>9</v>
      </c>
      <c r="H454" s="8">
        <v>2</v>
      </c>
      <c r="I454" s="2">
        <v>500</v>
      </c>
      <c r="J454" s="2">
        <v>1000</v>
      </c>
      <c r="K454" t="str">
        <f t="shared" si="43"/>
        <v>Medium</v>
      </c>
      <c r="L454" s="12">
        <f t="shared" si="44"/>
        <v>2023</v>
      </c>
      <c r="M454" s="12">
        <f t="shared" si="45"/>
        <v>4</v>
      </c>
      <c r="N454" s="5" t="str">
        <f t="shared" si="46"/>
        <v>Friday</v>
      </c>
      <c r="O454" s="5" t="str">
        <f t="shared" si="47"/>
        <v>December</v>
      </c>
    </row>
    <row r="455" spans="1:15" x14ac:dyDescent="0.3">
      <c r="A455" s="8">
        <v>454</v>
      </c>
      <c r="B455" s="25">
        <v>44979</v>
      </c>
      <c r="C455" s="5" t="s">
        <v>462</v>
      </c>
      <c r="D455" s="5" t="s">
        <v>8</v>
      </c>
      <c r="E455" s="12">
        <v>46</v>
      </c>
      <c r="F455" s="2" t="str">
        <f t="shared" si="42"/>
        <v>Adult</v>
      </c>
      <c r="G455" s="5" t="s">
        <v>6</v>
      </c>
      <c r="H455" s="8">
        <v>1</v>
      </c>
      <c r="I455" s="2">
        <v>25</v>
      </c>
      <c r="J455" s="2">
        <v>25</v>
      </c>
      <c r="K455" t="str">
        <f t="shared" si="43"/>
        <v>Low</v>
      </c>
      <c r="L455" s="12">
        <f t="shared" si="44"/>
        <v>2023</v>
      </c>
      <c r="M455" s="12">
        <f t="shared" si="45"/>
        <v>1</v>
      </c>
      <c r="N455" s="5" t="str">
        <f t="shared" si="46"/>
        <v>Wednesday</v>
      </c>
      <c r="O455" s="5" t="str">
        <f t="shared" si="47"/>
        <v>February</v>
      </c>
    </row>
    <row r="456" spans="1:15" x14ac:dyDescent="0.3">
      <c r="A456" s="8">
        <v>455</v>
      </c>
      <c r="B456" s="25">
        <v>45108</v>
      </c>
      <c r="C456" s="5" t="s">
        <v>463</v>
      </c>
      <c r="D456" s="5" t="s">
        <v>5</v>
      </c>
      <c r="E456" s="12">
        <v>31</v>
      </c>
      <c r="F456" s="2" t="str">
        <f t="shared" si="42"/>
        <v>Adult</v>
      </c>
      <c r="G456" s="5" t="s">
        <v>11</v>
      </c>
      <c r="H456" s="8">
        <v>4</v>
      </c>
      <c r="I456" s="2">
        <v>25</v>
      </c>
      <c r="J456" s="2">
        <v>100</v>
      </c>
      <c r="K456" t="str">
        <f t="shared" si="43"/>
        <v>Low</v>
      </c>
      <c r="L456" s="12">
        <f t="shared" si="44"/>
        <v>2023</v>
      </c>
      <c r="M456" s="12">
        <f t="shared" si="45"/>
        <v>3</v>
      </c>
      <c r="N456" s="5" t="str">
        <f t="shared" si="46"/>
        <v>Saturday</v>
      </c>
      <c r="O456" s="5" t="str">
        <f t="shared" si="47"/>
        <v>July</v>
      </c>
    </row>
    <row r="457" spans="1:15" x14ac:dyDescent="0.3">
      <c r="A457" s="8">
        <v>456</v>
      </c>
      <c r="B457" s="25">
        <v>45213</v>
      </c>
      <c r="C457" s="5" t="s">
        <v>464</v>
      </c>
      <c r="D457" s="5" t="s">
        <v>5</v>
      </c>
      <c r="E457" s="12">
        <v>57</v>
      </c>
      <c r="F457" s="2" t="str">
        <f t="shared" si="42"/>
        <v>Adult</v>
      </c>
      <c r="G457" s="5" t="s">
        <v>11</v>
      </c>
      <c r="H457" s="8">
        <v>2</v>
      </c>
      <c r="I457" s="2">
        <v>30</v>
      </c>
      <c r="J457" s="2">
        <v>60</v>
      </c>
      <c r="K457" t="str">
        <f t="shared" si="43"/>
        <v>Low</v>
      </c>
      <c r="L457" s="12">
        <f t="shared" si="44"/>
        <v>2023</v>
      </c>
      <c r="M457" s="12">
        <f t="shared" si="45"/>
        <v>4</v>
      </c>
      <c r="N457" s="5" t="str">
        <f t="shared" si="46"/>
        <v>Saturday</v>
      </c>
      <c r="O457" s="5" t="str">
        <f t="shared" si="47"/>
        <v>October</v>
      </c>
    </row>
    <row r="458" spans="1:15" x14ac:dyDescent="0.3">
      <c r="A458" s="8">
        <v>457</v>
      </c>
      <c r="B458" s="25">
        <v>45135</v>
      </c>
      <c r="C458" s="5" t="s">
        <v>465</v>
      </c>
      <c r="D458" s="5" t="s">
        <v>8</v>
      </c>
      <c r="E458" s="12">
        <v>58</v>
      </c>
      <c r="F458" s="2" t="str">
        <f t="shared" si="42"/>
        <v>Adult</v>
      </c>
      <c r="G458" s="5" t="s">
        <v>6</v>
      </c>
      <c r="H458" s="8">
        <v>3</v>
      </c>
      <c r="I458" s="2">
        <v>300</v>
      </c>
      <c r="J458" s="2">
        <v>900</v>
      </c>
      <c r="K458" t="str">
        <f t="shared" si="43"/>
        <v>Medium</v>
      </c>
      <c r="L458" s="12">
        <f t="shared" si="44"/>
        <v>2023</v>
      </c>
      <c r="M458" s="12">
        <f t="shared" si="45"/>
        <v>3</v>
      </c>
      <c r="N458" s="5" t="str">
        <f t="shared" si="46"/>
        <v>Friday</v>
      </c>
      <c r="O458" s="5" t="str">
        <f t="shared" si="47"/>
        <v>July</v>
      </c>
    </row>
    <row r="459" spans="1:15" x14ac:dyDescent="0.3">
      <c r="A459" s="8">
        <v>458</v>
      </c>
      <c r="B459" s="25">
        <v>45244</v>
      </c>
      <c r="C459" s="5" t="s">
        <v>466</v>
      </c>
      <c r="D459" s="5" t="s">
        <v>8</v>
      </c>
      <c r="E459" s="12">
        <v>39</v>
      </c>
      <c r="F459" s="2" t="str">
        <f t="shared" si="42"/>
        <v>Adult</v>
      </c>
      <c r="G459" s="5" t="s">
        <v>11</v>
      </c>
      <c r="H459" s="8">
        <v>4</v>
      </c>
      <c r="I459" s="2">
        <v>25</v>
      </c>
      <c r="J459" s="2">
        <v>100</v>
      </c>
      <c r="K459" t="str">
        <f t="shared" si="43"/>
        <v>Low</v>
      </c>
      <c r="L459" s="12">
        <f t="shared" si="44"/>
        <v>2023</v>
      </c>
      <c r="M459" s="12">
        <f t="shared" si="45"/>
        <v>4</v>
      </c>
      <c r="N459" s="5" t="str">
        <f t="shared" si="46"/>
        <v>Tuesday</v>
      </c>
      <c r="O459" s="5" t="str">
        <f t="shared" si="47"/>
        <v>November</v>
      </c>
    </row>
    <row r="460" spans="1:15" x14ac:dyDescent="0.3">
      <c r="A460" s="8">
        <v>459</v>
      </c>
      <c r="B460" s="25">
        <v>45006</v>
      </c>
      <c r="C460" s="5" t="s">
        <v>467</v>
      </c>
      <c r="D460" s="5" t="s">
        <v>5</v>
      </c>
      <c r="E460" s="12">
        <v>28</v>
      </c>
      <c r="F460" s="2" t="str">
        <f t="shared" si="42"/>
        <v>Young</v>
      </c>
      <c r="G460" s="5" t="s">
        <v>9</v>
      </c>
      <c r="H460" s="8">
        <v>4</v>
      </c>
      <c r="I460" s="2">
        <v>300</v>
      </c>
      <c r="J460" s="2">
        <v>1200</v>
      </c>
      <c r="K460" t="str">
        <f t="shared" si="43"/>
        <v>Medium</v>
      </c>
      <c r="L460" s="12">
        <f t="shared" si="44"/>
        <v>2023</v>
      </c>
      <c r="M460" s="12">
        <f t="shared" si="45"/>
        <v>1</v>
      </c>
      <c r="N460" s="5" t="str">
        <f t="shared" si="46"/>
        <v>Tuesday</v>
      </c>
      <c r="O460" s="5" t="str">
        <f t="shared" si="47"/>
        <v>March</v>
      </c>
    </row>
    <row r="461" spans="1:15" x14ac:dyDescent="0.3">
      <c r="A461" s="8">
        <v>460</v>
      </c>
      <c r="B461" s="25">
        <v>45048</v>
      </c>
      <c r="C461" s="5" t="s">
        <v>468</v>
      </c>
      <c r="D461" s="5" t="s">
        <v>5</v>
      </c>
      <c r="E461" s="12">
        <v>40</v>
      </c>
      <c r="F461" s="2" t="str">
        <f t="shared" si="42"/>
        <v>Adult</v>
      </c>
      <c r="G461" s="5" t="s">
        <v>6</v>
      </c>
      <c r="H461" s="8">
        <v>1</v>
      </c>
      <c r="I461" s="2">
        <v>50</v>
      </c>
      <c r="J461" s="2">
        <v>50</v>
      </c>
      <c r="K461" t="str">
        <f t="shared" si="43"/>
        <v>Low</v>
      </c>
      <c r="L461" s="12">
        <f t="shared" si="44"/>
        <v>2023</v>
      </c>
      <c r="M461" s="12">
        <f t="shared" si="45"/>
        <v>2</v>
      </c>
      <c r="N461" s="5" t="str">
        <f t="shared" si="46"/>
        <v>Tuesday</v>
      </c>
      <c r="O461" s="5" t="str">
        <f t="shared" si="47"/>
        <v>May</v>
      </c>
    </row>
    <row r="462" spans="1:15" x14ac:dyDescent="0.3">
      <c r="A462" s="8">
        <v>461</v>
      </c>
      <c r="B462" s="25">
        <v>45010</v>
      </c>
      <c r="C462" s="5" t="s">
        <v>469</v>
      </c>
      <c r="D462" s="5" t="s">
        <v>8</v>
      </c>
      <c r="E462" s="12">
        <v>18</v>
      </c>
      <c r="F462" s="2" t="str">
        <f t="shared" si="42"/>
        <v>Young</v>
      </c>
      <c r="G462" s="5" t="s">
        <v>6</v>
      </c>
      <c r="H462" s="8">
        <v>2</v>
      </c>
      <c r="I462" s="2">
        <v>500</v>
      </c>
      <c r="J462" s="2">
        <v>1000</v>
      </c>
      <c r="K462" t="str">
        <f t="shared" si="43"/>
        <v>Medium</v>
      </c>
      <c r="L462" s="12">
        <f t="shared" si="44"/>
        <v>2023</v>
      </c>
      <c r="M462" s="12">
        <f t="shared" si="45"/>
        <v>1</v>
      </c>
      <c r="N462" s="5" t="str">
        <f t="shared" si="46"/>
        <v>Saturday</v>
      </c>
      <c r="O462" s="5" t="str">
        <f t="shared" si="47"/>
        <v>March</v>
      </c>
    </row>
    <row r="463" spans="1:15" x14ac:dyDescent="0.3">
      <c r="A463" s="8">
        <v>462</v>
      </c>
      <c r="B463" s="25">
        <v>45017</v>
      </c>
      <c r="C463" s="5" t="s">
        <v>470</v>
      </c>
      <c r="D463" s="5" t="s">
        <v>5</v>
      </c>
      <c r="E463" s="12">
        <v>63</v>
      </c>
      <c r="F463" s="2" t="str">
        <f t="shared" si="42"/>
        <v>Senior</v>
      </c>
      <c r="G463" s="5" t="s">
        <v>11</v>
      </c>
      <c r="H463" s="8">
        <v>4</v>
      </c>
      <c r="I463" s="2">
        <v>300</v>
      </c>
      <c r="J463" s="2">
        <v>1200</v>
      </c>
      <c r="K463" t="str">
        <f t="shared" si="43"/>
        <v>Medium</v>
      </c>
      <c r="L463" s="12">
        <f t="shared" si="44"/>
        <v>2023</v>
      </c>
      <c r="M463" s="12">
        <f t="shared" si="45"/>
        <v>2</v>
      </c>
      <c r="N463" s="5" t="str">
        <f t="shared" si="46"/>
        <v>Saturday</v>
      </c>
      <c r="O463" s="5" t="str">
        <f t="shared" si="47"/>
        <v>April</v>
      </c>
    </row>
    <row r="464" spans="1:15" x14ac:dyDescent="0.3">
      <c r="A464" s="8">
        <v>463</v>
      </c>
      <c r="B464" s="25">
        <v>45138</v>
      </c>
      <c r="C464" s="5" t="s">
        <v>471</v>
      </c>
      <c r="D464" s="5" t="s">
        <v>8</v>
      </c>
      <c r="E464" s="12">
        <v>54</v>
      </c>
      <c r="F464" s="2" t="str">
        <f t="shared" si="42"/>
        <v>Adult</v>
      </c>
      <c r="G464" s="5" t="s">
        <v>6</v>
      </c>
      <c r="H464" s="8">
        <v>3</v>
      </c>
      <c r="I464" s="2">
        <v>500</v>
      </c>
      <c r="J464" s="2">
        <v>1500</v>
      </c>
      <c r="K464" t="str">
        <f t="shared" si="43"/>
        <v>Medium</v>
      </c>
      <c r="L464" s="12">
        <f t="shared" si="44"/>
        <v>2023</v>
      </c>
      <c r="M464" s="12">
        <f t="shared" si="45"/>
        <v>3</v>
      </c>
      <c r="N464" s="5" t="str">
        <f t="shared" si="46"/>
        <v>Monday</v>
      </c>
      <c r="O464" s="5" t="str">
        <f t="shared" si="47"/>
        <v>July</v>
      </c>
    </row>
    <row r="465" spans="1:15" x14ac:dyDescent="0.3">
      <c r="A465" s="8">
        <v>464</v>
      </c>
      <c r="B465" s="25">
        <v>44939</v>
      </c>
      <c r="C465" s="5" t="s">
        <v>472</v>
      </c>
      <c r="D465" s="5" t="s">
        <v>5</v>
      </c>
      <c r="E465" s="12">
        <v>38</v>
      </c>
      <c r="F465" s="2" t="str">
        <f t="shared" si="42"/>
        <v>Adult</v>
      </c>
      <c r="G465" s="5" t="s">
        <v>11</v>
      </c>
      <c r="H465" s="8">
        <v>2</v>
      </c>
      <c r="I465" s="2">
        <v>300</v>
      </c>
      <c r="J465" s="2">
        <v>600</v>
      </c>
      <c r="K465" t="str">
        <f t="shared" si="43"/>
        <v>Medium</v>
      </c>
      <c r="L465" s="12">
        <f t="shared" si="44"/>
        <v>2023</v>
      </c>
      <c r="M465" s="12">
        <f t="shared" si="45"/>
        <v>1</v>
      </c>
      <c r="N465" s="5" t="str">
        <f t="shared" si="46"/>
        <v>Friday</v>
      </c>
      <c r="O465" s="5" t="str">
        <f t="shared" si="47"/>
        <v>January</v>
      </c>
    </row>
    <row r="466" spans="1:15" x14ac:dyDescent="0.3">
      <c r="A466" s="8">
        <v>465</v>
      </c>
      <c r="B466" s="25">
        <v>45018</v>
      </c>
      <c r="C466" s="5" t="s">
        <v>473</v>
      </c>
      <c r="D466" s="5" t="s">
        <v>8</v>
      </c>
      <c r="E466" s="12">
        <v>43</v>
      </c>
      <c r="F466" s="2" t="str">
        <f t="shared" si="42"/>
        <v>Adult</v>
      </c>
      <c r="G466" s="5" t="s">
        <v>11</v>
      </c>
      <c r="H466" s="8">
        <v>3</v>
      </c>
      <c r="I466" s="2">
        <v>50</v>
      </c>
      <c r="J466" s="2">
        <v>150</v>
      </c>
      <c r="K466" t="str">
        <f t="shared" si="43"/>
        <v>Low</v>
      </c>
      <c r="L466" s="12">
        <f t="shared" si="44"/>
        <v>2023</v>
      </c>
      <c r="M466" s="12">
        <f t="shared" si="45"/>
        <v>2</v>
      </c>
      <c r="N466" s="5" t="str">
        <f t="shared" si="46"/>
        <v>Sunday</v>
      </c>
      <c r="O466" s="5" t="str">
        <f t="shared" si="47"/>
        <v>April</v>
      </c>
    </row>
    <row r="467" spans="1:15" x14ac:dyDescent="0.3">
      <c r="A467" s="8">
        <v>466</v>
      </c>
      <c r="B467" s="25">
        <v>45097</v>
      </c>
      <c r="C467" s="5" t="s">
        <v>474</v>
      </c>
      <c r="D467" s="5" t="s">
        <v>5</v>
      </c>
      <c r="E467" s="12">
        <v>63</v>
      </c>
      <c r="F467" s="2" t="str">
        <f t="shared" si="42"/>
        <v>Senior</v>
      </c>
      <c r="G467" s="5" t="s">
        <v>11</v>
      </c>
      <c r="H467" s="8">
        <v>4</v>
      </c>
      <c r="I467" s="2">
        <v>25</v>
      </c>
      <c r="J467" s="2">
        <v>100</v>
      </c>
      <c r="K467" t="str">
        <f t="shared" si="43"/>
        <v>Low</v>
      </c>
      <c r="L467" s="12">
        <f t="shared" si="44"/>
        <v>2023</v>
      </c>
      <c r="M467" s="12">
        <f t="shared" si="45"/>
        <v>2</v>
      </c>
      <c r="N467" s="5" t="str">
        <f t="shared" si="46"/>
        <v>Tuesday</v>
      </c>
      <c r="O467" s="5" t="str">
        <f t="shared" si="47"/>
        <v>June</v>
      </c>
    </row>
    <row r="468" spans="1:15" x14ac:dyDescent="0.3">
      <c r="A468" s="8">
        <v>467</v>
      </c>
      <c r="B468" s="25">
        <v>45137</v>
      </c>
      <c r="C468" s="5" t="s">
        <v>475</v>
      </c>
      <c r="D468" s="5" t="s">
        <v>8</v>
      </c>
      <c r="E468" s="12">
        <v>53</v>
      </c>
      <c r="F468" s="2" t="str">
        <f t="shared" si="42"/>
        <v>Adult</v>
      </c>
      <c r="G468" s="5" t="s">
        <v>11</v>
      </c>
      <c r="H468" s="8">
        <v>3</v>
      </c>
      <c r="I468" s="2">
        <v>50</v>
      </c>
      <c r="J468" s="2">
        <v>150</v>
      </c>
      <c r="K468" t="str">
        <f t="shared" si="43"/>
        <v>Low</v>
      </c>
      <c r="L468" s="12">
        <f t="shared" si="44"/>
        <v>2023</v>
      </c>
      <c r="M468" s="12">
        <f t="shared" si="45"/>
        <v>3</v>
      </c>
      <c r="N468" s="5" t="str">
        <f t="shared" si="46"/>
        <v>Sunday</v>
      </c>
      <c r="O468" s="5" t="str">
        <f t="shared" si="47"/>
        <v>July</v>
      </c>
    </row>
    <row r="469" spans="1:15" x14ac:dyDescent="0.3">
      <c r="A469" s="8">
        <v>468</v>
      </c>
      <c r="B469" s="25">
        <v>45269</v>
      </c>
      <c r="C469" s="5" t="s">
        <v>476</v>
      </c>
      <c r="D469" s="5" t="s">
        <v>5</v>
      </c>
      <c r="E469" s="12">
        <v>40</v>
      </c>
      <c r="F469" s="2" t="str">
        <f t="shared" si="42"/>
        <v>Adult</v>
      </c>
      <c r="G469" s="5" t="s">
        <v>11</v>
      </c>
      <c r="H469" s="8">
        <v>1</v>
      </c>
      <c r="I469" s="2">
        <v>25</v>
      </c>
      <c r="J469" s="2">
        <v>25</v>
      </c>
      <c r="K469" t="str">
        <f t="shared" si="43"/>
        <v>Low</v>
      </c>
      <c r="L469" s="12">
        <f t="shared" si="44"/>
        <v>2023</v>
      </c>
      <c r="M469" s="12">
        <f t="shared" si="45"/>
        <v>4</v>
      </c>
      <c r="N469" s="5" t="str">
        <f t="shared" si="46"/>
        <v>Saturday</v>
      </c>
      <c r="O469" s="5" t="str">
        <f t="shared" si="47"/>
        <v>December</v>
      </c>
    </row>
    <row r="470" spans="1:15" x14ac:dyDescent="0.3">
      <c r="A470" s="8">
        <v>469</v>
      </c>
      <c r="B470" s="25">
        <v>45054</v>
      </c>
      <c r="C470" s="5" t="s">
        <v>477</v>
      </c>
      <c r="D470" s="5" t="s">
        <v>5</v>
      </c>
      <c r="E470" s="12">
        <v>18</v>
      </c>
      <c r="F470" s="2" t="str">
        <f t="shared" si="42"/>
        <v>Young</v>
      </c>
      <c r="G470" s="5" t="s">
        <v>6</v>
      </c>
      <c r="H470" s="8">
        <v>3</v>
      </c>
      <c r="I470" s="2">
        <v>25</v>
      </c>
      <c r="J470" s="2">
        <v>75</v>
      </c>
      <c r="K470" t="str">
        <f t="shared" si="43"/>
        <v>Low</v>
      </c>
      <c r="L470" s="12">
        <f t="shared" si="44"/>
        <v>2023</v>
      </c>
      <c r="M470" s="12">
        <f t="shared" si="45"/>
        <v>2</v>
      </c>
      <c r="N470" s="5" t="str">
        <f t="shared" si="46"/>
        <v>Monday</v>
      </c>
      <c r="O470" s="5" t="str">
        <f t="shared" si="47"/>
        <v>May</v>
      </c>
    </row>
    <row r="471" spans="1:15" x14ac:dyDescent="0.3">
      <c r="A471" s="8">
        <v>470</v>
      </c>
      <c r="B471" s="25">
        <v>45063</v>
      </c>
      <c r="C471" s="5" t="s">
        <v>478</v>
      </c>
      <c r="D471" s="5" t="s">
        <v>8</v>
      </c>
      <c r="E471" s="12">
        <v>57</v>
      </c>
      <c r="F471" s="2" t="str">
        <f t="shared" si="42"/>
        <v>Adult</v>
      </c>
      <c r="G471" s="5" t="s">
        <v>9</v>
      </c>
      <c r="H471" s="8">
        <v>2</v>
      </c>
      <c r="I471" s="2">
        <v>500</v>
      </c>
      <c r="J471" s="2">
        <v>1000</v>
      </c>
      <c r="K471" t="str">
        <f t="shared" si="43"/>
        <v>Medium</v>
      </c>
      <c r="L471" s="12">
        <f t="shared" si="44"/>
        <v>2023</v>
      </c>
      <c r="M471" s="12">
        <f t="shared" si="45"/>
        <v>2</v>
      </c>
      <c r="N471" s="5" t="str">
        <f t="shared" si="46"/>
        <v>Wednesday</v>
      </c>
      <c r="O471" s="5" t="str">
        <f t="shared" si="47"/>
        <v>May</v>
      </c>
    </row>
    <row r="472" spans="1:15" x14ac:dyDescent="0.3">
      <c r="A472" s="8">
        <v>471</v>
      </c>
      <c r="B472" s="25">
        <v>45008</v>
      </c>
      <c r="C472" s="5" t="s">
        <v>479</v>
      </c>
      <c r="D472" s="5" t="s">
        <v>5</v>
      </c>
      <c r="E472" s="12">
        <v>32</v>
      </c>
      <c r="F472" s="2" t="str">
        <f t="shared" si="42"/>
        <v>Adult</v>
      </c>
      <c r="G472" s="5" t="s">
        <v>9</v>
      </c>
      <c r="H472" s="8">
        <v>3</v>
      </c>
      <c r="I472" s="2">
        <v>50</v>
      </c>
      <c r="J472" s="2">
        <v>150</v>
      </c>
      <c r="K472" t="str">
        <f t="shared" si="43"/>
        <v>Low</v>
      </c>
      <c r="L472" s="12">
        <f t="shared" si="44"/>
        <v>2023</v>
      </c>
      <c r="M472" s="12">
        <f t="shared" si="45"/>
        <v>1</v>
      </c>
      <c r="N472" s="5" t="str">
        <f t="shared" si="46"/>
        <v>Thursday</v>
      </c>
      <c r="O472" s="5" t="str">
        <f t="shared" si="47"/>
        <v>March</v>
      </c>
    </row>
    <row r="473" spans="1:15" x14ac:dyDescent="0.3">
      <c r="A473" s="8">
        <v>472</v>
      </c>
      <c r="B473" s="25">
        <v>45286</v>
      </c>
      <c r="C473" s="5" t="s">
        <v>480</v>
      </c>
      <c r="D473" s="5" t="s">
        <v>8</v>
      </c>
      <c r="E473" s="12">
        <v>38</v>
      </c>
      <c r="F473" s="2" t="str">
        <f t="shared" si="42"/>
        <v>Adult</v>
      </c>
      <c r="G473" s="5" t="s">
        <v>6</v>
      </c>
      <c r="H473" s="8">
        <v>3</v>
      </c>
      <c r="I473" s="2">
        <v>300</v>
      </c>
      <c r="J473" s="2">
        <v>900</v>
      </c>
      <c r="K473" t="str">
        <f t="shared" si="43"/>
        <v>Medium</v>
      </c>
      <c r="L473" s="12">
        <f t="shared" si="44"/>
        <v>2023</v>
      </c>
      <c r="M473" s="12">
        <f t="shared" si="45"/>
        <v>4</v>
      </c>
      <c r="N473" s="5" t="str">
        <f t="shared" si="46"/>
        <v>Tuesday</v>
      </c>
      <c r="O473" s="5" t="str">
        <f t="shared" si="47"/>
        <v>December</v>
      </c>
    </row>
    <row r="474" spans="1:15" x14ac:dyDescent="0.3">
      <c r="A474" s="8">
        <v>473</v>
      </c>
      <c r="B474" s="25">
        <v>44982</v>
      </c>
      <c r="C474" s="5" t="s">
        <v>481</v>
      </c>
      <c r="D474" s="5" t="s">
        <v>5</v>
      </c>
      <c r="E474" s="12">
        <v>64</v>
      </c>
      <c r="F474" s="2" t="str">
        <f t="shared" si="42"/>
        <v>Senior</v>
      </c>
      <c r="G474" s="5" t="s">
        <v>6</v>
      </c>
      <c r="H474" s="8">
        <v>1</v>
      </c>
      <c r="I474" s="2">
        <v>50</v>
      </c>
      <c r="J474" s="2">
        <v>50</v>
      </c>
      <c r="K474" t="str">
        <f t="shared" si="43"/>
        <v>Low</v>
      </c>
      <c r="L474" s="12">
        <f t="shared" si="44"/>
        <v>2023</v>
      </c>
      <c r="M474" s="12">
        <f t="shared" si="45"/>
        <v>1</v>
      </c>
      <c r="N474" s="5" t="str">
        <f t="shared" si="46"/>
        <v>Saturday</v>
      </c>
      <c r="O474" s="5" t="str">
        <f t="shared" si="47"/>
        <v>February</v>
      </c>
    </row>
    <row r="475" spans="1:15" x14ac:dyDescent="0.3">
      <c r="A475" s="8">
        <v>474</v>
      </c>
      <c r="B475" s="25">
        <v>45122</v>
      </c>
      <c r="C475" s="5" t="s">
        <v>482</v>
      </c>
      <c r="D475" s="5" t="s">
        <v>8</v>
      </c>
      <c r="E475" s="12">
        <v>26</v>
      </c>
      <c r="F475" s="2" t="str">
        <f t="shared" si="42"/>
        <v>Young</v>
      </c>
      <c r="G475" s="5" t="s">
        <v>9</v>
      </c>
      <c r="H475" s="8">
        <v>3</v>
      </c>
      <c r="I475" s="2">
        <v>500</v>
      </c>
      <c r="J475" s="2">
        <v>1500</v>
      </c>
      <c r="K475" t="str">
        <f t="shared" si="43"/>
        <v>Medium</v>
      </c>
      <c r="L475" s="12">
        <f t="shared" si="44"/>
        <v>2023</v>
      </c>
      <c r="M475" s="12">
        <f t="shared" si="45"/>
        <v>3</v>
      </c>
      <c r="N475" s="5" t="str">
        <f t="shared" si="46"/>
        <v>Saturday</v>
      </c>
      <c r="O475" s="5" t="str">
        <f t="shared" si="47"/>
        <v>July</v>
      </c>
    </row>
    <row r="476" spans="1:15" x14ac:dyDescent="0.3">
      <c r="A476" s="8">
        <v>475</v>
      </c>
      <c r="B476" s="25">
        <v>44946</v>
      </c>
      <c r="C476" s="5" t="s">
        <v>483</v>
      </c>
      <c r="D476" s="5" t="s">
        <v>5</v>
      </c>
      <c r="E476" s="12">
        <v>26</v>
      </c>
      <c r="F476" s="2" t="str">
        <f t="shared" si="42"/>
        <v>Young</v>
      </c>
      <c r="G476" s="5" t="s">
        <v>9</v>
      </c>
      <c r="H476" s="8">
        <v>3</v>
      </c>
      <c r="I476" s="2">
        <v>25</v>
      </c>
      <c r="J476" s="2">
        <v>75</v>
      </c>
      <c r="K476" t="str">
        <f t="shared" si="43"/>
        <v>Low</v>
      </c>
      <c r="L476" s="12">
        <f t="shared" si="44"/>
        <v>2023</v>
      </c>
      <c r="M476" s="12">
        <f t="shared" si="45"/>
        <v>1</v>
      </c>
      <c r="N476" s="5" t="str">
        <f t="shared" si="46"/>
        <v>Friday</v>
      </c>
      <c r="O476" s="5" t="str">
        <f t="shared" si="47"/>
        <v>January</v>
      </c>
    </row>
    <row r="477" spans="1:15" x14ac:dyDescent="0.3">
      <c r="A477" s="8">
        <v>476</v>
      </c>
      <c r="B477" s="25">
        <v>45167</v>
      </c>
      <c r="C477" s="5" t="s">
        <v>484</v>
      </c>
      <c r="D477" s="5" t="s">
        <v>8</v>
      </c>
      <c r="E477" s="12">
        <v>27</v>
      </c>
      <c r="F477" s="2" t="str">
        <f t="shared" si="42"/>
        <v>Young</v>
      </c>
      <c r="G477" s="5" t="s">
        <v>9</v>
      </c>
      <c r="H477" s="8">
        <v>4</v>
      </c>
      <c r="I477" s="2">
        <v>500</v>
      </c>
      <c r="J477" s="2">
        <v>2000</v>
      </c>
      <c r="K477" t="str">
        <f t="shared" si="43"/>
        <v>High</v>
      </c>
      <c r="L477" s="12">
        <f t="shared" si="44"/>
        <v>2023</v>
      </c>
      <c r="M477" s="12">
        <f t="shared" si="45"/>
        <v>3</v>
      </c>
      <c r="N477" s="5" t="str">
        <f t="shared" si="46"/>
        <v>Tuesday</v>
      </c>
      <c r="O477" s="5" t="str">
        <f t="shared" si="47"/>
        <v>August</v>
      </c>
    </row>
    <row r="478" spans="1:15" x14ac:dyDescent="0.3">
      <c r="A478" s="8">
        <v>477</v>
      </c>
      <c r="B478" s="25">
        <v>45040</v>
      </c>
      <c r="C478" s="5" t="s">
        <v>485</v>
      </c>
      <c r="D478" s="5" t="s">
        <v>5</v>
      </c>
      <c r="E478" s="12">
        <v>43</v>
      </c>
      <c r="F478" s="2" t="str">
        <f t="shared" si="42"/>
        <v>Adult</v>
      </c>
      <c r="G478" s="5" t="s">
        <v>9</v>
      </c>
      <c r="H478" s="8">
        <v>4</v>
      </c>
      <c r="I478" s="2">
        <v>30</v>
      </c>
      <c r="J478" s="2">
        <v>120</v>
      </c>
      <c r="K478" t="str">
        <f t="shared" si="43"/>
        <v>Low</v>
      </c>
      <c r="L478" s="12">
        <f t="shared" si="44"/>
        <v>2023</v>
      </c>
      <c r="M478" s="12">
        <f t="shared" si="45"/>
        <v>2</v>
      </c>
      <c r="N478" s="5" t="str">
        <f t="shared" si="46"/>
        <v>Monday</v>
      </c>
      <c r="O478" s="5" t="str">
        <f t="shared" si="47"/>
        <v>April</v>
      </c>
    </row>
    <row r="479" spans="1:15" x14ac:dyDescent="0.3">
      <c r="A479" s="8">
        <v>478</v>
      </c>
      <c r="B479" s="25">
        <v>45029</v>
      </c>
      <c r="C479" s="5" t="s">
        <v>486</v>
      </c>
      <c r="D479" s="5" t="s">
        <v>8</v>
      </c>
      <c r="E479" s="12">
        <v>58</v>
      </c>
      <c r="F479" s="2" t="str">
        <f t="shared" si="42"/>
        <v>Adult</v>
      </c>
      <c r="G479" s="5" t="s">
        <v>9</v>
      </c>
      <c r="H479" s="8">
        <v>2</v>
      </c>
      <c r="I479" s="2">
        <v>30</v>
      </c>
      <c r="J479" s="2">
        <v>60</v>
      </c>
      <c r="K479" t="str">
        <f t="shared" si="43"/>
        <v>Low</v>
      </c>
      <c r="L479" s="12">
        <f t="shared" si="44"/>
        <v>2023</v>
      </c>
      <c r="M479" s="12">
        <f t="shared" si="45"/>
        <v>2</v>
      </c>
      <c r="N479" s="5" t="str">
        <f t="shared" si="46"/>
        <v>Thursday</v>
      </c>
      <c r="O479" s="5" t="str">
        <f t="shared" si="47"/>
        <v>April</v>
      </c>
    </row>
    <row r="480" spans="1:15" x14ac:dyDescent="0.3">
      <c r="A480" s="8">
        <v>479</v>
      </c>
      <c r="B480" s="25">
        <v>45162</v>
      </c>
      <c r="C480" s="5" t="s">
        <v>487</v>
      </c>
      <c r="D480" s="5" t="s">
        <v>5</v>
      </c>
      <c r="E480" s="12">
        <v>52</v>
      </c>
      <c r="F480" s="2" t="str">
        <f t="shared" si="42"/>
        <v>Adult</v>
      </c>
      <c r="G480" s="5" t="s">
        <v>11</v>
      </c>
      <c r="H480" s="8">
        <v>4</v>
      </c>
      <c r="I480" s="2">
        <v>300</v>
      </c>
      <c r="J480" s="2">
        <v>1200</v>
      </c>
      <c r="K480" t="str">
        <f t="shared" si="43"/>
        <v>Medium</v>
      </c>
      <c r="L480" s="12">
        <f t="shared" si="44"/>
        <v>2023</v>
      </c>
      <c r="M480" s="12">
        <f t="shared" si="45"/>
        <v>3</v>
      </c>
      <c r="N480" s="5" t="str">
        <f t="shared" si="46"/>
        <v>Thursday</v>
      </c>
      <c r="O480" s="5" t="str">
        <f t="shared" si="47"/>
        <v>August</v>
      </c>
    </row>
    <row r="481" spans="1:15" x14ac:dyDescent="0.3">
      <c r="A481" s="8">
        <v>480</v>
      </c>
      <c r="B481" s="25">
        <v>45106</v>
      </c>
      <c r="C481" s="5" t="s">
        <v>488</v>
      </c>
      <c r="D481" s="5" t="s">
        <v>8</v>
      </c>
      <c r="E481" s="12">
        <v>42</v>
      </c>
      <c r="F481" s="2" t="str">
        <f t="shared" si="42"/>
        <v>Adult</v>
      </c>
      <c r="G481" s="5" t="s">
        <v>6</v>
      </c>
      <c r="H481" s="8">
        <v>4</v>
      </c>
      <c r="I481" s="2">
        <v>500</v>
      </c>
      <c r="J481" s="2">
        <v>2000</v>
      </c>
      <c r="K481" t="str">
        <f t="shared" si="43"/>
        <v>High</v>
      </c>
      <c r="L481" s="12">
        <f t="shared" si="44"/>
        <v>2023</v>
      </c>
      <c r="M481" s="12">
        <f t="shared" si="45"/>
        <v>2</v>
      </c>
      <c r="N481" s="5" t="str">
        <f t="shared" si="46"/>
        <v>Thursday</v>
      </c>
      <c r="O481" s="5" t="str">
        <f t="shared" si="47"/>
        <v>June</v>
      </c>
    </row>
    <row r="482" spans="1:15" x14ac:dyDescent="0.3">
      <c r="A482" s="8">
        <v>481</v>
      </c>
      <c r="B482" s="25">
        <v>45083</v>
      </c>
      <c r="C482" s="5" t="s">
        <v>489</v>
      </c>
      <c r="D482" s="5" t="s">
        <v>8</v>
      </c>
      <c r="E482" s="12">
        <v>43</v>
      </c>
      <c r="F482" s="2" t="str">
        <f t="shared" si="42"/>
        <v>Adult</v>
      </c>
      <c r="G482" s="5" t="s">
        <v>11</v>
      </c>
      <c r="H482" s="8">
        <v>4</v>
      </c>
      <c r="I482" s="2">
        <v>300</v>
      </c>
      <c r="J482" s="2">
        <v>1200</v>
      </c>
      <c r="K482" t="str">
        <f t="shared" si="43"/>
        <v>Medium</v>
      </c>
      <c r="L482" s="12">
        <f t="shared" si="44"/>
        <v>2023</v>
      </c>
      <c r="M482" s="12">
        <f t="shared" si="45"/>
        <v>2</v>
      </c>
      <c r="N482" s="5" t="str">
        <f t="shared" si="46"/>
        <v>Tuesday</v>
      </c>
      <c r="O482" s="5" t="str">
        <f t="shared" si="47"/>
        <v>June</v>
      </c>
    </row>
    <row r="483" spans="1:15" x14ac:dyDescent="0.3">
      <c r="A483" s="8">
        <v>482</v>
      </c>
      <c r="B483" s="25">
        <v>45043</v>
      </c>
      <c r="C483" s="5" t="s">
        <v>490</v>
      </c>
      <c r="D483" s="5" t="s">
        <v>8</v>
      </c>
      <c r="E483" s="12">
        <v>28</v>
      </c>
      <c r="F483" s="2" t="str">
        <f t="shared" si="42"/>
        <v>Young</v>
      </c>
      <c r="G483" s="5" t="s">
        <v>9</v>
      </c>
      <c r="H483" s="8">
        <v>4</v>
      </c>
      <c r="I483" s="2">
        <v>300</v>
      </c>
      <c r="J483" s="2">
        <v>1200</v>
      </c>
      <c r="K483" t="str">
        <f t="shared" si="43"/>
        <v>Medium</v>
      </c>
      <c r="L483" s="12">
        <f t="shared" si="44"/>
        <v>2023</v>
      </c>
      <c r="M483" s="12">
        <f t="shared" si="45"/>
        <v>2</v>
      </c>
      <c r="N483" s="5" t="str">
        <f t="shared" si="46"/>
        <v>Thursday</v>
      </c>
      <c r="O483" s="5" t="str">
        <f t="shared" si="47"/>
        <v>April</v>
      </c>
    </row>
    <row r="484" spans="1:15" x14ac:dyDescent="0.3">
      <c r="A484" s="8">
        <v>483</v>
      </c>
      <c r="B484" s="25">
        <v>45041</v>
      </c>
      <c r="C484" s="5" t="s">
        <v>491</v>
      </c>
      <c r="D484" s="5" t="s">
        <v>5</v>
      </c>
      <c r="E484" s="12">
        <v>55</v>
      </c>
      <c r="F484" s="2" t="str">
        <f t="shared" si="42"/>
        <v>Adult</v>
      </c>
      <c r="G484" s="5" t="s">
        <v>9</v>
      </c>
      <c r="H484" s="8">
        <v>1</v>
      </c>
      <c r="I484" s="2">
        <v>30</v>
      </c>
      <c r="J484" s="2">
        <v>30</v>
      </c>
      <c r="K484" t="str">
        <f t="shared" si="43"/>
        <v>Low</v>
      </c>
      <c r="L484" s="12">
        <f t="shared" si="44"/>
        <v>2023</v>
      </c>
      <c r="M484" s="12">
        <f t="shared" si="45"/>
        <v>2</v>
      </c>
      <c r="N484" s="5" t="str">
        <f t="shared" si="46"/>
        <v>Tuesday</v>
      </c>
      <c r="O484" s="5" t="str">
        <f t="shared" si="47"/>
        <v>April</v>
      </c>
    </row>
    <row r="485" spans="1:15" x14ac:dyDescent="0.3">
      <c r="A485" s="8">
        <v>484</v>
      </c>
      <c r="B485" s="25">
        <v>44939</v>
      </c>
      <c r="C485" s="5" t="s">
        <v>492</v>
      </c>
      <c r="D485" s="5" t="s">
        <v>8</v>
      </c>
      <c r="E485" s="12">
        <v>19</v>
      </c>
      <c r="F485" s="2" t="str">
        <f t="shared" si="42"/>
        <v>Young</v>
      </c>
      <c r="G485" s="5" t="s">
        <v>9</v>
      </c>
      <c r="H485" s="8">
        <v>4</v>
      </c>
      <c r="I485" s="2">
        <v>300</v>
      </c>
      <c r="J485" s="2">
        <v>1200</v>
      </c>
      <c r="K485" t="str">
        <f t="shared" si="43"/>
        <v>Medium</v>
      </c>
      <c r="L485" s="12">
        <f t="shared" si="44"/>
        <v>2023</v>
      </c>
      <c r="M485" s="12">
        <f t="shared" si="45"/>
        <v>1</v>
      </c>
      <c r="N485" s="5" t="str">
        <f t="shared" si="46"/>
        <v>Friday</v>
      </c>
      <c r="O485" s="5" t="str">
        <f t="shared" si="47"/>
        <v>January</v>
      </c>
    </row>
    <row r="486" spans="1:15" x14ac:dyDescent="0.3">
      <c r="A486" s="8">
        <v>485</v>
      </c>
      <c r="B486" s="25">
        <v>45264</v>
      </c>
      <c r="C486" s="5" t="s">
        <v>493</v>
      </c>
      <c r="D486" s="5" t="s">
        <v>5</v>
      </c>
      <c r="E486" s="12">
        <v>24</v>
      </c>
      <c r="F486" s="2" t="str">
        <f t="shared" si="42"/>
        <v>Young</v>
      </c>
      <c r="G486" s="5" t="s">
        <v>11</v>
      </c>
      <c r="H486" s="8">
        <v>1</v>
      </c>
      <c r="I486" s="2">
        <v>30</v>
      </c>
      <c r="J486" s="2">
        <v>30</v>
      </c>
      <c r="K486" t="str">
        <f t="shared" si="43"/>
        <v>Low</v>
      </c>
      <c r="L486" s="12">
        <f t="shared" si="44"/>
        <v>2023</v>
      </c>
      <c r="M486" s="12">
        <f t="shared" si="45"/>
        <v>4</v>
      </c>
      <c r="N486" s="5" t="str">
        <f t="shared" si="46"/>
        <v>Monday</v>
      </c>
      <c r="O486" s="5" t="str">
        <f t="shared" si="47"/>
        <v>December</v>
      </c>
    </row>
    <row r="487" spans="1:15" x14ac:dyDescent="0.3">
      <c r="A487" s="8">
        <v>486</v>
      </c>
      <c r="B487" s="25">
        <v>45025</v>
      </c>
      <c r="C487" s="5" t="s">
        <v>494</v>
      </c>
      <c r="D487" s="5" t="s">
        <v>8</v>
      </c>
      <c r="E487" s="12">
        <v>35</v>
      </c>
      <c r="F487" s="2" t="str">
        <f t="shared" si="42"/>
        <v>Adult</v>
      </c>
      <c r="G487" s="5" t="s">
        <v>11</v>
      </c>
      <c r="H487" s="8">
        <v>1</v>
      </c>
      <c r="I487" s="2">
        <v>25</v>
      </c>
      <c r="J487" s="2">
        <v>25</v>
      </c>
      <c r="K487" t="str">
        <f t="shared" si="43"/>
        <v>Low</v>
      </c>
      <c r="L487" s="12">
        <f t="shared" si="44"/>
        <v>2023</v>
      </c>
      <c r="M487" s="12">
        <f t="shared" si="45"/>
        <v>2</v>
      </c>
      <c r="N487" s="5" t="str">
        <f t="shared" si="46"/>
        <v>Sunday</v>
      </c>
      <c r="O487" s="5" t="str">
        <f t="shared" si="47"/>
        <v>April</v>
      </c>
    </row>
    <row r="488" spans="1:15" x14ac:dyDescent="0.3">
      <c r="A488" s="8">
        <v>487</v>
      </c>
      <c r="B488" s="25">
        <v>45131</v>
      </c>
      <c r="C488" s="5" t="s">
        <v>495</v>
      </c>
      <c r="D488" s="5" t="s">
        <v>5</v>
      </c>
      <c r="E488" s="12">
        <v>44</v>
      </c>
      <c r="F488" s="2" t="str">
        <f t="shared" si="42"/>
        <v>Adult</v>
      </c>
      <c r="G488" s="5" t="s">
        <v>9</v>
      </c>
      <c r="H488" s="8">
        <v>4</v>
      </c>
      <c r="I488" s="2">
        <v>500</v>
      </c>
      <c r="J488" s="2">
        <v>2000</v>
      </c>
      <c r="K488" t="str">
        <f t="shared" si="43"/>
        <v>High</v>
      </c>
      <c r="L488" s="12">
        <f t="shared" si="44"/>
        <v>2023</v>
      </c>
      <c r="M488" s="12">
        <f t="shared" si="45"/>
        <v>3</v>
      </c>
      <c r="N488" s="5" t="str">
        <f t="shared" si="46"/>
        <v>Monday</v>
      </c>
      <c r="O488" s="5" t="str">
        <f t="shared" si="47"/>
        <v>July</v>
      </c>
    </row>
    <row r="489" spans="1:15" x14ac:dyDescent="0.3">
      <c r="A489" s="8">
        <v>488</v>
      </c>
      <c r="B489" s="25">
        <v>45095</v>
      </c>
      <c r="C489" s="5" t="s">
        <v>496</v>
      </c>
      <c r="D489" s="5" t="s">
        <v>8</v>
      </c>
      <c r="E489" s="12">
        <v>51</v>
      </c>
      <c r="F489" s="2" t="str">
        <f t="shared" si="42"/>
        <v>Adult</v>
      </c>
      <c r="G489" s="5" t="s">
        <v>11</v>
      </c>
      <c r="H489" s="8">
        <v>3</v>
      </c>
      <c r="I489" s="2">
        <v>300</v>
      </c>
      <c r="J489" s="2">
        <v>900</v>
      </c>
      <c r="K489" t="str">
        <f t="shared" si="43"/>
        <v>Medium</v>
      </c>
      <c r="L489" s="12">
        <f t="shared" si="44"/>
        <v>2023</v>
      </c>
      <c r="M489" s="12">
        <f t="shared" si="45"/>
        <v>2</v>
      </c>
      <c r="N489" s="5" t="str">
        <f t="shared" si="46"/>
        <v>Sunday</v>
      </c>
      <c r="O489" s="5" t="str">
        <f t="shared" si="47"/>
        <v>June</v>
      </c>
    </row>
    <row r="490" spans="1:15" x14ac:dyDescent="0.3">
      <c r="A490" s="8">
        <v>489</v>
      </c>
      <c r="B490" s="25">
        <v>45069</v>
      </c>
      <c r="C490" s="5" t="s">
        <v>497</v>
      </c>
      <c r="D490" s="5" t="s">
        <v>5</v>
      </c>
      <c r="E490" s="12">
        <v>44</v>
      </c>
      <c r="F490" s="2" t="str">
        <f t="shared" si="42"/>
        <v>Adult</v>
      </c>
      <c r="G490" s="5" t="s">
        <v>11</v>
      </c>
      <c r="H490" s="8">
        <v>1</v>
      </c>
      <c r="I490" s="2">
        <v>30</v>
      </c>
      <c r="J490" s="2">
        <v>30</v>
      </c>
      <c r="K490" t="str">
        <f t="shared" si="43"/>
        <v>Low</v>
      </c>
      <c r="L490" s="12">
        <f t="shared" si="44"/>
        <v>2023</v>
      </c>
      <c r="M490" s="12">
        <f t="shared" si="45"/>
        <v>2</v>
      </c>
      <c r="N490" s="5" t="str">
        <f t="shared" si="46"/>
        <v>Tuesday</v>
      </c>
      <c r="O490" s="5" t="str">
        <f t="shared" si="47"/>
        <v>May</v>
      </c>
    </row>
    <row r="491" spans="1:15" x14ac:dyDescent="0.3">
      <c r="A491" s="8">
        <v>490</v>
      </c>
      <c r="B491" s="25">
        <v>44962</v>
      </c>
      <c r="C491" s="5" t="s">
        <v>498</v>
      </c>
      <c r="D491" s="5" t="s">
        <v>5</v>
      </c>
      <c r="E491" s="12">
        <v>34</v>
      </c>
      <c r="F491" s="2" t="str">
        <f t="shared" si="42"/>
        <v>Adult</v>
      </c>
      <c r="G491" s="5" t="s">
        <v>9</v>
      </c>
      <c r="H491" s="8">
        <v>3</v>
      </c>
      <c r="I491" s="2">
        <v>50</v>
      </c>
      <c r="J491" s="2">
        <v>150</v>
      </c>
      <c r="K491" t="str">
        <f t="shared" si="43"/>
        <v>Low</v>
      </c>
      <c r="L491" s="12">
        <f t="shared" si="44"/>
        <v>2023</v>
      </c>
      <c r="M491" s="12">
        <f t="shared" si="45"/>
        <v>1</v>
      </c>
      <c r="N491" s="5" t="str">
        <f t="shared" si="46"/>
        <v>Sunday</v>
      </c>
      <c r="O491" s="5" t="str">
        <f t="shared" si="47"/>
        <v>February</v>
      </c>
    </row>
    <row r="492" spans="1:15" x14ac:dyDescent="0.3">
      <c r="A492" s="8">
        <v>491</v>
      </c>
      <c r="B492" s="25">
        <v>45069</v>
      </c>
      <c r="C492" s="5" t="s">
        <v>499</v>
      </c>
      <c r="D492" s="5" t="s">
        <v>8</v>
      </c>
      <c r="E492" s="12">
        <v>60</v>
      </c>
      <c r="F492" s="2" t="str">
        <f t="shared" si="42"/>
        <v>Adult</v>
      </c>
      <c r="G492" s="5" t="s">
        <v>11</v>
      </c>
      <c r="H492" s="8">
        <v>3</v>
      </c>
      <c r="I492" s="2">
        <v>300</v>
      </c>
      <c r="J492" s="2">
        <v>900</v>
      </c>
      <c r="K492" t="str">
        <f t="shared" si="43"/>
        <v>Medium</v>
      </c>
      <c r="L492" s="12">
        <f t="shared" si="44"/>
        <v>2023</v>
      </c>
      <c r="M492" s="12">
        <f t="shared" si="45"/>
        <v>2</v>
      </c>
      <c r="N492" s="5" t="str">
        <f t="shared" si="46"/>
        <v>Tuesday</v>
      </c>
      <c r="O492" s="5" t="str">
        <f t="shared" si="47"/>
        <v>May</v>
      </c>
    </row>
    <row r="493" spans="1:15" x14ac:dyDescent="0.3">
      <c r="A493" s="8">
        <v>492</v>
      </c>
      <c r="B493" s="25">
        <v>45106</v>
      </c>
      <c r="C493" s="5" t="s">
        <v>500</v>
      </c>
      <c r="D493" s="5" t="s">
        <v>5</v>
      </c>
      <c r="E493" s="12">
        <v>61</v>
      </c>
      <c r="F493" s="2" t="str">
        <f t="shared" si="42"/>
        <v>Senior</v>
      </c>
      <c r="G493" s="5" t="s">
        <v>6</v>
      </c>
      <c r="H493" s="8">
        <v>4</v>
      </c>
      <c r="I493" s="2">
        <v>25</v>
      </c>
      <c r="J493" s="2">
        <v>100</v>
      </c>
      <c r="K493" t="str">
        <f t="shared" si="43"/>
        <v>Low</v>
      </c>
      <c r="L493" s="12">
        <f t="shared" si="44"/>
        <v>2023</v>
      </c>
      <c r="M493" s="12">
        <f t="shared" si="45"/>
        <v>2</v>
      </c>
      <c r="N493" s="5" t="str">
        <f t="shared" si="46"/>
        <v>Thursday</v>
      </c>
      <c r="O493" s="5" t="str">
        <f t="shared" si="47"/>
        <v>June</v>
      </c>
    </row>
    <row r="494" spans="1:15" x14ac:dyDescent="0.3">
      <c r="A494" s="8">
        <v>493</v>
      </c>
      <c r="B494" s="25">
        <v>45255</v>
      </c>
      <c r="C494" s="5" t="s">
        <v>501</v>
      </c>
      <c r="D494" s="5" t="s">
        <v>5</v>
      </c>
      <c r="E494" s="12">
        <v>41</v>
      </c>
      <c r="F494" s="2" t="str">
        <f t="shared" si="42"/>
        <v>Adult</v>
      </c>
      <c r="G494" s="5" t="s">
        <v>6</v>
      </c>
      <c r="H494" s="8">
        <v>2</v>
      </c>
      <c r="I494" s="2">
        <v>25</v>
      </c>
      <c r="J494" s="2">
        <v>50</v>
      </c>
      <c r="K494" t="str">
        <f t="shared" si="43"/>
        <v>Low</v>
      </c>
      <c r="L494" s="12">
        <f t="shared" si="44"/>
        <v>2023</v>
      </c>
      <c r="M494" s="12">
        <f t="shared" si="45"/>
        <v>4</v>
      </c>
      <c r="N494" s="5" t="str">
        <f t="shared" si="46"/>
        <v>Saturday</v>
      </c>
      <c r="O494" s="5" t="str">
        <f t="shared" si="47"/>
        <v>November</v>
      </c>
    </row>
    <row r="495" spans="1:15" x14ac:dyDescent="0.3">
      <c r="A495" s="8">
        <v>494</v>
      </c>
      <c r="B495" s="25">
        <v>45187</v>
      </c>
      <c r="C495" s="5" t="s">
        <v>502</v>
      </c>
      <c r="D495" s="5" t="s">
        <v>8</v>
      </c>
      <c r="E495" s="12">
        <v>42</v>
      </c>
      <c r="F495" s="2" t="str">
        <f t="shared" si="42"/>
        <v>Adult</v>
      </c>
      <c r="G495" s="5" t="s">
        <v>6</v>
      </c>
      <c r="H495" s="8">
        <v>4</v>
      </c>
      <c r="I495" s="2">
        <v>50</v>
      </c>
      <c r="J495" s="2">
        <v>200</v>
      </c>
      <c r="K495" t="str">
        <f t="shared" si="43"/>
        <v>Low</v>
      </c>
      <c r="L495" s="12">
        <f t="shared" si="44"/>
        <v>2023</v>
      </c>
      <c r="M495" s="12">
        <f t="shared" si="45"/>
        <v>3</v>
      </c>
      <c r="N495" s="5" t="str">
        <f t="shared" si="46"/>
        <v>Monday</v>
      </c>
      <c r="O495" s="5" t="str">
        <f t="shared" si="47"/>
        <v>September</v>
      </c>
    </row>
    <row r="496" spans="1:15" x14ac:dyDescent="0.3">
      <c r="A496" s="8">
        <v>495</v>
      </c>
      <c r="B496" s="25">
        <v>45131</v>
      </c>
      <c r="C496" s="5" t="s">
        <v>503</v>
      </c>
      <c r="D496" s="5" t="s">
        <v>5</v>
      </c>
      <c r="E496" s="12">
        <v>24</v>
      </c>
      <c r="F496" s="2" t="str">
        <f t="shared" si="42"/>
        <v>Young</v>
      </c>
      <c r="G496" s="5" t="s">
        <v>6</v>
      </c>
      <c r="H496" s="8">
        <v>2</v>
      </c>
      <c r="I496" s="2">
        <v>30</v>
      </c>
      <c r="J496" s="2">
        <v>60</v>
      </c>
      <c r="K496" t="str">
        <f t="shared" si="43"/>
        <v>Low</v>
      </c>
      <c r="L496" s="12">
        <f t="shared" si="44"/>
        <v>2023</v>
      </c>
      <c r="M496" s="12">
        <f t="shared" si="45"/>
        <v>3</v>
      </c>
      <c r="N496" s="5" t="str">
        <f t="shared" si="46"/>
        <v>Monday</v>
      </c>
      <c r="O496" s="5" t="str">
        <f t="shared" si="47"/>
        <v>July</v>
      </c>
    </row>
    <row r="497" spans="1:15" x14ac:dyDescent="0.3">
      <c r="A497" s="8">
        <v>496</v>
      </c>
      <c r="B497" s="25">
        <v>45274</v>
      </c>
      <c r="C497" s="5" t="s">
        <v>504</v>
      </c>
      <c r="D497" s="5" t="s">
        <v>5</v>
      </c>
      <c r="E497" s="12">
        <v>23</v>
      </c>
      <c r="F497" s="2" t="str">
        <f t="shared" si="42"/>
        <v>Young</v>
      </c>
      <c r="G497" s="5" t="s">
        <v>9</v>
      </c>
      <c r="H497" s="8">
        <v>2</v>
      </c>
      <c r="I497" s="2">
        <v>300</v>
      </c>
      <c r="J497" s="2">
        <v>600</v>
      </c>
      <c r="K497" t="str">
        <f t="shared" si="43"/>
        <v>Medium</v>
      </c>
      <c r="L497" s="12">
        <f t="shared" si="44"/>
        <v>2023</v>
      </c>
      <c r="M497" s="12">
        <f t="shared" si="45"/>
        <v>4</v>
      </c>
      <c r="N497" s="5" t="str">
        <f t="shared" si="46"/>
        <v>Thursday</v>
      </c>
      <c r="O497" s="5" t="str">
        <f t="shared" si="47"/>
        <v>December</v>
      </c>
    </row>
    <row r="498" spans="1:15" x14ac:dyDescent="0.3">
      <c r="A498" s="8">
        <v>497</v>
      </c>
      <c r="B498" s="25">
        <v>45201</v>
      </c>
      <c r="C498" s="5" t="s">
        <v>505</v>
      </c>
      <c r="D498" s="5" t="s">
        <v>5</v>
      </c>
      <c r="E498" s="12">
        <v>41</v>
      </c>
      <c r="F498" s="2" t="str">
        <f t="shared" si="42"/>
        <v>Adult</v>
      </c>
      <c r="G498" s="5" t="s">
        <v>9</v>
      </c>
      <c r="H498" s="8">
        <v>4</v>
      </c>
      <c r="I498" s="2">
        <v>30</v>
      </c>
      <c r="J498" s="2">
        <v>120</v>
      </c>
      <c r="K498" t="str">
        <f t="shared" si="43"/>
        <v>Low</v>
      </c>
      <c r="L498" s="12">
        <f t="shared" si="44"/>
        <v>2023</v>
      </c>
      <c r="M498" s="12">
        <f t="shared" si="45"/>
        <v>4</v>
      </c>
      <c r="N498" s="5" t="str">
        <f t="shared" si="46"/>
        <v>Monday</v>
      </c>
      <c r="O498" s="5" t="str">
        <f t="shared" si="47"/>
        <v>October</v>
      </c>
    </row>
    <row r="499" spans="1:15" x14ac:dyDescent="0.3">
      <c r="A499" s="8">
        <v>498</v>
      </c>
      <c r="B499" s="25">
        <v>45096</v>
      </c>
      <c r="C499" s="5" t="s">
        <v>506</v>
      </c>
      <c r="D499" s="5" t="s">
        <v>8</v>
      </c>
      <c r="E499" s="12">
        <v>50</v>
      </c>
      <c r="F499" s="2" t="str">
        <f t="shared" si="42"/>
        <v>Adult</v>
      </c>
      <c r="G499" s="5" t="s">
        <v>9</v>
      </c>
      <c r="H499" s="8">
        <v>4</v>
      </c>
      <c r="I499" s="2">
        <v>25</v>
      </c>
      <c r="J499" s="2">
        <v>100</v>
      </c>
      <c r="K499" t="str">
        <f t="shared" si="43"/>
        <v>Low</v>
      </c>
      <c r="L499" s="12">
        <f t="shared" si="44"/>
        <v>2023</v>
      </c>
      <c r="M499" s="12">
        <f t="shared" si="45"/>
        <v>2</v>
      </c>
      <c r="N499" s="5" t="str">
        <f t="shared" si="46"/>
        <v>Monday</v>
      </c>
      <c r="O499" s="5" t="str">
        <f t="shared" si="47"/>
        <v>June</v>
      </c>
    </row>
    <row r="500" spans="1:15" x14ac:dyDescent="0.3">
      <c r="A500" s="8">
        <v>499</v>
      </c>
      <c r="B500" s="25">
        <v>44941</v>
      </c>
      <c r="C500" s="5" t="s">
        <v>507</v>
      </c>
      <c r="D500" s="5" t="s">
        <v>5</v>
      </c>
      <c r="E500" s="12">
        <v>46</v>
      </c>
      <c r="F500" s="2" t="str">
        <f t="shared" si="42"/>
        <v>Adult</v>
      </c>
      <c r="G500" s="5" t="s">
        <v>6</v>
      </c>
      <c r="H500" s="8">
        <v>2</v>
      </c>
      <c r="I500" s="2">
        <v>30</v>
      </c>
      <c r="J500" s="2">
        <v>60</v>
      </c>
      <c r="K500" t="str">
        <f t="shared" si="43"/>
        <v>Low</v>
      </c>
      <c r="L500" s="12">
        <f t="shared" si="44"/>
        <v>2023</v>
      </c>
      <c r="M500" s="12">
        <f t="shared" si="45"/>
        <v>1</v>
      </c>
      <c r="N500" s="5" t="str">
        <f t="shared" si="46"/>
        <v>Sunday</v>
      </c>
      <c r="O500" s="5" t="str">
        <f t="shared" si="47"/>
        <v>January</v>
      </c>
    </row>
    <row r="501" spans="1:15" x14ac:dyDescent="0.3">
      <c r="A501" s="8">
        <v>500</v>
      </c>
      <c r="B501" s="25">
        <v>44986</v>
      </c>
      <c r="C501" s="5" t="s">
        <v>508</v>
      </c>
      <c r="D501" s="5" t="s">
        <v>8</v>
      </c>
      <c r="E501" s="12">
        <v>60</v>
      </c>
      <c r="F501" s="2" t="str">
        <f t="shared" si="42"/>
        <v>Adult</v>
      </c>
      <c r="G501" s="5" t="s">
        <v>6</v>
      </c>
      <c r="H501" s="8">
        <v>4</v>
      </c>
      <c r="I501" s="2">
        <v>25</v>
      </c>
      <c r="J501" s="2">
        <v>100</v>
      </c>
      <c r="K501" t="str">
        <f t="shared" si="43"/>
        <v>Low</v>
      </c>
      <c r="L501" s="12">
        <f t="shared" si="44"/>
        <v>2023</v>
      </c>
      <c r="M501" s="12">
        <f t="shared" si="45"/>
        <v>1</v>
      </c>
      <c r="N501" s="5" t="str">
        <f t="shared" si="46"/>
        <v>Wednesday</v>
      </c>
      <c r="O501" s="5" t="str">
        <f t="shared" si="47"/>
        <v>March</v>
      </c>
    </row>
    <row r="502" spans="1:15" x14ac:dyDescent="0.3">
      <c r="A502" s="8">
        <v>501</v>
      </c>
      <c r="B502" s="25">
        <v>45060</v>
      </c>
      <c r="C502" s="5" t="s">
        <v>509</v>
      </c>
      <c r="D502" s="5" t="s">
        <v>5</v>
      </c>
      <c r="E502" s="12">
        <v>39</v>
      </c>
      <c r="F502" s="2" t="str">
        <f t="shared" si="42"/>
        <v>Adult</v>
      </c>
      <c r="G502" s="5" t="s">
        <v>11</v>
      </c>
      <c r="H502" s="8">
        <v>2</v>
      </c>
      <c r="I502" s="2">
        <v>30</v>
      </c>
      <c r="J502" s="2">
        <v>60</v>
      </c>
      <c r="K502" t="str">
        <f t="shared" si="43"/>
        <v>Low</v>
      </c>
      <c r="L502" s="12">
        <f t="shared" si="44"/>
        <v>2023</v>
      </c>
      <c r="M502" s="12">
        <f t="shared" si="45"/>
        <v>2</v>
      </c>
      <c r="N502" s="5" t="str">
        <f t="shared" si="46"/>
        <v>Sunday</v>
      </c>
      <c r="O502" s="5" t="str">
        <f t="shared" si="47"/>
        <v>May</v>
      </c>
    </row>
    <row r="503" spans="1:15" x14ac:dyDescent="0.3">
      <c r="A503" s="8">
        <v>502</v>
      </c>
      <c r="B503" s="25">
        <v>45018</v>
      </c>
      <c r="C503" s="5" t="s">
        <v>510</v>
      </c>
      <c r="D503" s="5" t="s">
        <v>5</v>
      </c>
      <c r="E503" s="12">
        <v>43</v>
      </c>
      <c r="F503" s="2" t="str">
        <f t="shared" si="42"/>
        <v>Adult</v>
      </c>
      <c r="G503" s="5" t="s">
        <v>11</v>
      </c>
      <c r="H503" s="8">
        <v>3</v>
      </c>
      <c r="I503" s="2">
        <v>50</v>
      </c>
      <c r="J503" s="2">
        <v>150</v>
      </c>
      <c r="K503" t="str">
        <f t="shared" si="43"/>
        <v>Low</v>
      </c>
      <c r="L503" s="12">
        <f t="shared" si="44"/>
        <v>2023</v>
      </c>
      <c r="M503" s="12">
        <f t="shared" si="45"/>
        <v>2</v>
      </c>
      <c r="N503" s="5" t="str">
        <f t="shared" si="46"/>
        <v>Sunday</v>
      </c>
      <c r="O503" s="5" t="str">
        <f t="shared" si="47"/>
        <v>April</v>
      </c>
    </row>
    <row r="504" spans="1:15" x14ac:dyDescent="0.3">
      <c r="A504" s="8">
        <v>503</v>
      </c>
      <c r="B504" s="25">
        <v>45224</v>
      </c>
      <c r="C504" s="5" t="s">
        <v>511</v>
      </c>
      <c r="D504" s="5" t="s">
        <v>5</v>
      </c>
      <c r="E504" s="12">
        <v>45</v>
      </c>
      <c r="F504" s="2" t="str">
        <f t="shared" si="42"/>
        <v>Adult</v>
      </c>
      <c r="G504" s="5" t="s">
        <v>6</v>
      </c>
      <c r="H504" s="8">
        <v>4</v>
      </c>
      <c r="I504" s="2">
        <v>500</v>
      </c>
      <c r="J504" s="2">
        <v>2000</v>
      </c>
      <c r="K504" t="str">
        <f t="shared" si="43"/>
        <v>High</v>
      </c>
      <c r="L504" s="12">
        <f t="shared" si="44"/>
        <v>2023</v>
      </c>
      <c r="M504" s="12">
        <f t="shared" si="45"/>
        <v>4</v>
      </c>
      <c r="N504" s="5" t="str">
        <f t="shared" si="46"/>
        <v>Wednesday</v>
      </c>
      <c r="O504" s="5" t="str">
        <f t="shared" si="47"/>
        <v>October</v>
      </c>
    </row>
    <row r="505" spans="1:15" x14ac:dyDescent="0.3">
      <c r="A505" s="8">
        <v>504</v>
      </c>
      <c r="B505" s="25">
        <v>45062</v>
      </c>
      <c r="C505" s="5" t="s">
        <v>512</v>
      </c>
      <c r="D505" s="5" t="s">
        <v>8</v>
      </c>
      <c r="E505" s="12">
        <v>38</v>
      </c>
      <c r="F505" s="2" t="str">
        <f t="shared" si="42"/>
        <v>Adult</v>
      </c>
      <c r="G505" s="5" t="s">
        <v>6</v>
      </c>
      <c r="H505" s="8">
        <v>3</v>
      </c>
      <c r="I505" s="2">
        <v>50</v>
      </c>
      <c r="J505" s="2">
        <v>150</v>
      </c>
      <c r="K505" t="str">
        <f t="shared" si="43"/>
        <v>Low</v>
      </c>
      <c r="L505" s="12">
        <f t="shared" si="44"/>
        <v>2023</v>
      </c>
      <c r="M505" s="12">
        <f t="shared" si="45"/>
        <v>2</v>
      </c>
      <c r="N505" s="5" t="str">
        <f t="shared" si="46"/>
        <v>Tuesday</v>
      </c>
      <c r="O505" s="5" t="str">
        <f t="shared" si="47"/>
        <v>May</v>
      </c>
    </row>
    <row r="506" spans="1:15" x14ac:dyDescent="0.3">
      <c r="A506" s="8">
        <v>505</v>
      </c>
      <c r="B506" s="25">
        <v>44946</v>
      </c>
      <c r="C506" s="5" t="s">
        <v>513</v>
      </c>
      <c r="D506" s="5" t="s">
        <v>5</v>
      </c>
      <c r="E506" s="12">
        <v>24</v>
      </c>
      <c r="F506" s="2" t="str">
        <f t="shared" si="42"/>
        <v>Young</v>
      </c>
      <c r="G506" s="5" t="s">
        <v>6</v>
      </c>
      <c r="H506" s="8">
        <v>1</v>
      </c>
      <c r="I506" s="2">
        <v>50</v>
      </c>
      <c r="J506" s="2">
        <v>50</v>
      </c>
      <c r="K506" t="str">
        <f t="shared" si="43"/>
        <v>Low</v>
      </c>
      <c r="L506" s="12">
        <f t="shared" si="44"/>
        <v>2023</v>
      </c>
      <c r="M506" s="12">
        <f t="shared" si="45"/>
        <v>1</v>
      </c>
      <c r="N506" s="5" t="str">
        <f t="shared" si="46"/>
        <v>Friday</v>
      </c>
      <c r="O506" s="5" t="str">
        <f t="shared" si="47"/>
        <v>January</v>
      </c>
    </row>
    <row r="507" spans="1:15" x14ac:dyDescent="0.3">
      <c r="A507" s="8">
        <v>506</v>
      </c>
      <c r="B507" s="25">
        <v>44982</v>
      </c>
      <c r="C507" s="5" t="s">
        <v>514</v>
      </c>
      <c r="D507" s="5" t="s">
        <v>5</v>
      </c>
      <c r="E507" s="12">
        <v>34</v>
      </c>
      <c r="F507" s="2" t="str">
        <f t="shared" si="42"/>
        <v>Adult</v>
      </c>
      <c r="G507" s="5" t="s">
        <v>6</v>
      </c>
      <c r="H507" s="8">
        <v>3</v>
      </c>
      <c r="I507" s="2">
        <v>500</v>
      </c>
      <c r="J507" s="2">
        <v>1500</v>
      </c>
      <c r="K507" t="str">
        <f t="shared" si="43"/>
        <v>Medium</v>
      </c>
      <c r="L507" s="12">
        <f t="shared" si="44"/>
        <v>2023</v>
      </c>
      <c r="M507" s="12">
        <f t="shared" si="45"/>
        <v>1</v>
      </c>
      <c r="N507" s="5" t="str">
        <f t="shared" si="46"/>
        <v>Saturday</v>
      </c>
      <c r="O507" s="5" t="str">
        <f t="shared" si="47"/>
        <v>February</v>
      </c>
    </row>
    <row r="508" spans="1:15" x14ac:dyDescent="0.3">
      <c r="A508" s="8">
        <v>507</v>
      </c>
      <c r="B508" s="25">
        <v>45232</v>
      </c>
      <c r="C508" s="5" t="s">
        <v>515</v>
      </c>
      <c r="D508" s="5" t="s">
        <v>8</v>
      </c>
      <c r="E508" s="12">
        <v>37</v>
      </c>
      <c r="F508" s="2" t="str">
        <f t="shared" si="42"/>
        <v>Adult</v>
      </c>
      <c r="G508" s="5" t="s">
        <v>11</v>
      </c>
      <c r="H508" s="8">
        <v>3</v>
      </c>
      <c r="I508" s="2">
        <v>500</v>
      </c>
      <c r="J508" s="2">
        <v>1500</v>
      </c>
      <c r="K508" t="str">
        <f t="shared" si="43"/>
        <v>Medium</v>
      </c>
      <c r="L508" s="12">
        <f t="shared" si="44"/>
        <v>2023</v>
      </c>
      <c r="M508" s="12">
        <f t="shared" si="45"/>
        <v>4</v>
      </c>
      <c r="N508" s="5" t="str">
        <f t="shared" si="46"/>
        <v>Thursday</v>
      </c>
      <c r="O508" s="5" t="str">
        <f t="shared" si="47"/>
        <v>November</v>
      </c>
    </row>
    <row r="509" spans="1:15" x14ac:dyDescent="0.3">
      <c r="A509" s="8">
        <v>508</v>
      </c>
      <c r="B509" s="25">
        <v>45149</v>
      </c>
      <c r="C509" s="5" t="s">
        <v>516</v>
      </c>
      <c r="D509" s="5" t="s">
        <v>5</v>
      </c>
      <c r="E509" s="12">
        <v>58</v>
      </c>
      <c r="F509" s="2" t="str">
        <f t="shared" si="42"/>
        <v>Adult</v>
      </c>
      <c r="G509" s="5" t="s">
        <v>6</v>
      </c>
      <c r="H509" s="8">
        <v>2</v>
      </c>
      <c r="I509" s="2">
        <v>300</v>
      </c>
      <c r="J509" s="2">
        <v>600</v>
      </c>
      <c r="K509" t="str">
        <f t="shared" si="43"/>
        <v>Medium</v>
      </c>
      <c r="L509" s="12">
        <f t="shared" si="44"/>
        <v>2023</v>
      </c>
      <c r="M509" s="12">
        <f t="shared" si="45"/>
        <v>3</v>
      </c>
      <c r="N509" s="5" t="str">
        <f t="shared" si="46"/>
        <v>Friday</v>
      </c>
      <c r="O509" s="5" t="str">
        <f t="shared" si="47"/>
        <v>August</v>
      </c>
    </row>
    <row r="510" spans="1:15" x14ac:dyDescent="0.3">
      <c r="A510" s="8">
        <v>509</v>
      </c>
      <c r="B510" s="25">
        <v>45103</v>
      </c>
      <c r="C510" s="5" t="s">
        <v>517</v>
      </c>
      <c r="D510" s="5" t="s">
        <v>8</v>
      </c>
      <c r="E510" s="12">
        <v>37</v>
      </c>
      <c r="F510" s="2" t="str">
        <f t="shared" si="42"/>
        <v>Adult</v>
      </c>
      <c r="G510" s="5" t="s">
        <v>11</v>
      </c>
      <c r="H510" s="8">
        <v>3</v>
      </c>
      <c r="I510" s="2">
        <v>300</v>
      </c>
      <c r="J510" s="2">
        <v>900</v>
      </c>
      <c r="K510" t="str">
        <f t="shared" si="43"/>
        <v>Medium</v>
      </c>
      <c r="L510" s="12">
        <f t="shared" si="44"/>
        <v>2023</v>
      </c>
      <c r="M510" s="12">
        <f t="shared" si="45"/>
        <v>2</v>
      </c>
      <c r="N510" s="5" t="str">
        <f t="shared" si="46"/>
        <v>Monday</v>
      </c>
      <c r="O510" s="5" t="str">
        <f t="shared" si="47"/>
        <v>June</v>
      </c>
    </row>
    <row r="511" spans="1:15" x14ac:dyDescent="0.3">
      <c r="A511" s="8">
        <v>510</v>
      </c>
      <c r="B511" s="25">
        <v>45087</v>
      </c>
      <c r="C511" s="5" t="s">
        <v>518</v>
      </c>
      <c r="D511" s="5" t="s">
        <v>8</v>
      </c>
      <c r="E511" s="12">
        <v>39</v>
      </c>
      <c r="F511" s="2" t="str">
        <f t="shared" si="42"/>
        <v>Adult</v>
      </c>
      <c r="G511" s="5" t="s">
        <v>6</v>
      </c>
      <c r="H511" s="8">
        <v>4</v>
      </c>
      <c r="I511" s="2">
        <v>50</v>
      </c>
      <c r="J511" s="2">
        <v>200</v>
      </c>
      <c r="K511" t="str">
        <f t="shared" si="43"/>
        <v>Low</v>
      </c>
      <c r="L511" s="12">
        <f t="shared" si="44"/>
        <v>2023</v>
      </c>
      <c r="M511" s="12">
        <f t="shared" si="45"/>
        <v>2</v>
      </c>
      <c r="N511" s="5" t="str">
        <f t="shared" si="46"/>
        <v>Saturday</v>
      </c>
      <c r="O511" s="5" t="str">
        <f t="shared" si="47"/>
        <v>June</v>
      </c>
    </row>
    <row r="512" spans="1:15" x14ac:dyDescent="0.3">
      <c r="A512" s="8">
        <v>511</v>
      </c>
      <c r="B512" s="25">
        <v>45150</v>
      </c>
      <c r="C512" s="5" t="s">
        <v>519</v>
      </c>
      <c r="D512" s="5" t="s">
        <v>5</v>
      </c>
      <c r="E512" s="12">
        <v>45</v>
      </c>
      <c r="F512" s="2" t="str">
        <f t="shared" si="42"/>
        <v>Adult</v>
      </c>
      <c r="G512" s="5" t="s">
        <v>6</v>
      </c>
      <c r="H512" s="8">
        <v>2</v>
      </c>
      <c r="I512" s="2">
        <v>50</v>
      </c>
      <c r="J512" s="2">
        <v>100</v>
      </c>
      <c r="K512" t="str">
        <f t="shared" si="43"/>
        <v>Low</v>
      </c>
      <c r="L512" s="12">
        <f t="shared" si="44"/>
        <v>2023</v>
      </c>
      <c r="M512" s="12">
        <f t="shared" si="45"/>
        <v>3</v>
      </c>
      <c r="N512" s="5" t="str">
        <f t="shared" si="46"/>
        <v>Saturday</v>
      </c>
      <c r="O512" s="5" t="str">
        <f t="shared" si="47"/>
        <v>August</v>
      </c>
    </row>
    <row r="513" spans="1:15" x14ac:dyDescent="0.3">
      <c r="A513" s="8">
        <v>512</v>
      </c>
      <c r="B513" s="25">
        <v>45237</v>
      </c>
      <c r="C513" s="5" t="s">
        <v>520</v>
      </c>
      <c r="D513" s="5" t="s">
        <v>8</v>
      </c>
      <c r="E513" s="12">
        <v>57</v>
      </c>
      <c r="F513" s="2" t="str">
        <f t="shared" si="42"/>
        <v>Adult</v>
      </c>
      <c r="G513" s="5" t="s">
        <v>6</v>
      </c>
      <c r="H513" s="8">
        <v>1</v>
      </c>
      <c r="I513" s="2">
        <v>25</v>
      </c>
      <c r="J513" s="2">
        <v>25</v>
      </c>
      <c r="K513" t="str">
        <f t="shared" si="43"/>
        <v>Low</v>
      </c>
      <c r="L513" s="12">
        <f t="shared" si="44"/>
        <v>2023</v>
      </c>
      <c r="M513" s="12">
        <f t="shared" si="45"/>
        <v>4</v>
      </c>
      <c r="N513" s="5" t="str">
        <f t="shared" si="46"/>
        <v>Tuesday</v>
      </c>
      <c r="O513" s="5" t="str">
        <f t="shared" si="47"/>
        <v>November</v>
      </c>
    </row>
    <row r="514" spans="1:15" x14ac:dyDescent="0.3">
      <c r="A514" s="8">
        <v>513</v>
      </c>
      <c r="B514" s="25">
        <v>45188</v>
      </c>
      <c r="C514" s="5" t="s">
        <v>521</v>
      </c>
      <c r="D514" s="5" t="s">
        <v>5</v>
      </c>
      <c r="E514" s="12">
        <v>24</v>
      </c>
      <c r="F514" s="2" t="str">
        <f t="shared" si="42"/>
        <v>Young</v>
      </c>
      <c r="G514" s="5" t="s">
        <v>11</v>
      </c>
      <c r="H514" s="8">
        <v>4</v>
      </c>
      <c r="I514" s="2">
        <v>25</v>
      </c>
      <c r="J514" s="2">
        <v>100</v>
      </c>
      <c r="K514" t="str">
        <f t="shared" si="43"/>
        <v>Low</v>
      </c>
      <c r="L514" s="12">
        <f t="shared" si="44"/>
        <v>2023</v>
      </c>
      <c r="M514" s="12">
        <f t="shared" si="45"/>
        <v>3</v>
      </c>
      <c r="N514" s="5" t="str">
        <f t="shared" si="46"/>
        <v>Tuesday</v>
      </c>
      <c r="O514" s="5" t="str">
        <f t="shared" si="47"/>
        <v>September</v>
      </c>
    </row>
    <row r="515" spans="1:15" x14ac:dyDescent="0.3">
      <c r="A515" s="8">
        <v>514</v>
      </c>
      <c r="B515" s="25">
        <v>44986</v>
      </c>
      <c r="C515" s="5" t="s">
        <v>522</v>
      </c>
      <c r="D515" s="5" t="s">
        <v>8</v>
      </c>
      <c r="E515" s="12">
        <v>18</v>
      </c>
      <c r="F515" s="2" t="str">
        <f t="shared" ref="F515:F578" si="48">IF(E515&gt;60,"Senior",IF(E515&gt;30,"Adult","Young"))</f>
        <v>Young</v>
      </c>
      <c r="G515" s="5" t="s">
        <v>11</v>
      </c>
      <c r="H515" s="8">
        <v>1</v>
      </c>
      <c r="I515" s="2">
        <v>300</v>
      </c>
      <c r="J515" s="2">
        <v>300</v>
      </c>
      <c r="K515" t="str">
        <f t="shared" ref="K515:K578" si="49">IF(J515&gt;1500,"High",IF(J515&gt;500,"Medium","Low"))</f>
        <v>Low</v>
      </c>
      <c r="L515" s="12">
        <f t="shared" ref="L515:L578" si="50">YEAR(B515)</f>
        <v>2023</v>
      </c>
      <c r="M515" s="12">
        <f t="shared" ref="M515:M578" si="51">ROUNDUP(MONTH(B515)/3,0)</f>
        <v>1</v>
      </c>
      <c r="N515" s="5" t="str">
        <f t="shared" ref="N515:N578" si="52">TEXT(B515,"dddd")</f>
        <v>Wednesday</v>
      </c>
      <c r="O515" s="5" t="str">
        <f t="shared" ref="O515:O578" si="53">TEXT(B515,"mmmm")</f>
        <v>March</v>
      </c>
    </row>
    <row r="516" spans="1:15" x14ac:dyDescent="0.3">
      <c r="A516" s="8">
        <v>515</v>
      </c>
      <c r="B516" s="25">
        <v>45124</v>
      </c>
      <c r="C516" s="5" t="s">
        <v>523</v>
      </c>
      <c r="D516" s="5" t="s">
        <v>8</v>
      </c>
      <c r="E516" s="12">
        <v>49</v>
      </c>
      <c r="F516" s="2" t="str">
        <f t="shared" si="48"/>
        <v>Adult</v>
      </c>
      <c r="G516" s="5" t="s">
        <v>9</v>
      </c>
      <c r="H516" s="8">
        <v>3</v>
      </c>
      <c r="I516" s="2">
        <v>300</v>
      </c>
      <c r="J516" s="2">
        <v>900</v>
      </c>
      <c r="K516" t="str">
        <f t="shared" si="49"/>
        <v>Medium</v>
      </c>
      <c r="L516" s="12">
        <f t="shared" si="50"/>
        <v>2023</v>
      </c>
      <c r="M516" s="12">
        <f t="shared" si="51"/>
        <v>3</v>
      </c>
      <c r="N516" s="5" t="str">
        <f t="shared" si="52"/>
        <v>Monday</v>
      </c>
      <c r="O516" s="5" t="str">
        <f t="shared" si="53"/>
        <v>July</v>
      </c>
    </row>
    <row r="517" spans="1:15" x14ac:dyDescent="0.3">
      <c r="A517" s="8">
        <v>516</v>
      </c>
      <c r="B517" s="25">
        <v>45222</v>
      </c>
      <c r="C517" s="5" t="s">
        <v>524</v>
      </c>
      <c r="D517" s="5" t="s">
        <v>5</v>
      </c>
      <c r="E517" s="12">
        <v>30</v>
      </c>
      <c r="F517" s="2" t="str">
        <f t="shared" si="48"/>
        <v>Young</v>
      </c>
      <c r="G517" s="5" t="s">
        <v>6</v>
      </c>
      <c r="H517" s="8">
        <v>4</v>
      </c>
      <c r="I517" s="2">
        <v>25</v>
      </c>
      <c r="J517" s="2">
        <v>100</v>
      </c>
      <c r="K517" t="str">
        <f t="shared" si="49"/>
        <v>Low</v>
      </c>
      <c r="L517" s="12">
        <f t="shared" si="50"/>
        <v>2023</v>
      </c>
      <c r="M517" s="12">
        <f t="shared" si="51"/>
        <v>4</v>
      </c>
      <c r="N517" s="5" t="str">
        <f t="shared" si="52"/>
        <v>Monday</v>
      </c>
      <c r="O517" s="5" t="str">
        <f t="shared" si="53"/>
        <v>October</v>
      </c>
    </row>
    <row r="518" spans="1:15" x14ac:dyDescent="0.3">
      <c r="A518" s="8">
        <v>517</v>
      </c>
      <c r="B518" s="25">
        <v>45024</v>
      </c>
      <c r="C518" s="5" t="s">
        <v>525</v>
      </c>
      <c r="D518" s="5" t="s">
        <v>8</v>
      </c>
      <c r="E518" s="12">
        <v>47</v>
      </c>
      <c r="F518" s="2" t="str">
        <f t="shared" si="48"/>
        <v>Adult</v>
      </c>
      <c r="G518" s="5" t="s">
        <v>9</v>
      </c>
      <c r="H518" s="8">
        <v>4</v>
      </c>
      <c r="I518" s="2">
        <v>25</v>
      </c>
      <c r="J518" s="2">
        <v>100</v>
      </c>
      <c r="K518" t="str">
        <f t="shared" si="49"/>
        <v>Low</v>
      </c>
      <c r="L518" s="12">
        <f t="shared" si="50"/>
        <v>2023</v>
      </c>
      <c r="M518" s="12">
        <f t="shared" si="51"/>
        <v>2</v>
      </c>
      <c r="N518" s="5" t="str">
        <f t="shared" si="52"/>
        <v>Saturday</v>
      </c>
      <c r="O518" s="5" t="str">
        <f t="shared" si="53"/>
        <v>April</v>
      </c>
    </row>
    <row r="519" spans="1:15" x14ac:dyDescent="0.3">
      <c r="A519" s="8">
        <v>518</v>
      </c>
      <c r="B519" s="25">
        <v>45057</v>
      </c>
      <c r="C519" s="5" t="s">
        <v>526</v>
      </c>
      <c r="D519" s="5" t="s">
        <v>8</v>
      </c>
      <c r="E519" s="12">
        <v>40</v>
      </c>
      <c r="F519" s="2" t="str">
        <f t="shared" si="48"/>
        <v>Adult</v>
      </c>
      <c r="G519" s="5" t="s">
        <v>9</v>
      </c>
      <c r="H519" s="8">
        <v>1</v>
      </c>
      <c r="I519" s="2">
        <v>30</v>
      </c>
      <c r="J519" s="2">
        <v>30</v>
      </c>
      <c r="K519" t="str">
        <f t="shared" si="49"/>
        <v>Low</v>
      </c>
      <c r="L519" s="12">
        <f t="shared" si="50"/>
        <v>2023</v>
      </c>
      <c r="M519" s="12">
        <f t="shared" si="51"/>
        <v>2</v>
      </c>
      <c r="N519" s="5" t="str">
        <f t="shared" si="52"/>
        <v>Thursday</v>
      </c>
      <c r="O519" s="5" t="str">
        <f t="shared" si="53"/>
        <v>May</v>
      </c>
    </row>
    <row r="520" spans="1:15" x14ac:dyDescent="0.3">
      <c r="A520" s="8">
        <v>519</v>
      </c>
      <c r="B520" s="25">
        <v>44949</v>
      </c>
      <c r="C520" s="5" t="s">
        <v>527</v>
      </c>
      <c r="D520" s="5" t="s">
        <v>8</v>
      </c>
      <c r="E520" s="12">
        <v>36</v>
      </c>
      <c r="F520" s="2" t="str">
        <f t="shared" si="48"/>
        <v>Adult</v>
      </c>
      <c r="G520" s="5" t="s">
        <v>11</v>
      </c>
      <c r="H520" s="8">
        <v>4</v>
      </c>
      <c r="I520" s="2">
        <v>30</v>
      </c>
      <c r="J520" s="2">
        <v>120</v>
      </c>
      <c r="K520" t="str">
        <f t="shared" si="49"/>
        <v>Low</v>
      </c>
      <c r="L520" s="12">
        <f t="shared" si="50"/>
        <v>2023</v>
      </c>
      <c r="M520" s="12">
        <f t="shared" si="51"/>
        <v>1</v>
      </c>
      <c r="N520" s="5" t="str">
        <f t="shared" si="52"/>
        <v>Monday</v>
      </c>
      <c r="O520" s="5" t="str">
        <f t="shared" si="53"/>
        <v>January</v>
      </c>
    </row>
    <row r="521" spans="1:15" x14ac:dyDescent="0.3">
      <c r="A521" s="8">
        <v>520</v>
      </c>
      <c r="B521" s="25">
        <v>45289</v>
      </c>
      <c r="C521" s="5" t="s">
        <v>528</v>
      </c>
      <c r="D521" s="5" t="s">
        <v>8</v>
      </c>
      <c r="E521" s="12">
        <v>49</v>
      </c>
      <c r="F521" s="2" t="str">
        <f t="shared" si="48"/>
        <v>Adult</v>
      </c>
      <c r="G521" s="5" t="s">
        <v>11</v>
      </c>
      <c r="H521" s="8">
        <v>4</v>
      </c>
      <c r="I521" s="2">
        <v>25</v>
      </c>
      <c r="J521" s="2">
        <v>100</v>
      </c>
      <c r="K521" t="str">
        <f t="shared" si="49"/>
        <v>Low</v>
      </c>
      <c r="L521" s="12">
        <f t="shared" si="50"/>
        <v>2023</v>
      </c>
      <c r="M521" s="12">
        <f t="shared" si="51"/>
        <v>4</v>
      </c>
      <c r="N521" s="5" t="str">
        <f t="shared" si="52"/>
        <v>Friday</v>
      </c>
      <c r="O521" s="5" t="str">
        <f t="shared" si="53"/>
        <v>December</v>
      </c>
    </row>
    <row r="522" spans="1:15" x14ac:dyDescent="0.3">
      <c r="A522" s="8">
        <v>521</v>
      </c>
      <c r="B522" s="25">
        <v>45150</v>
      </c>
      <c r="C522" s="5" t="s">
        <v>529</v>
      </c>
      <c r="D522" s="5" t="s">
        <v>8</v>
      </c>
      <c r="E522" s="12">
        <v>47</v>
      </c>
      <c r="F522" s="2" t="str">
        <f t="shared" si="48"/>
        <v>Adult</v>
      </c>
      <c r="G522" s="5" t="s">
        <v>9</v>
      </c>
      <c r="H522" s="8">
        <v>4</v>
      </c>
      <c r="I522" s="2">
        <v>30</v>
      </c>
      <c r="J522" s="2">
        <v>120</v>
      </c>
      <c r="K522" t="str">
        <f t="shared" si="49"/>
        <v>Low</v>
      </c>
      <c r="L522" s="12">
        <f t="shared" si="50"/>
        <v>2023</v>
      </c>
      <c r="M522" s="12">
        <f t="shared" si="51"/>
        <v>3</v>
      </c>
      <c r="N522" s="5" t="str">
        <f t="shared" si="52"/>
        <v>Saturday</v>
      </c>
      <c r="O522" s="5" t="str">
        <f t="shared" si="53"/>
        <v>August</v>
      </c>
    </row>
    <row r="523" spans="1:15" x14ac:dyDescent="0.3">
      <c r="A523" s="8">
        <v>522</v>
      </c>
      <c r="B523" s="25">
        <v>44927</v>
      </c>
      <c r="C523" s="5" t="s">
        <v>530</v>
      </c>
      <c r="D523" s="5" t="s">
        <v>5</v>
      </c>
      <c r="E523" s="12">
        <v>46</v>
      </c>
      <c r="F523" s="2" t="str">
        <f t="shared" si="48"/>
        <v>Adult</v>
      </c>
      <c r="G523" s="5" t="s">
        <v>6</v>
      </c>
      <c r="H523" s="8">
        <v>3</v>
      </c>
      <c r="I523" s="2">
        <v>500</v>
      </c>
      <c r="J523" s="2">
        <v>1500</v>
      </c>
      <c r="K523" t="str">
        <f t="shared" si="49"/>
        <v>Medium</v>
      </c>
      <c r="L523" s="12">
        <f t="shared" si="50"/>
        <v>2023</v>
      </c>
      <c r="M523" s="12">
        <f t="shared" si="51"/>
        <v>1</v>
      </c>
      <c r="N523" s="5" t="str">
        <f t="shared" si="52"/>
        <v>Sunday</v>
      </c>
      <c r="O523" s="5" t="str">
        <f t="shared" si="53"/>
        <v>January</v>
      </c>
    </row>
    <row r="524" spans="1:15" x14ac:dyDescent="0.3">
      <c r="A524" s="8">
        <v>523</v>
      </c>
      <c r="B524" s="25">
        <v>45193</v>
      </c>
      <c r="C524" s="5" t="s">
        <v>531</v>
      </c>
      <c r="D524" s="5" t="s">
        <v>8</v>
      </c>
      <c r="E524" s="12">
        <v>62</v>
      </c>
      <c r="F524" s="2" t="str">
        <f t="shared" si="48"/>
        <v>Senior</v>
      </c>
      <c r="G524" s="5" t="s">
        <v>11</v>
      </c>
      <c r="H524" s="8">
        <v>1</v>
      </c>
      <c r="I524" s="2">
        <v>300</v>
      </c>
      <c r="J524" s="2">
        <v>300</v>
      </c>
      <c r="K524" t="str">
        <f t="shared" si="49"/>
        <v>Low</v>
      </c>
      <c r="L524" s="12">
        <f t="shared" si="50"/>
        <v>2023</v>
      </c>
      <c r="M524" s="12">
        <f t="shared" si="51"/>
        <v>3</v>
      </c>
      <c r="N524" s="5" t="str">
        <f t="shared" si="52"/>
        <v>Sunday</v>
      </c>
      <c r="O524" s="5" t="str">
        <f t="shared" si="53"/>
        <v>September</v>
      </c>
    </row>
    <row r="525" spans="1:15" x14ac:dyDescent="0.3">
      <c r="A525" s="8">
        <v>524</v>
      </c>
      <c r="B525" s="25">
        <v>45202</v>
      </c>
      <c r="C525" s="5" t="s">
        <v>532</v>
      </c>
      <c r="D525" s="5" t="s">
        <v>5</v>
      </c>
      <c r="E525" s="12">
        <v>46</v>
      </c>
      <c r="F525" s="2" t="str">
        <f t="shared" si="48"/>
        <v>Adult</v>
      </c>
      <c r="G525" s="5" t="s">
        <v>6</v>
      </c>
      <c r="H525" s="8">
        <v>4</v>
      </c>
      <c r="I525" s="2">
        <v>300</v>
      </c>
      <c r="J525" s="2">
        <v>1200</v>
      </c>
      <c r="K525" t="str">
        <f t="shared" si="49"/>
        <v>Medium</v>
      </c>
      <c r="L525" s="12">
        <f t="shared" si="50"/>
        <v>2023</v>
      </c>
      <c r="M525" s="12">
        <f t="shared" si="51"/>
        <v>4</v>
      </c>
      <c r="N525" s="5" t="str">
        <f t="shared" si="52"/>
        <v>Tuesday</v>
      </c>
      <c r="O525" s="5" t="str">
        <f t="shared" si="53"/>
        <v>October</v>
      </c>
    </row>
    <row r="526" spans="1:15" x14ac:dyDescent="0.3">
      <c r="A526" s="8">
        <v>525</v>
      </c>
      <c r="B526" s="25">
        <v>45278</v>
      </c>
      <c r="C526" s="5" t="s">
        <v>533</v>
      </c>
      <c r="D526" s="5" t="s">
        <v>8</v>
      </c>
      <c r="E526" s="12">
        <v>47</v>
      </c>
      <c r="F526" s="2" t="str">
        <f t="shared" si="48"/>
        <v>Adult</v>
      </c>
      <c r="G526" s="5" t="s">
        <v>6</v>
      </c>
      <c r="H526" s="8">
        <v>2</v>
      </c>
      <c r="I526" s="2">
        <v>25</v>
      </c>
      <c r="J526" s="2">
        <v>50</v>
      </c>
      <c r="K526" t="str">
        <f t="shared" si="49"/>
        <v>Low</v>
      </c>
      <c r="L526" s="12">
        <f t="shared" si="50"/>
        <v>2023</v>
      </c>
      <c r="M526" s="12">
        <f t="shared" si="51"/>
        <v>4</v>
      </c>
      <c r="N526" s="5" t="str">
        <f t="shared" si="52"/>
        <v>Monday</v>
      </c>
      <c r="O526" s="5" t="str">
        <f t="shared" si="53"/>
        <v>December</v>
      </c>
    </row>
    <row r="527" spans="1:15" x14ac:dyDescent="0.3">
      <c r="A527" s="8">
        <v>526</v>
      </c>
      <c r="B527" s="25">
        <v>45270</v>
      </c>
      <c r="C527" s="5" t="s">
        <v>534</v>
      </c>
      <c r="D527" s="5" t="s">
        <v>5</v>
      </c>
      <c r="E527" s="12">
        <v>33</v>
      </c>
      <c r="F527" s="2" t="str">
        <f t="shared" si="48"/>
        <v>Adult</v>
      </c>
      <c r="G527" s="5" t="s">
        <v>9</v>
      </c>
      <c r="H527" s="8">
        <v>2</v>
      </c>
      <c r="I527" s="2">
        <v>50</v>
      </c>
      <c r="J527" s="2">
        <v>100</v>
      </c>
      <c r="K527" t="str">
        <f t="shared" si="49"/>
        <v>Low</v>
      </c>
      <c r="L527" s="12">
        <f t="shared" si="50"/>
        <v>2023</v>
      </c>
      <c r="M527" s="12">
        <f t="shared" si="51"/>
        <v>4</v>
      </c>
      <c r="N527" s="5" t="str">
        <f t="shared" si="52"/>
        <v>Sunday</v>
      </c>
      <c r="O527" s="5" t="str">
        <f t="shared" si="53"/>
        <v>December</v>
      </c>
    </row>
    <row r="528" spans="1:15" x14ac:dyDescent="0.3">
      <c r="A528" s="8">
        <v>527</v>
      </c>
      <c r="B528" s="25">
        <v>45027</v>
      </c>
      <c r="C528" s="5" t="s">
        <v>535</v>
      </c>
      <c r="D528" s="5" t="s">
        <v>5</v>
      </c>
      <c r="E528" s="12">
        <v>57</v>
      </c>
      <c r="F528" s="2" t="str">
        <f t="shared" si="48"/>
        <v>Adult</v>
      </c>
      <c r="G528" s="5" t="s">
        <v>9</v>
      </c>
      <c r="H528" s="8">
        <v>2</v>
      </c>
      <c r="I528" s="2">
        <v>25</v>
      </c>
      <c r="J528" s="2">
        <v>50</v>
      </c>
      <c r="K528" t="str">
        <f t="shared" si="49"/>
        <v>Low</v>
      </c>
      <c r="L528" s="12">
        <f t="shared" si="50"/>
        <v>2023</v>
      </c>
      <c r="M528" s="12">
        <f t="shared" si="51"/>
        <v>2</v>
      </c>
      <c r="N528" s="5" t="str">
        <f t="shared" si="52"/>
        <v>Tuesday</v>
      </c>
      <c r="O528" s="5" t="str">
        <f t="shared" si="53"/>
        <v>April</v>
      </c>
    </row>
    <row r="529" spans="1:15" x14ac:dyDescent="0.3">
      <c r="A529" s="8">
        <v>528</v>
      </c>
      <c r="B529" s="25">
        <v>45113</v>
      </c>
      <c r="C529" s="5" t="s">
        <v>536</v>
      </c>
      <c r="D529" s="5" t="s">
        <v>8</v>
      </c>
      <c r="E529" s="12">
        <v>36</v>
      </c>
      <c r="F529" s="2" t="str">
        <f t="shared" si="48"/>
        <v>Adult</v>
      </c>
      <c r="G529" s="5" t="s">
        <v>9</v>
      </c>
      <c r="H529" s="8">
        <v>2</v>
      </c>
      <c r="I529" s="2">
        <v>30</v>
      </c>
      <c r="J529" s="2">
        <v>60</v>
      </c>
      <c r="K529" t="str">
        <f t="shared" si="49"/>
        <v>Low</v>
      </c>
      <c r="L529" s="12">
        <f t="shared" si="50"/>
        <v>2023</v>
      </c>
      <c r="M529" s="12">
        <f t="shared" si="51"/>
        <v>3</v>
      </c>
      <c r="N529" s="5" t="str">
        <f t="shared" si="52"/>
        <v>Thursday</v>
      </c>
      <c r="O529" s="5" t="str">
        <f t="shared" si="53"/>
        <v>July</v>
      </c>
    </row>
    <row r="530" spans="1:15" x14ac:dyDescent="0.3">
      <c r="A530" s="8">
        <v>529</v>
      </c>
      <c r="B530" s="25">
        <v>45147</v>
      </c>
      <c r="C530" s="5" t="s">
        <v>537</v>
      </c>
      <c r="D530" s="5" t="s">
        <v>8</v>
      </c>
      <c r="E530" s="12">
        <v>35</v>
      </c>
      <c r="F530" s="2" t="str">
        <f t="shared" si="48"/>
        <v>Adult</v>
      </c>
      <c r="G530" s="5" t="s">
        <v>9</v>
      </c>
      <c r="H530" s="8">
        <v>3</v>
      </c>
      <c r="I530" s="2">
        <v>50</v>
      </c>
      <c r="J530" s="2">
        <v>150</v>
      </c>
      <c r="K530" t="str">
        <f t="shared" si="49"/>
        <v>Low</v>
      </c>
      <c r="L530" s="12">
        <f t="shared" si="50"/>
        <v>2023</v>
      </c>
      <c r="M530" s="12">
        <f t="shared" si="51"/>
        <v>3</v>
      </c>
      <c r="N530" s="5" t="str">
        <f t="shared" si="52"/>
        <v>Wednesday</v>
      </c>
      <c r="O530" s="5" t="str">
        <f t="shared" si="53"/>
        <v>August</v>
      </c>
    </row>
    <row r="531" spans="1:15" x14ac:dyDescent="0.3">
      <c r="A531" s="8">
        <v>530</v>
      </c>
      <c r="B531" s="25">
        <v>44962</v>
      </c>
      <c r="C531" s="5" t="s">
        <v>538</v>
      </c>
      <c r="D531" s="5" t="s">
        <v>8</v>
      </c>
      <c r="E531" s="12">
        <v>18</v>
      </c>
      <c r="F531" s="2" t="str">
        <f t="shared" si="48"/>
        <v>Young</v>
      </c>
      <c r="G531" s="5" t="s">
        <v>11</v>
      </c>
      <c r="H531" s="8">
        <v>4</v>
      </c>
      <c r="I531" s="2">
        <v>30</v>
      </c>
      <c r="J531" s="2">
        <v>120</v>
      </c>
      <c r="K531" t="str">
        <f t="shared" si="49"/>
        <v>Low</v>
      </c>
      <c r="L531" s="12">
        <f t="shared" si="50"/>
        <v>2023</v>
      </c>
      <c r="M531" s="12">
        <f t="shared" si="51"/>
        <v>1</v>
      </c>
      <c r="N531" s="5" t="str">
        <f t="shared" si="52"/>
        <v>Sunday</v>
      </c>
      <c r="O531" s="5" t="str">
        <f t="shared" si="53"/>
        <v>February</v>
      </c>
    </row>
    <row r="532" spans="1:15" x14ac:dyDescent="0.3">
      <c r="A532" s="8">
        <v>531</v>
      </c>
      <c r="B532" s="25">
        <v>45267</v>
      </c>
      <c r="C532" s="5" t="s">
        <v>539</v>
      </c>
      <c r="D532" s="5" t="s">
        <v>5</v>
      </c>
      <c r="E532" s="12">
        <v>31</v>
      </c>
      <c r="F532" s="2" t="str">
        <f t="shared" si="48"/>
        <v>Adult</v>
      </c>
      <c r="G532" s="5" t="s">
        <v>11</v>
      </c>
      <c r="H532" s="8">
        <v>1</v>
      </c>
      <c r="I532" s="2">
        <v>500</v>
      </c>
      <c r="J532" s="2">
        <v>500</v>
      </c>
      <c r="K532" t="str">
        <f t="shared" si="49"/>
        <v>Low</v>
      </c>
      <c r="L532" s="12">
        <f t="shared" si="50"/>
        <v>2023</v>
      </c>
      <c r="M532" s="12">
        <f t="shared" si="51"/>
        <v>4</v>
      </c>
      <c r="N532" s="5" t="str">
        <f t="shared" si="52"/>
        <v>Thursday</v>
      </c>
      <c r="O532" s="5" t="str">
        <f t="shared" si="53"/>
        <v>December</v>
      </c>
    </row>
    <row r="533" spans="1:15" x14ac:dyDescent="0.3">
      <c r="A533" s="8">
        <v>532</v>
      </c>
      <c r="B533" s="25">
        <v>45096</v>
      </c>
      <c r="C533" s="5" t="s">
        <v>540</v>
      </c>
      <c r="D533" s="5" t="s">
        <v>8</v>
      </c>
      <c r="E533" s="12">
        <v>64</v>
      </c>
      <c r="F533" s="2" t="str">
        <f t="shared" si="48"/>
        <v>Senior</v>
      </c>
      <c r="G533" s="5" t="s">
        <v>9</v>
      </c>
      <c r="H533" s="8">
        <v>4</v>
      </c>
      <c r="I533" s="2">
        <v>30</v>
      </c>
      <c r="J533" s="2">
        <v>120</v>
      </c>
      <c r="K533" t="str">
        <f t="shared" si="49"/>
        <v>Low</v>
      </c>
      <c r="L533" s="12">
        <f t="shared" si="50"/>
        <v>2023</v>
      </c>
      <c r="M533" s="12">
        <f t="shared" si="51"/>
        <v>2</v>
      </c>
      <c r="N533" s="5" t="str">
        <f t="shared" si="52"/>
        <v>Monday</v>
      </c>
      <c r="O533" s="5" t="str">
        <f t="shared" si="53"/>
        <v>June</v>
      </c>
    </row>
    <row r="534" spans="1:15" x14ac:dyDescent="0.3">
      <c r="A534" s="8">
        <v>533</v>
      </c>
      <c r="B534" s="25">
        <v>45246</v>
      </c>
      <c r="C534" s="5" t="s">
        <v>541</v>
      </c>
      <c r="D534" s="5" t="s">
        <v>5</v>
      </c>
      <c r="E534" s="12">
        <v>19</v>
      </c>
      <c r="F534" s="2" t="str">
        <f t="shared" si="48"/>
        <v>Young</v>
      </c>
      <c r="G534" s="5" t="s">
        <v>11</v>
      </c>
      <c r="H534" s="8">
        <v>3</v>
      </c>
      <c r="I534" s="2">
        <v>500</v>
      </c>
      <c r="J534" s="2">
        <v>1500</v>
      </c>
      <c r="K534" t="str">
        <f t="shared" si="49"/>
        <v>Medium</v>
      </c>
      <c r="L534" s="12">
        <f t="shared" si="50"/>
        <v>2023</v>
      </c>
      <c r="M534" s="12">
        <f t="shared" si="51"/>
        <v>4</v>
      </c>
      <c r="N534" s="5" t="str">
        <f t="shared" si="52"/>
        <v>Thursday</v>
      </c>
      <c r="O534" s="5" t="str">
        <f t="shared" si="53"/>
        <v>November</v>
      </c>
    </row>
    <row r="535" spans="1:15" x14ac:dyDescent="0.3">
      <c r="A535" s="8">
        <v>534</v>
      </c>
      <c r="B535" s="25">
        <v>45087</v>
      </c>
      <c r="C535" s="5" t="s">
        <v>542</v>
      </c>
      <c r="D535" s="5" t="s">
        <v>5</v>
      </c>
      <c r="E535" s="12">
        <v>45</v>
      </c>
      <c r="F535" s="2" t="str">
        <f t="shared" si="48"/>
        <v>Adult</v>
      </c>
      <c r="G535" s="5" t="s">
        <v>9</v>
      </c>
      <c r="H535" s="8">
        <v>2</v>
      </c>
      <c r="I535" s="2">
        <v>500</v>
      </c>
      <c r="J535" s="2">
        <v>1000</v>
      </c>
      <c r="K535" t="str">
        <f t="shared" si="49"/>
        <v>Medium</v>
      </c>
      <c r="L535" s="12">
        <f t="shared" si="50"/>
        <v>2023</v>
      </c>
      <c r="M535" s="12">
        <f t="shared" si="51"/>
        <v>2</v>
      </c>
      <c r="N535" s="5" t="str">
        <f t="shared" si="52"/>
        <v>Saturday</v>
      </c>
      <c r="O535" s="5" t="str">
        <f t="shared" si="53"/>
        <v>June</v>
      </c>
    </row>
    <row r="536" spans="1:15" x14ac:dyDescent="0.3">
      <c r="A536" s="8">
        <v>535</v>
      </c>
      <c r="B536" s="25">
        <v>45266</v>
      </c>
      <c r="C536" s="5" t="s">
        <v>543</v>
      </c>
      <c r="D536" s="5" t="s">
        <v>5</v>
      </c>
      <c r="E536" s="12">
        <v>47</v>
      </c>
      <c r="F536" s="2" t="str">
        <f t="shared" si="48"/>
        <v>Adult</v>
      </c>
      <c r="G536" s="5" t="s">
        <v>6</v>
      </c>
      <c r="H536" s="8">
        <v>3</v>
      </c>
      <c r="I536" s="2">
        <v>30</v>
      </c>
      <c r="J536" s="2">
        <v>90</v>
      </c>
      <c r="K536" t="str">
        <f t="shared" si="49"/>
        <v>Low</v>
      </c>
      <c r="L536" s="12">
        <f t="shared" si="50"/>
        <v>2023</v>
      </c>
      <c r="M536" s="12">
        <f t="shared" si="51"/>
        <v>4</v>
      </c>
      <c r="N536" s="5" t="str">
        <f t="shared" si="52"/>
        <v>Wednesday</v>
      </c>
      <c r="O536" s="5" t="str">
        <f t="shared" si="53"/>
        <v>December</v>
      </c>
    </row>
    <row r="537" spans="1:15" x14ac:dyDescent="0.3">
      <c r="A537" s="8">
        <v>536</v>
      </c>
      <c r="B537" s="25">
        <v>44990</v>
      </c>
      <c r="C537" s="5" t="s">
        <v>544</v>
      </c>
      <c r="D537" s="5" t="s">
        <v>8</v>
      </c>
      <c r="E537" s="12">
        <v>55</v>
      </c>
      <c r="F537" s="2" t="str">
        <f t="shared" si="48"/>
        <v>Adult</v>
      </c>
      <c r="G537" s="5" t="s">
        <v>6</v>
      </c>
      <c r="H537" s="8">
        <v>4</v>
      </c>
      <c r="I537" s="2">
        <v>30</v>
      </c>
      <c r="J537" s="2">
        <v>120</v>
      </c>
      <c r="K537" t="str">
        <f t="shared" si="49"/>
        <v>Low</v>
      </c>
      <c r="L537" s="12">
        <f t="shared" si="50"/>
        <v>2023</v>
      </c>
      <c r="M537" s="12">
        <f t="shared" si="51"/>
        <v>1</v>
      </c>
      <c r="N537" s="5" t="str">
        <f t="shared" si="52"/>
        <v>Sunday</v>
      </c>
      <c r="O537" s="5" t="str">
        <f t="shared" si="53"/>
        <v>March</v>
      </c>
    </row>
    <row r="538" spans="1:15" x14ac:dyDescent="0.3">
      <c r="A538" s="8">
        <v>537</v>
      </c>
      <c r="B538" s="25">
        <v>45080</v>
      </c>
      <c r="C538" s="5" t="s">
        <v>545</v>
      </c>
      <c r="D538" s="5" t="s">
        <v>8</v>
      </c>
      <c r="E538" s="12">
        <v>21</v>
      </c>
      <c r="F538" s="2" t="str">
        <f t="shared" si="48"/>
        <v>Young</v>
      </c>
      <c r="G538" s="5" t="s">
        <v>6</v>
      </c>
      <c r="H538" s="8">
        <v>1</v>
      </c>
      <c r="I538" s="2">
        <v>500</v>
      </c>
      <c r="J538" s="2">
        <v>500</v>
      </c>
      <c r="K538" t="str">
        <f t="shared" si="49"/>
        <v>Low</v>
      </c>
      <c r="L538" s="12">
        <f t="shared" si="50"/>
        <v>2023</v>
      </c>
      <c r="M538" s="12">
        <f t="shared" si="51"/>
        <v>2</v>
      </c>
      <c r="N538" s="5" t="str">
        <f t="shared" si="52"/>
        <v>Saturday</v>
      </c>
      <c r="O538" s="5" t="str">
        <f t="shared" si="53"/>
        <v>June</v>
      </c>
    </row>
    <row r="539" spans="1:15" x14ac:dyDescent="0.3">
      <c r="A539" s="8">
        <v>538</v>
      </c>
      <c r="B539" s="25">
        <v>45186</v>
      </c>
      <c r="C539" s="5" t="s">
        <v>546</v>
      </c>
      <c r="D539" s="5" t="s">
        <v>5</v>
      </c>
      <c r="E539" s="12">
        <v>18</v>
      </c>
      <c r="F539" s="2" t="str">
        <f t="shared" si="48"/>
        <v>Young</v>
      </c>
      <c r="G539" s="5" t="s">
        <v>9</v>
      </c>
      <c r="H539" s="8">
        <v>3</v>
      </c>
      <c r="I539" s="2">
        <v>50</v>
      </c>
      <c r="J539" s="2">
        <v>150</v>
      </c>
      <c r="K539" t="str">
        <f t="shared" si="49"/>
        <v>Low</v>
      </c>
      <c r="L539" s="12">
        <f t="shared" si="50"/>
        <v>2023</v>
      </c>
      <c r="M539" s="12">
        <f t="shared" si="51"/>
        <v>3</v>
      </c>
      <c r="N539" s="5" t="str">
        <f t="shared" si="52"/>
        <v>Sunday</v>
      </c>
      <c r="O539" s="5" t="str">
        <f t="shared" si="53"/>
        <v>September</v>
      </c>
    </row>
    <row r="540" spans="1:15" x14ac:dyDescent="0.3">
      <c r="A540" s="8">
        <v>539</v>
      </c>
      <c r="B540" s="25">
        <v>45085</v>
      </c>
      <c r="C540" s="5" t="s">
        <v>547</v>
      </c>
      <c r="D540" s="5" t="s">
        <v>5</v>
      </c>
      <c r="E540" s="12">
        <v>25</v>
      </c>
      <c r="F540" s="2" t="str">
        <f t="shared" si="48"/>
        <v>Young</v>
      </c>
      <c r="G540" s="5" t="s">
        <v>6</v>
      </c>
      <c r="H540" s="8">
        <v>1</v>
      </c>
      <c r="I540" s="2">
        <v>500</v>
      </c>
      <c r="J540" s="2">
        <v>500</v>
      </c>
      <c r="K540" t="str">
        <f t="shared" si="49"/>
        <v>Low</v>
      </c>
      <c r="L540" s="12">
        <f t="shared" si="50"/>
        <v>2023</v>
      </c>
      <c r="M540" s="12">
        <f t="shared" si="51"/>
        <v>2</v>
      </c>
      <c r="N540" s="5" t="str">
        <f t="shared" si="52"/>
        <v>Thursday</v>
      </c>
      <c r="O540" s="5" t="str">
        <f t="shared" si="53"/>
        <v>June</v>
      </c>
    </row>
    <row r="541" spans="1:15" x14ac:dyDescent="0.3">
      <c r="A541" s="8">
        <v>540</v>
      </c>
      <c r="B541" s="25">
        <v>45268</v>
      </c>
      <c r="C541" s="5" t="s">
        <v>548</v>
      </c>
      <c r="D541" s="5" t="s">
        <v>8</v>
      </c>
      <c r="E541" s="12">
        <v>46</v>
      </c>
      <c r="F541" s="2" t="str">
        <f t="shared" si="48"/>
        <v>Adult</v>
      </c>
      <c r="G541" s="5" t="s">
        <v>11</v>
      </c>
      <c r="H541" s="8">
        <v>3</v>
      </c>
      <c r="I541" s="2">
        <v>300</v>
      </c>
      <c r="J541" s="2">
        <v>900</v>
      </c>
      <c r="K541" t="str">
        <f t="shared" si="49"/>
        <v>Medium</v>
      </c>
      <c r="L541" s="12">
        <f t="shared" si="50"/>
        <v>2023</v>
      </c>
      <c r="M541" s="12">
        <f t="shared" si="51"/>
        <v>4</v>
      </c>
      <c r="N541" s="5" t="str">
        <f t="shared" si="52"/>
        <v>Friday</v>
      </c>
      <c r="O541" s="5" t="str">
        <f t="shared" si="53"/>
        <v>December</v>
      </c>
    </row>
    <row r="542" spans="1:15" x14ac:dyDescent="0.3">
      <c r="A542" s="8">
        <v>541</v>
      </c>
      <c r="B542" s="25">
        <v>45136</v>
      </c>
      <c r="C542" s="5" t="s">
        <v>549</v>
      </c>
      <c r="D542" s="5" t="s">
        <v>5</v>
      </c>
      <c r="E542" s="12">
        <v>56</v>
      </c>
      <c r="F542" s="2" t="str">
        <f t="shared" si="48"/>
        <v>Adult</v>
      </c>
      <c r="G542" s="5" t="s">
        <v>6</v>
      </c>
      <c r="H542" s="8">
        <v>1</v>
      </c>
      <c r="I542" s="2">
        <v>500</v>
      </c>
      <c r="J542" s="2">
        <v>500</v>
      </c>
      <c r="K542" t="str">
        <f t="shared" si="49"/>
        <v>Low</v>
      </c>
      <c r="L542" s="12">
        <f t="shared" si="50"/>
        <v>2023</v>
      </c>
      <c r="M542" s="12">
        <f t="shared" si="51"/>
        <v>3</v>
      </c>
      <c r="N542" s="5" t="str">
        <f t="shared" si="52"/>
        <v>Saturday</v>
      </c>
      <c r="O542" s="5" t="str">
        <f t="shared" si="53"/>
        <v>July</v>
      </c>
    </row>
    <row r="543" spans="1:15" x14ac:dyDescent="0.3">
      <c r="A543" s="8">
        <v>542</v>
      </c>
      <c r="B543" s="25">
        <v>45094</v>
      </c>
      <c r="C543" s="5" t="s">
        <v>550</v>
      </c>
      <c r="D543" s="5" t="s">
        <v>8</v>
      </c>
      <c r="E543" s="12">
        <v>20</v>
      </c>
      <c r="F543" s="2" t="str">
        <f t="shared" si="48"/>
        <v>Young</v>
      </c>
      <c r="G543" s="5" t="s">
        <v>6</v>
      </c>
      <c r="H543" s="8">
        <v>1</v>
      </c>
      <c r="I543" s="2">
        <v>50</v>
      </c>
      <c r="J543" s="2">
        <v>50</v>
      </c>
      <c r="K543" t="str">
        <f t="shared" si="49"/>
        <v>Low</v>
      </c>
      <c r="L543" s="12">
        <f t="shared" si="50"/>
        <v>2023</v>
      </c>
      <c r="M543" s="12">
        <f t="shared" si="51"/>
        <v>2</v>
      </c>
      <c r="N543" s="5" t="str">
        <f t="shared" si="52"/>
        <v>Saturday</v>
      </c>
      <c r="O543" s="5" t="str">
        <f t="shared" si="53"/>
        <v>June</v>
      </c>
    </row>
    <row r="544" spans="1:15" x14ac:dyDescent="0.3">
      <c r="A544" s="8">
        <v>543</v>
      </c>
      <c r="B544" s="25">
        <v>45133</v>
      </c>
      <c r="C544" s="5" t="s">
        <v>551</v>
      </c>
      <c r="D544" s="5" t="s">
        <v>5</v>
      </c>
      <c r="E544" s="12">
        <v>49</v>
      </c>
      <c r="F544" s="2" t="str">
        <f t="shared" si="48"/>
        <v>Adult</v>
      </c>
      <c r="G544" s="5" t="s">
        <v>6</v>
      </c>
      <c r="H544" s="8">
        <v>2</v>
      </c>
      <c r="I544" s="2">
        <v>300</v>
      </c>
      <c r="J544" s="2">
        <v>600</v>
      </c>
      <c r="K544" t="str">
        <f t="shared" si="49"/>
        <v>Medium</v>
      </c>
      <c r="L544" s="12">
        <f t="shared" si="50"/>
        <v>2023</v>
      </c>
      <c r="M544" s="12">
        <f t="shared" si="51"/>
        <v>3</v>
      </c>
      <c r="N544" s="5" t="str">
        <f t="shared" si="52"/>
        <v>Wednesday</v>
      </c>
      <c r="O544" s="5" t="str">
        <f t="shared" si="53"/>
        <v>July</v>
      </c>
    </row>
    <row r="545" spans="1:15" x14ac:dyDescent="0.3">
      <c r="A545" s="8">
        <v>544</v>
      </c>
      <c r="B545" s="25">
        <v>45283</v>
      </c>
      <c r="C545" s="5" t="s">
        <v>552</v>
      </c>
      <c r="D545" s="5" t="s">
        <v>8</v>
      </c>
      <c r="E545" s="12">
        <v>27</v>
      </c>
      <c r="F545" s="2" t="str">
        <f t="shared" si="48"/>
        <v>Young</v>
      </c>
      <c r="G545" s="5" t="s">
        <v>11</v>
      </c>
      <c r="H545" s="8">
        <v>1</v>
      </c>
      <c r="I545" s="2">
        <v>25</v>
      </c>
      <c r="J545" s="2">
        <v>25</v>
      </c>
      <c r="K545" t="str">
        <f t="shared" si="49"/>
        <v>Low</v>
      </c>
      <c r="L545" s="12">
        <f t="shared" si="50"/>
        <v>2023</v>
      </c>
      <c r="M545" s="12">
        <f t="shared" si="51"/>
        <v>4</v>
      </c>
      <c r="N545" s="5" t="str">
        <f t="shared" si="52"/>
        <v>Saturday</v>
      </c>
      <c r="O545" s="5" t="str">
        <f t="shared" si="53"/>
        <v>December</v>
      </c>
    </row>
    <row r="546" spans="1:15" x14ac:dyDescent="0.3">
      <c r="A546" s="8">
        <v>545</v>
      </c>
      <c r="B546" s="25">
        <v>45078</v>
      </c>
      <c r="C546" s="5" t="s">
        <v>553</v>
      </c>
      <c r="D546" s="5" t="s">
        <v>5</v>
      </c>
      <c r="E546" s="12">
        <v>27</v>
      </c>
      <c r="F546" s="2" t="str">
        <f t="shared" si="48"/>
        <v>Young</v>
      </c>
      <c r="G546" s="5" t="s">
        <v>9</v>
      </c>
      <c r="H546" s="8">
        <v>2</v>
      </c>
      <c r="I546" s="2">
        <v>25</v>
      </c>
      <c r="J546" s="2">
        <v>50</v>
      </c>
      <c r="K546" t="str">
        <f t="shared" si="49"/>
        <v>Low</v>
      </c>
      <c r="L546" s="12">
        <f t="shared" si="50"/>
        <v>2023</v>
      </c>
      <c r="M546" s="12">
        <f t="shared" si="51"/>
        <v>2</v>
      </c>
      <c r="N546" s="5" t="str">
        <f t="shared" si="52"/>
        <v>Thursday</v>
      </c>
      <c r="O546" s="5" t="str">
        <f t="shared" si="53"/>
        <v>June</v>
      </c>
    </row>
    <row r="547" spans="1:15" x14ac:dyDescent="0.3">
      <c r="A547" s="8">
        <v>546</v>
      </c>
      <c r="B547" s="25">
        <v>45210</v>
      </c>
      <c r="C547" s="5" t="s">
        <v>554</v>
      </c>
      <c r="D547" s="5" t="s">
        <v>8</v>
      </c>
      <c r="E547" s="12">
        <v>36</v>
      </c>
      <c r="F547" s="2" t="str">
        <f t="shared" si="48"/>
        <v>Adult</v>
      </c>
      <c r="G547" s="5" t="s">
        <v>11</v>
      </c>
      <c r="H547" s="8">
        <v>4</v>
      </c>
      <c r="I547" s="2">
        <v>50</v>
      </c>
      <c r="J547" s="2">
        <v>200</v>
      </c>
      <c r="K547" t="str">
        <f t="shared" si="49"/>
        <v>Low</v>
      </c>
      <c r="L547" s="12">
        <f t="shared" si="50"/>
        <v>2023</v>
      </c>
      <c r="M547" s="12">
        <f t="shared" si="51"/>
        <v>4</v>
      </c>
      <c r="N547" s="5" t="str">
        <f t="shared" si="52"/>
        <v>Wednesday</v>
      </c>
      <c r="O547" s="5" t="str">
        <f t="shared" si="53"/>
        <v>October</v>
      </c>
    </row>
    <row r="548" spans="1:15" x14ac:dyDescent="0.3">
      <c r="A548" s="8">
        <v>547</v>
      </c>
      <c r="B548" s="25">
        <v>44992</v>
      </c>
      <c r="C548" s="5" t="s">
        <v>555</v>
      </c>
      <c r="D548" s="5" t="s">
        <v>5</v>
      </c>
      <c r="E548" s="12">
        <v>63</v>
      </c>
      <c r="F548" s="2" t="str">
        <f t="shared" si="48"/>
        <v>Senior</v>
      </c>
      <c r="G548" s="5" t="s">
        <v>9</v>
      </c>
      <c r="H548" s="8">
        <v>4</v>
      </c>
      <c r="I548" s="2">
        <v>500</v>
      </c>
      <c r="J548" s="2">
        <v>2000</v>
      </c>
      <c r="K548" t="str">
        <f t="shared" si="49"/>
        <v>High</v>
      </c>
      <c r="L548" s="12">
        <f t="shared" si="50"/>
        <v>2023</v>
      </c>
      <c r="M548" s="12">
        <f t="shared" si="51"/>
        <v>1</v>
      </c>
      <c r="N548" s="5" t="str">
        <f t="shared" si="52"/>
        <v>Tuesday</v>
      </c>
      <c r="O548" s="5" t="str">
        <f t="shared" si="53"/>
        <v>March</v>
      </c>
    </row>
    <row r="549" spans="1:15" x14ac:dyDescent="0.3">
      <c r="A549" s="8">
        <v>548</v>
      </c>
      <c r="B549" s="25">
        <v>45025</v>
      </c>
      <c r="C549" s="5" t="s">
        <v>556</v>
      </c>
      <c r="D549" s="5" t="s">
        <v>8</v>
      </c>
      <c r="E549" s="12">
        <v>51</v>
      </c>
      <c r="F549" s="2" t="str">
        <f t="shared" si="48"/>
        <v>Adult</v>
      </c>
      <c r="G549" s="5" t="s">
        <v>9</v>
      </c>
      <c r="H549" s="8">
        <v>2</v>
      </c>
      <c r="I549" s="2">
        <v>30</v>
      </c>
      <c r="J549" s="2">
        <v>60</v>
      </c>
      <c r="K549" t="str">
        <f t="shared" si="49"/>
        <v>Low</v>
      </c>
      <c r="L549" s="12">
        <f t="shared" si="50"/>
        <v>2023</v>
      </c>
      <c r="M549" s="12">
        <f t="shared" si="51"/>
        <v>2</v>
      </c>
      <c r="N549" s="5" t="str">
        <f t="shared" si="52"/>
        <v>Sunday</v>
      </c>
      <c r="O549" s="5" t="str">
        <f t="shared" si="53"/>
        <v>April</v>
      </c>
    </row>
    <row r="550" spans="1:15" x14ac:dyDescent="0.3">
      <c r="A550" s="8">
        <v>549</v>
      </c>
      <c r="B550" s="25">
        <v>45142</v>
      </c>
      <c r="C550" s="5" t="s">
        <v>557</v>
      </c>
      <c r="D550" s="5" t="s">
        <v>8</v>
      </c>
      <c r="E550" s="12">
        <v>50</v>
      </c>
      <c r="F550" s="2" t="str">
        <f t="shared" si="48"/>
        <v>Adult</v>
      </c>
      <c r="G550" s="5" t="s">
        <v>6</v>
      </c>
      <c r="H550" s="8">
        <v>2</v>
      </c>
      <c r="I550" s="2">
        <v>50</v>
      </c>
      <c r="J550" s="2">
        <v>100</v>
      </c>
      <c r="K550" t="str">
        <f t="shared" si="49"/>
        <v>Low</v>
      </c>
      <c r="L550" s="12">
        <f t="shared" si="50"/>
        <v>2023</v>
      </c>
      <c r="M550" s="12">
        <f t="shared" si="51"/>
        <v>3</v>
      </c>
      <c r="N550" s="5" t="str">
        <f t="shared" si="52"/>
        <v>Friday</v>
      </c>
      <c r="O550" s="5" t="str">
        <f t="shared" si="53"/>
        <v>August</v>
      </c>
    </row>
    <row r="551" spans="1:15" x14ac:dyDescent="0.3">
      <c r="A551" s="8">
        <v>550</v>
      </c>
      <c r="B551" s="25">
        <v>45267</v>
      </c>
      <c r="C551" s="5" t="s">
        <v>558</v>
      </c>
      <c r="D551" s="5" t="s">
        <v>5</v>
      </c>
      <c r="E551" s="12">
        <v>40</v>
      </c>
      <c r="F551" s="2" t="str">
        <f t="shared" si="48"/>
        <v>Adult</v>
      </c>
      <c r="G551" s="5" t="s">
        <v>9</v>
      </c>
      <c r="H551" s="8">
        <v>3</v>
      </c>
      <c r="I551" s="2">
        <v>300</v>
      </c>
      <c r="J551" s="2">
        <v>900</v>
      </c>
      <c r="K551" t="str">
        <f t="shared" si="49"/>
        <v>Medium</v>
      </c>
      <c r="L551" s="12">
        <f t="shared" si="50"/>
        <v>2023</v>
      </c>
      <c r="M551" s="12">
        <f t="shared" si="51"/>
        <v>4</v>
      </c>
      <c r="N551" s="5" t="str">
        <f t="shared" si="52"/>
        <v>Thursday</v>
      </c>
      <c r="O551" s="5" t="str">
        <f t="shared" si="53"/>
        <v>December</v>
      </c>
    </row>
    <row r="552" spans="1:15" x14ac:dyDescent="0.3">
      <c r="A552" s="8">
        <v>551</v>
      </c>
      <c r="B552" s="25">
        <v>45121</v>
      </c>
      <c r="C552" s="5" t="s">
        <v>559</v>
      </c>
      <c r="D552" s="5" t="s">
        <v>5</v>
      </c>
      <c r="E552" s="12">
        <v>45</v>
      </c>
      <c r="F552" s="2" t="str">
        <f t="shared" si="48"/>
        <v>Adult</v>
      </c>
      <c r="G552" s="5" t="s">
        <v>11</v>
      </c>
      <c r="H552" s="8">
        <v>3</v>
      </c>
      <c r="I552" s="2">
        <v>300</v>
      </c>
      <c r="J552" s="2">
        <v>900</v>
      </c>
      <c r="K552" t="str">
        <f t="shared" si="49"/>
        <v>Medium</v>
      </c>
      <c r="L552" s="12">
        <f t="shared" si="50"/>
        <v>2023</v>
      </c>
      <c r="M552" s="12">
        <f t="shared" si="51"/>
        <v>3</v>
      </c>
      <c r="N552" s="5" t="str">
        <f t="shared" si="52"/>
        <v>Friday</v>
      </c>
      <c r="O552" s="5" t="str">
        <f t="shared" si="53"/>
        <v>July</v>
      </c>
    </row>
    <row r="553" spans="1:15" x14ac:dyDescent="0.3">
      <c r="A553" s="8">
        <v>552</v>
      </c>
      <c r="B553" s="25">
        <v>45273</v>
      </c>
      <c r="C553" s="5" t="s">
        <v>560</v>
      </c>
      <c r="D553" s="5" t="s">
        <v>8</v>
      </c>
      <c r="E553" s="12">
        <v>49</v>
      </c>
      <c r="F553" s="2" t="str">
        <f t="shared" si="48"/>
        <v>Adult</v>
      </c>
      <c r="G553" s="5" t="s">
        <v>11</v>
      </c>
      <c r="H553" s="8">
        <v>3</v>
      </c>
      <c r="I553" s="2">
        <v>25</v>
      </c>
      <c r="J553" s="2">
        <v>75</v>
      </c>
      <c r="K553" t="str">
        <f t="shared" si="49"/>
        <v>Low</v>
      </c>
      <c r="L553" s="12">
        <f t="shared" si="50"/>
        <v>2023</v>
      </c>
      <c r="M553" s="12">
        <f t="shared" si="51"/>
        <v>4</v>
      </c>
      <c r="N553" s="5" t="str">
        <f t="shared" si="52"/>
        <v>Wednesday</v>
      </c>
      <c r="O553" s="5" t="str">
        <f t="shared" si="53"/>
        <v>December</v>
      </c>
    </row>
    <row r="554" spans="1:15" x14ac:dyDescent="0.3">
      <c r="A554" s="8">
        <v>553</v>
      </c>
      <c r="B554" s="25">
        <v>45016</v>
      </c>
      <c r="C554" s="5" t="s">
        <v>561</v>
      </c>
      <c r="D554" s="5" t="s">
        <v>5</v>
      </c>
      <c r="E554" s="12">
        <v>24</v>
      </c>
      <c r="F554" s="2" t="str">
        <f t="shared" si="48"/>
        <v>Young</v>
      </c>
      <c r="G554" s="5" t="s">
        <v>9</v>
      </c>
      <c r="H554" s="8">
        <v>4</v>
      </c>
      <c r="I554" s="2">
        <v>300</v>
      </c>
      <c r="J554" s="2">
        <v>1200</v>
      </c>
      <c r="K554" t="str">
        <f t="shared" si="49"/>
        <v>Medium</v>
      </c>
      <c r="L554" s="12">
        <f t="shared" si="50"/>
        <v>2023</v>
      </c>
      <c r="M554" s="12">
        <f t="shared" si="51"/>
        <v>1</v>
      </c>
      <c r="N554" s="5" t="str">
        <f t="shared" si="52"/>
        <v>Friday</v>
      </c>
      <c r="O554" s="5" t="str">
        <f t="shared" si="53"/>
        <v>March</v>
      </c>
    </row>
    <row r="555" spans="1:15" x14ac:dyDescent="0.3">
      <c r="A555" s="8">
        <v>554</v>
      </c>
      <c r="B555" s="25">
        <v>45242</v>
      </c>
      <c r="C555" s="5" t="s">
        <v>562</v>
      </c>
      <c r="D555" s="5" t="s">
        <v>8</v>
      </c>
      <c r="E555" s="12">
        <v>46</v>
      </c>
      <c r="F555" s="2" t="str">
        <f t="shared" si="48"/>
        <v>Adult</v>
      </c>
      <c r="G555" s="5" t="s">
        <v>6</v>
      </c>
      <c r="H555" s="8">
        <v>3</v>
      </c>
      <c r="I555" s="2">
        <v>50</v>
      </c>
      <c r="J555" s="2">
        <v>150</v>
      </c>
      <c r="K555" t="str">
        <f t="shared" si="49"/>
        <v>Low</v>
      </c>
      <c r="L555" s="12">
        <f t="shared" si="50"/>
        <v>2023</v>
      </c>
      <c r="M555" s="12">
        <f t="shared" si="51"/>
        <v>4</v>
      </c>
      <c r="N555" s="5" t="str">
        <f t="shared" si="52"/>
        <v>Sunday</v>
      </c>
      <c r="O555" s="5" t="str">
        <f t="shared" si="53"/>
        <v>November</v>
      </c>
    </row>
    <row r="556" spans="1:15" x14ac:dyDescent="0.3">
      <c r="A556" s="8">
        <v>555</v>
      </c>
      <c r="B556" s="25">
        <v>45218</v>
      </c>
      <c r="C556" s="5" t="s">
        <v>563</v>
      </c>
      <c r="D556" s="5" t="s">
        <v>5</v>
      </c>
      <c r="E556" s="12">
        <v>25</v>
      </c>
      <c r="F556" s="2" t="str">
        <f t="shared" si="48"/>
        <v>Young</v>
      </c>
      <c r="G556" s="5" t="s">
        <v>6</v>
      </c>
      <c r="H556" s="8">
        <v>1</v>
      </c>
      <c r="I556" s="2">
        <v>300</v>
      </c>
      <c r="J556" s="2">
        <v>300</v>
      </c>
      <c r="K556" t="str">
        <f t="shared" si="49"/>
        <v>Low</v>
      </c>
      <c r="L556" s="12">
        <f t="shared" si="50"/>
        <v>2023</v>
      </c>
      <c r="M556" s="12">
        <f t="shared" si="51"/>
        <v>4</v>
      </c>
      <c r="N556" s="5" t="str">
        <f t="shared" si="52"/>
        <v>Thursday</v>
      </c>
      <c r="O556" s="5" t="str">
        <f t="shared" si="53"/>
        <v>October</v>
      </c>
    </row>
    <row r="557" spans="1:15" x14ac:dyDescent="0.3">
      <c r="A557" s="8">
        <v>556</v>
      </c>
      <c r="B557" s="25">
        <v>45081</v>
      </c>
      <c r="C557" s="5" t="s">
        <v>564</v>
      </c>
      <c r="D557" s="5" t="s">
        <v>8</v>
      </c>
      <c r="E557" s="12">
        <v>18</v>
      </c>
      <c r="F557" s="2" t="str">
        <f t="shared" si="48"/>
        <v>Young</v>
      </c>
      <c r="G557" s="5" t="s">
        <v>11</v>
      </c>
      <c r="H557" s="8">
        <v>1</v>
      </c>
      <c r="I557" s="2">
        <v>50</v>
      </c>
      <c r="J557" s="2">
        <v>50</v>
      </c>
      <c r="K557" t="str">
        <f t="shared" si="49"/>
        <v>Low</v>
      </c>
      <c r="L557" s="12">
        <f t="shared" si="50"/>
        <v>2023</v>
      </c>
      <c r="M557" s="12">
        <f t="shared" si="51"/>
        <v>2</v>
      </c>
      <c r="N557" s="5" t="str">
        <f t="shared" si="52"/>
        <v>Sunday</v>
      </c>
      <c r="O557" s="5" t="str">
        <f t="shared" si="53"/>
        <v>June</v>
      </c>
    </row>
    <row r="558" spans="1:15" x14ac:dyDescent="0.3">
      <c r="A558" s="8">
        <v>557</v>
      </c>
      <c r="B558" s="25">
        <v>45134</v>
      </c>
      <c r="C558" s="5" t="s">
        <v>565</v>
      </c>
      <c r="D558" s="5" t="s">
        <v>8</v>
      </c>
      <c r="E558" s="12">
        <v>20</v>
      </c>
      <c r="F558" s="2" t="str">
        <f t="shared" si="48"/>
        <v>Young</v>
      </c>
      <c r="G558" s="5" t="s">
        <v>6</v>
      </c>
      <c r="H558" s="8">
        <v>3</v>
      </c>
      <c r="I558" s="2">
        <v>30</v>
      </c>
      <c r="J558" s="2">
        <v>90</v>
      </c>
      <c r="K558" t="str">
        <f t="shared" si="49"/>
        <v>Low</v>
      </c>
      <c r="L558" s="12">
        <f t="shared" si="50"/>
        <v>2023</v>
      </c>
      <c r="M558" s="12">
        <f t="shared" si="51"/>
        <v>3</v>
      </c>
      <c r="N558" s="5" t="str">
        <f t="shared" si="52"/>
        <v>Thursday</v>
      </c>
      <c r="O558" s="5" t="str">
        <f t="shared" si="53"/>
        <v>July</v>
      </c>
    </row>
    <row r="559" spans="1:15" x14ac:dyDescent="0.3">
      <c r="A559" s="8">
        <v>558</v>
      </c>
      <c r="B559" s="25">
        <v>45207</v>
      </c>
      <c r="C559" s="5" t="s">
        <v>566</v>
      </c>
      <c r="D559" s="5" t="s">
        <v>8</v>
      </c>
      <c r="E559" s="12">
        <v>41</v>
      </c>
      <c r="F559" s="2" t="str">
        <f t="shared" si="48"/>
        <v>Adult</v>
      </c>
      <c r="G559" s="5" t="s">
        <v>9</v>
      </c>
      <c r="H559" s="8">
        <v>1</v>
      </c>
      <c r="I559" s="2">
        <v>25</v>
      </c>
      <c r="J559" s="2">
        <v>25</v>
      </c>
      <c r="K559" t="str">
        <f t="shared" si="49"/>
        <v>Low</v>
      </c>
      <c r="L559" s="12">
        <f t="shared" si="50"/>
        <v>2023</v>
      </c>
      <c r="M559" s="12">
        <f t="shared" si="51"/>
        <v>4</v>
      </c>
      <c r="N559" s="5" t="str">
        <f t="shared" si="52"/>
        <v>Sunday</v>
      </c>
      <c r="O559" s="5" t="str">
        <f t="shared" si="53"/>
        <v>October</v>
      </c>
    </row>
    <row r="560" spans="1:15" x14ac:dyDescent="0.3">
      <c r="A560" s="8">
        <v>559</v>
      </c>
      <c r="B560" s="25">
        <v>44927</v>
      </c>
      <c r="C560" s="5" t="s">
        <v>567</v>
      </c>
      <c r="D560" s="5" t="s">
        <v>8</v>
      </c>
      <c r="E560" s="12">
        <v>40</v>
      </c>
      <c r="F560" s="2" t="str">
        <f t="shared" si="48"/>
        <v>Adult</v>
      </c>
      <c r="G560" s="5" t="s">
        <v>9</v>
      </c>
      <c r="H560" s="8">
        <v>4</v>
      </c>
      <c r="I560" s="2">
        <v>300</v>
      </c>
      <c r="J560" s="2">
        <v>1200</v>
      </c>
      <c r="K560" t="str">
        <f t="shared" si="49"/>
        <v>Medium</v>
      </c>
      <c r="L560" s="12">
        <f t="shared" si="50"/>
        <v>2023</v>
      </c>
      <c r="M560" s="12">
        <f t="shared" si="51"/>
        <v>1</v>
      </c>
      <c r="N560" s="5" t="str">
        <f t="shared" si="52"/>
        <v>Sunday</v>
      </c>
      <c r="O560" s="5" t="str">
        <f t="shared" si="53"/>
        <v>January</v>
      </c>
    </row>
    <row r="561" spans="1:15" x14ac:dyDescent="0.3">
      <c r="A561" s="8">
        <v>560</v>
      </c>
      <c r="B561" s="25">
        <v>45082</v>
      </c>
      <c r="C561" s="5" t="s">
        <v>568</v>
      </c>
      <c r="D561" s="5" t="s">
        <v>8</v>
      </c>
      <c r="E561" s="12">
        <v>25</v>
      </c>
      <c r="F561" s="2" t="str">
        <f t="shared" si="48"/>
        <v>Young</v>
      </c>
      <c r="G561" s="5" t="s">
        <v>11</v>
      </c>
      <c r="H561" s="8">
        <v>1</v>
      </c>
      <c r="I561" s="2">
        <v>50</v>
      </c>
      <c r="J561" s="2">
        <v>50</v>
      </c>
      <c r="K561" t="str">
        <f t="shared" si="49"/>
        <v>Low</v>
      </c>
      <c r="L561" s="12">
        <f t="shared" si="50"/>
        <v>2023</v>
      </c>
      <c r="M561" s="12">
        <f t="shared" si="51"/>
        <v>2</v>
      </c>
      <c r="N561" s="5" t="str">
        <f t="shared" si="52"/>
        <v>Monday</v>
      </c>
      <c r="O561" s="5" t="str">
        <f t="shared" si="53"/>
        <v>June</v>
      </c>
    </row>
    <row r="562" spans="1:15" x14ac:dyDescent="0.3">
      <c r="A562" s="8">
        <v>561</v>
      </c>
      <c r="B562" s="25">
        <v>45073</v>
      </c>
      <c r="C562" s="5" t="s">
        <v>569</v>
      </c>
      <c r="D562" s="5" t="s">
        <v>8</v>
      </c>
      <c r="E562" s="12">
        <v>64</v>
      </c>
      <c r="F562" s="2" t="str">
        <f t="shared" si="48"/>
        <v>Senior</v>
      </c>
      <c r="G562" s="5" t="s">
        <v>9</v>
      </c>
      <c r="H562" s="8">
        <v>4</v>
      </c>
      <c r="I562" s="2">
        <v>500</v>
      </c>
      <c r="J562" s="2">
        <v>2000</v>
      </c>
      <c r="K562" t="str">
        <f t="shared" si="49"/>
        <v>High</v>
      </c>
      <c r="L562" s="12">
        <f t="shared" si="50"/>
        <v>2023</v>
      </c>
      <c r="M562" s="12">
        <f t="shared" si="51"/>
        <v>2</v>
      </c>
      <c r="N562" s="5" t="str">
        <f t="shared" si="52"/>
        <v>Saturday</v>
      </c>
      <c r="O562" s="5" t="str">
        <f t="shared" si="53"/>
        <v>May</v>
      </c>
    </row>
    <row r="563" spans="1:15" x14ac:dyDescent="0.3">
      <c r="A563" s="8">
        <v>562</v>
      </c>
      <c r="B563" s="25">
        <v>45034</v>
      </c>
      <c r="C563" s="5" t="s">
        <v>570</v>
      </c>
      <c r="D563" s="5" t="s">
        <v>5</v>
      </c>
      <c r="E563" s="12">
        <v>54</v>
      </c>
      <c r="F563" s="2" t="str">
        <f t="shared" si="48"/>
        <v>Adult</v>
      </c>
      <c r="G563" s="5" t="s">
        <v>11</v>
      </c>
      <c r="H563" s="8">
        <v>2</v>
      </c>
      <c r="I563" s="2">
        <v>25</v>
      </c>
      <c r="J563" s="2">
        <v>50</v>
      </c>
      <c r="K563" t="str">
        <f t="shared" si="49"/>
        <v>Low</v>
      </c>
      <c r="L563" s="12">
        <f t="shared" si="50"/>
        <v>2023</v>
      </c>
      <c r="M563" s="12">
        <f t="shared" si="51"/>
        <v>2</v>
      </c>
      <c r="N563" s="5" t="str">
        <f t="shared" si="52"/>
        <v>Tuesday</v>
      </c>
      <c r="O563" s="5" t="str">
        <f t="shared" si="53"/>
        <v>April</v>
      </c>
    </row>
    <row r="564" spans="1:15" x14ac:dyDescent="0.3">
      <c r="A564" s="8">
        <v>563</v>
      </c>
      <c r="B564" s="25">
        <v>45147</v>
      </c>
      <c r="C564" s="5" t="s">
        <v>571</v>
      </c>
      <c r="D564" s="5" t="s">
        <v>5</v>
      </c>
      <c r="E564" s="12">
        <v>20</v>
      </c>
      <c r="F564" s="2" t="str">
        <f t="shared" si="48"/>
        <v>Young</v>
      </c>
      <c r="G564" s="5" t="s">
        <v>9</v>
      </c>
      <c r="H564" s="8">
        <v>2</v>
      </c>
      <c r="I564" s="2">
        <v>30</v>
      </c>
      <c r="J564" s="2">
        <v>60</v>
      </c>
      <c r="K564" t="str">
        <f t="shared" si="49"/>
        <v>Low</v>
      </c>
      <c r="L564" s="12">
        <f t="shared" si="50"/>
        <v>2023</v>
      </c>
      <c r="M564" s="12">
        <f t="shared" si="51"/>
        <v>3</v>
      </c>
      <c r="N564" s="5" t="str">
        <f t="shared" si="52"/>
        <v>Wednesday</v>
      </c>
      <c r="O564" s="5" t="str">
        <f t="shared" si="53"/>
        <v>August</v>
      </c>
    </row>
    <row r="565" spans="1:15" x14ac:dyDescent="0.3">
      <c r="A565" s="8">
        <v>564</v>
      </c>
      <c r="B565" s="25">
        <v>45223</v>
      </c>
      <c r="C565" s="5" t="s">
        <v>572</v>
      </c>
      <c r="D565" s="5" t="s">
        <v>5</v>
      </c>
      <c r="E565" s="12">
        <v>50</v>
      </c>
      <c r="F565" s="2" t="str">
        <f t="shared" si="48"/>
        <v>Adult</v>
      </c>
      <c r="G565" s="5" t="s">
        <v>11</v>
      </c>
      <c r="H565" s="8">
        <v>2</v>
      </c>
      <c r="I565" s="2">
        <v>50</v>
      </c>
      <c r="J565" s="2">
        <v>100</v>
      </c>
      <c r="K565" t="str">
        <f t="shared" si="49"/>
        <v>Low</v>
      </c>
      <c r="L565" s="12">
        <f t="shared" si="50"/>
        <v>2023</v>
      </c>
      <c r="M565" s="12">
        <f t="shared" si="51"/>
        <v>4</v>
      </c>
      <c r="N565" s="5" t="str">
        <f t="shared" si="52"/>
        <v>Tuesday</v>
      </c>
      <c r="O565" s="5" t="str">
        <f t="shared" si="53"/>
        <v>October</v>
      </c>
    </row>
    <row r="566" spans="1:15" x14ac:dyDescent="0.3">
      <c r="A566" s="8">
        <v>565</v>
      </c>
      <c r="B566" s="25">
        <v>45237</v>
      </c>
      <c r="C566" s="5" t="s">
        <v>573</v>
      </c>
      <c r="D566" s="5" t="s">
        <v>8</v>
      </c>
      <c r="E566" s="12">
        <v>45</v>
      </c>
      <c r="F566" s="2" t="str">
        <f t="shared" si="48"/>
        <v>Adult</v>
      </c>
      <c r="G566" s="5" t="s">
        <v>6</v>
      </c>
      <c r="H566" s="8">
        <v>2</v>
      </c>
      <c r="I566" s="2">
        <v>30</v>
      </c>
      <c r="J566" s="2">
        <v>60</v>
      </c>
      <c r="K566" t="str">
        <f t="shared" si="49"/>
        <v>Low</v>
      </c>
      <c r="L566" s="12">
        <f t="shared" si="50"/>
        <v>2023</v>
      </c>
      <c r="M566" s="12">
        <f t="shared" si="51"/>
        <v>4</v>
      </c>
      <c r="N566" s="5" t="str">
        <f t="shared" si="52"/>
        <v>Tuesday</v>
      </c>
      <c r="O566" s="5" t="str">
        <f t="shared" si="53"/>
        <v>November</v>
      </c>
    </row>
    <row r="567" spans="1:15" x14ac:dyDescent="0.3">
      <c r="A567" s="8">
        <v>566</v>
      </c>
      <c r="B567" s="25">
        <v>45262</v>
      </c>
      <c r="C567" s="5" t="s">
        <v>574</v>
      </c>
      <c r="D567" s="5" t="s">
        <v>8</v>
      </c>
      <c r="E567" s="12">
        <v>64</v>
      </c>
      <c r="F567" s="2" t="str">
        <f t="shared" si="48"/>
        <v>Senior</v>
      </c>
      <c r="G567" s="5" t="s">
        <v>9</v>
      </c>
      <c r="H567" s="8">
        <v>1</v>
      </c>
      <c r="I567" s="2">
        <v>30</v>
      </c>
      <c r="J567" s="2">
        <v>30</v>
      </c>
      <c r="K567" t="str">
        <f t="shared" si="49"/>
        <v>Low</v>
      </c>
      <c r="L567" s="12">
        <f t="shared" si="50"/>
        <v>2023</v>
      </c>
      <c r="M567" s="12">
        <f t="shared" si="51"/>
        <v>4</v>
      </c>
      <c r="N567" s="5" t="str">
        <f t="shared" si="52"/>
        <v>Saturday</v>
      </c>
      <c r="O567" s="5" t="str">
        <f t="shared" si="53"/>
        <v>December</v>
      </c>
    </row>
    <row r="568" spans="1:15" x14ac:dyDescent="0.3">
      <c r="A568" s="8">
        <v>567</v>
      </c>
      <c r="B568" s="25">
        <v>45091</v>
      </c>
      <c r="C568" s="5" t="s">
        <v>575</v>
      </c>
      <c r="D568" s="5" t="s">
        <v>8</v>
      </c>
      <c r="E568" s="12">
        <v>25</v>
      </c>
      <c r="F568" s="2" t="str">
        <f t="shared" si="48"/>
        <v>Young</v>
      </c>
      <c r="G568" s="5" t="s">
        <v>9</v>
      </c>
      <c r="H568" s="8">
        <v>3</v>
      </c>
      <c r="I568" s="2">
        <v>300</v>
      </c>
      <c r="J568" s="2">
        <v>900</v>
      </c>
      <c r="K568" t="str">
        <f t="shared" si="49"/>
        <v>Medium</v>
      </c>
      <c r="L568" s="12">
        <f t="shared" si="50"/>
        <v>2023</v>
      </c>
      <c r="M568" s="12">
        <f t="shared" si="51"/>
        <v>2</v>
      </c>
      <c r="N568" s="5" t="str">
        <f t="shared" si="52"/>
        <v>Wednesday</v>
      </c>
      <c r="O568" s="5" t="str">
        <f t="shared" si="53"/>
        <v>June</v>
      </c>
    </row>
    <row r="569" spans="1:15" x14ac:dyDescent="0.3">
      <c r="A569" s="8">
        <v>568</v>
      </c>
      <c r="B569" s="25">
        <v>45165</v>
      </c>
      <c r="C569" s="5" t="s">
        <v>576</v>
      </c>
      <c r="D569" s="5" t="s">
        <v>8</v>
      </c>
      <c r="E569" s="12">
        <v>51</v>
      </c>
      <c r="F569" s="2" t="str">
        <f t="shared" si="48"/>
        <v>Adult</v>
      </c>
      <c r="G569" s="5" t="s">
        <v>11</v>
      </c>
      <c r="H569" s="8">
        <v>1</v>
      </c>
      <c r="I569" s="2">
        <v>300</v>
      </c>
      <c r="J569" s="2">
        <v>300</v>
      </c>
      <c r="K569" t="str">
        <f t="shared" si="49"/>
        <v>Low</v>
      </c>
      <c r="L569" s="12">
        <f t="shared" si="50"/>
        <v>2023</v>
      </c>
      <c r="M569" s="12">
        <f t="shared" si="51"/>
        <v>3</v>
      </c>
      <c r="N569" s="5" t="str">
        <f t="shared" si="52"/>
        <v>Sunday</v>
      </c>
      <c r="O569" s="5" t="str">
        <f t="shared" si="53"/>
        <v>August</v>
      </c>
    </row>
    <row r="570" spans="1:15" x14ac:dyDescent="0.3">
      <c r="A570" s="8">
        <v>569</v>
      </c>
      <c r="B570" s="25">
        <v>45153</v>
      </c>
      <c r="C570" s="5" t="s">
        <v>577</v>
      </c>
      <c r="D570" s="5" t="s">
        <v>5</v>
      </c>
      <c r="E570" s="12">
        <v>52</v>
      </c>
      <c r="F570" s="2" t="str">
        <f t="shared" si="48"/>
        <v>Adult</v>
      </c>
      <c r="G570" s="5" t="s">
        <v>11</v>
      </c>
      <c r="H570" s="8">
        <v>4</v>
      </c>
      <c r="I570" s="2">
        <v>50</v>
      </c>
      <c r="J570" s="2">
        <v>200</v>
      </c>
      <c r="K570" t="str">
        <f t="shared" si="49"/>
        <v>Low</v>
      </c>
      <c r="L570" s="12">
        <f t="shared" si="50"/>
        <v>2023</v>
      </c>
      <c r="M570" s="12">
        <f t="shared" si="51"/>
        <v>3</v>
      </c>
      <c r="N570" s="5" t="str">
        <f t="shared" si="52"/>
        <v>Tuesday</v>
      </c>
      <c r="O570" s="5" t="str">
        <f t="shared" si="53"/>
        <v>August</v>
      </c>
    </row>
    <row r="571" spans="1:15" x14ac:dyDescent="0.3">
      <c r="A571" s="8">
        <v>570</v>
      </c>
      <c r="B571" s="25">
        <v>45153</v>
      </c>
      <c r="C571" s="5" t="s">
        <v>578</v>
      </c>
      <c r="D571" s="5" t="s">
        <v>5</v>
      </c>
      <c r="E571" s="12">
        <v>49</v>
      </c>
      <c r="F571" s="2" t="str">
        <f t="shared" si="48"/>
        <v>Adult</v>
      </c>
      <c r="G571" s="5" t="s">
        <v>9</v>
      </c>
      <c r="H571" s="8">
        <v>1</v>
      </c>
      <c r="I571" s="2">
        <v>500</v>
      </c>
      <c r="J571" s="2">
        <v>500</v>
      </c>
      <c r="K571" t="str">
        <f t="shared" si="49"/>
        <v>Low</v>
      </c>
      <c r="L571" s="12">
        <f t="shared" si="50"/>
        <v>2023</v>
      </c>
      <c r="M571" s="12">
        <f t="shared" si="51"/>
        <v>3</v>
      </c>
      <c r="N571" s="5" t="str">
        <f t="shared" si="52"/>
        <v>Tuesday</v>
      </c>
      <c r="O571" s="5" t="str">
        <f t="shared" si="53"/>
        <v>August</v>
      </c>
    </row>
    <row r="572" spans="1:15" x14ac:dyDescent="0.3">
      <c r="A572" s="8">
        <v>571</v>
      </c>
      <c r="B572" s="25">
        <v>45272</v>
      </c>
      <c r="C572" s="5" t="s">
        <v>579</v>
      </c>
      <c r="D572" s="5" t="s">
        <v>8</v>
      </c>
      <c r="E572" s="12">
        <v>41</v>
      </c>
      <c r="F572" s="2" t="str">
        <f t="shared" si="48"/>
        <v>Adult</v>
      </c>
      <c r="G572" s="5" t="s">
        <v>11</v>
      </c>
      <c r="H572" s="8">
        <v>1</v>
      </c>
      <c r="I572" s="2">
        <v>50</v>
      </c>
      <c r="J572" s="2">
        <v>50</v>
      </c>
      <c r="K572" t="str">
        <f t="shared" si="49"/>
        <v>Low</v>
      </c>
      <c r="L572" s="12">
        <f t="shared" si="50"/>
        <v>2023</v>
      </c>
      <c r="M572" s="12">
        <f t="shared" si="51"/>
        <v>4</v>
      </c>
      <c r="N572" s="5" t="str">
        <f t="shared" si="52"/>
        <v>Tuesday</v>
      </c>
      <c r="O572" s="5" t="str">
        <f t="shared" si="53"/>
        <v>December</v>
      </c>
    </row>
    <row r="573" spans="1:15" x14ac:dyDescent="0.3">
      <c r="A573" s="8">
        <v>572</v>
      </c>
      <c r="B573" s="25">
        <v>45036</v>
      </c>
      <c r="C573" s="5" t="s">
        <v>580</v>
      </c>
      <c r="D573" s="5" t="s">
        <v>5</v>
      </c>
      <c r="E573" s="12">
        <v>31</v>
      </c>
      <c r="F573" s="2" t="str">
        <f t="shared" si="48"/>
        <v>Adult</v>
      </c>
      <c r="G573" s="5" t="s">
        <v>9</v>
      </c>
      <c r="H573" s="8">
        <v>4</v>
      </c>
      <c r="I573" s="2">
        <v>500</v>
      </c>
      <c r="J573" s="2">
        <v>2000</v>
      </c>
      <c r="K573" t="str">
        <f t="shared" si="49"/>
        <v>High</v>
      </c>
      <c r="L573" s="12">
        <f t="shared" si="50"/>
        <v>2023</v>
      </c>
      <c r="M573" s="12">
        <f t="shared" si="51"/>
        <v>2</v>
      </c>
      <c r="N573" s="5" t="str">
        <f t="shared" si="52"/>
        <v>Thursday</v>
      </c>
      <c r="O573" s="5" t="str">
        <f t="shared" si="53"/>
        <v>April</v>
      </c>
    </row>
    <row r="574" spans="1:15" x14ac:dyDescent="0.3">
      <c r="A574" s="8">
        <v>573</v>
      </c>
      <c r="B574" s="25">
        <v>45188</v>
      </c>
      <c r="C574" s="5" t="s">
        <v>581</v>
      </c>
      <c r="D574" s="5" t="s">
        <v>5</v>
      </c>
      <c r="E574" s="12">
        <v>49</v>
      </c>
      <c r="F574" s="2" t="str">
        <f t="shared" si="48"/>
        <v>Adult</v>
      </c>
      <c r="G574" s="5" t="s">
        <v>6</v>
      </c>
      <c r="H574" s="8">
        <v>2</v>
      </c>
      <c r="I574" s="2">
        <v>30</v>
      </c>
      <c r="J574" s="2">
        <v>60</v>
      </c>
      <c r="K574" t="str">
        <f t="shared" si="49"/>
        <v>Low</v>
      </c>
      <c r="L574" s="12">
        <f t="shared" si="50"/>
        <v>2023</v>
      </c>
      <c r="M574" s="12">
        <f t="shared" si="51"/>
        <v>3</v>
      </c>
      <c r="N574" s="5" t="str">
        <f t="shared" si="52"/>
        <v>Tuesday</v>
      </c>
      <c r="O574" s="5" t="str">
        <f t="shared" si="53"/>
        <v>September</v>
      </c>
    </row>
    <row r="575" spans="1:15" x14ac:dyDescent="0.3">
      <c r="A575" s="8">
        <v>574</v>
      </c>
      <c r="B575" s="25">
        <v>45169</v>
      </c>
      <c r="C575" s="5" t="s">
        <v>582</v>
      </c>
      <c r="D575" s="5" t="s">
        <v>8</v>
      </c>
      <c r="E575" s="12">
        <v>63</v>
      </c>
      <c r="F575" s="2" t="str">
        <f t="shared" si="48"/>
        <v>Senior</v>
      </c>
      <c r="G575" s="5" t="s">
        <v>11</v>
      </c>
      <c r="H575" s="8">
        <v>2</v>
      </c>
      <c r="I575" s="2">
        <v>25</v>
      </c>
      <c r="J575" s="2">
        <v>50</v>
      </c>
      <c r="K575" t="str">
        <f t="shared" si="49"/>
        <v>Low</v>
      </c>
      <c r="L575" s="12">
        <f t="shared" si="50"/>
        <v>2023</v>
      </c>
      <c r="M575" s="12">
        <f t="shared" si="51"/>
        <v>3</v>
      </c>
      <c r="N575" s="5" t="str">
        <f t="shared" si="52"/>
        <v>Thursday</v>
      </c>
      <c r="O575" s="5" t="str">
        <f t="shared" si="53"/>
        <v>August</v>
      </c>
    </row>
    <row r="576" spans="1:15" x14ac:dyDescent="0.3">
      <c r="A576" s="8">
        <v>575</v>
      </c>
      <c r="B576" s="25">
        <v>45013</v>
      </c>
      <c r="C576" s="5" t="s">
        <v>583</v>
      </c>
      <c r="D576" s="5" t="s">
        <v>5</v>
      </c>
      <c r="E576" s="12">
        <v>60</v>
      </c>
      <c r="F576" s="2" t="str">
        <f t="shared" si="48"/>
        <v>Adult</v>
      </c>
      <c r="G576" s="5" t="s">
        <v>9</v>
      </c>
      <c r="H576" s="8">
        <v>2</v>
      </c>
      <c r="I576" s="2">
        <v>50</v>
      </c>
      <c r="J576" s="2">
        <v>100</v>
      </c>
      <c r="K576" t="str">
        <f t="shared" si="49"/>
        <v>Low</v>
      </c>
      <c r="L576" s="12">
        <f t="shared" si="50"/>
        <v>2023</v>
      </c>
      <c r="M576" s="12">
        <f t="shared" si="51"/>
        <v>1</v>
      </c>
      <c r="N576" s="5" t="str">
        <f t="shared" si="52"/>
        <v>Tuesday</v>
      </c>
      <c r="O576" s="5" t="str">
        <f t="shared" si="53"/>
        <v>March</v>
      </c>
    </row>
    <row r="577" spans="1:15" x14ac:dyDescent="0.3">
      <c r="A577" s="8">
        <v>576</v>
      </c>
      <c r="B577" s="25">
        <v>45264</v>
      </c>
      <c r="C577" s="5" t="s">
        <v>584</v>
      </c>
      <c r="D577" s="5" t="s">
        <v>8</v>
      </c>
      <c r="E577" s="12">
        <v>33</v>
      </c>
      <c r="F577" s="2" t="str">
        <f t="shared" si="48"/>
        <v>Adult</v>
      </c>
      <c r="G577" s="5" t="s">
        <v>6</v>
      </c>
      <c r="H577" s="8">
        <v>3</v>
      </c>
      <c r="I577" s="2">
        <v>50</v>
      </c>
      <c r="J577" s="2">
        <v>150</v>
      </c>
      <c r="K577" t="str">
        <f t="shared" si="49"/>
        <v>Low</v>
      </c>
      <c r="L577" s="12">
        <f t="shared" si="50"/>
        <v>2023</v>
      </c>
      <c r="M577" s="12">
        <f t="shared" si="51"/>
        <v>4</v>
      </c>
      <c r="N577" s="5" t="str">
        <f t="shared" si="52"/>
        <v>Monday</v>
      </c>
      <c r="O577" s="5" t="str">
        <f t="shared" si="53"/>
        <v>December</v>
      </c>
    </row>
    <row r="578" spans="1:15" x14ac:dyDescent="0.3">
      <c r="A578" s="8">
        <v>577</v>
      </c>
      <c r="B578" s="25">
        <v>44970</v>
      </c>
      <c r="C578" s="5" t="s">
        <v>585</v>
      </c>
      <c r="D578" s="5" t="s">
        <v>5</v>
      </c>
      <c r="E578" s="12">
        <v>21</v>
      </c>
      <c r="F578" s="2" t="str">
        <f t="shared" si="48"/>
        <v>Young</v>
      </c>
      <c r="G578" s="5" t="s">
        <v>6</v>
      </c>
      <c r="H578" s="8">
        <v>4</v>
      </c>
      <c r="I578" s="2">
        <v>500</v>
      </c>
      <c r="J578" s="2">
        <v>2000</v>
      </c>
      <c r="K578" t="str">
        <f t="shared" si="49"/>
        <v>High</v>
      </c>
      <c r="L578" s="12">
        <f t="shared" si="50"/>
        <v>2023</v>
      </c>
      <c r="M578" s="12">
        <f t="shared" si="51"/>
        <v>1</v>
      </c>
      <c r="N578" s="5" t="str">
        <f t="shared" si="52"/>
        <v>Monday</v>
      </c>
      <c r="O578" s="5" t="str">
        <f t="shared" si="53"/>
        <v>February</v>
      </c>
    </row>
    <row r="579" spans="1:15" x14ac:dyDescent="0.3">
      <c r="A579" s="8">
        <v>578</v>
      </c>
      <c r="B579" s="25">
        <v>45072</v>
      </c>
      <c r="C579" s="5" t="s">
        <v>586</v>
      </c>
      <c r="D579" s="5" t="s">
        <v>8</v>
      </c>
      <c r="E579" s="12">
        <v>54</v>
      </c>
      <c r="F579" s="2" t="str">
        <f t="shared" ref="F579:F642" si="54">IF(E579&gt;60,"Senior",IF(E579&gt;30,"Adult","Young"))</f>
        <v>Adult</v>
      </c>
      <c r="G579" s="5" t="s">
        <v>9</v>
      </c>
      <c r="H579" s="8">
        <v>4</v>
      </c>
      <c r="I579" s="2">
        <v>30</v>
      </c>
      <c r="J579" s="2">
        <v>120</v>
      </c>
      <c r="K579" t="str">
        <f t="shared" ref="K579:K642" si="55">IF(J579&gt;1500,"High",IF(J579&gt;500,"Medium","Low"))</f>
        <v>Low</v>
      </c>
      <c r="L579" s="12">
        <f t="shared" ref="L579:L642" si="56">YEAR(B579)</f>
        <v>2023</v>
      </c>
      <c r="M579" s="12">
        <f t="shared" ref="M579:M642" si="57">ROUNDUP(MONTH(B579)/3,0)</f>
        <v>2</v>
      </c>
      <c r="N579" s="5" t="str">
        <f t="shared" ref="N579:N642" si="58">TEXT(B579,"dddd")</f>
        <v>Friday</v>
      </c>
      <c r="O579" s="5" t="str">
        <f t="shared" ref="O579:O642" si="59">TEXT(B579,"mmmm")</f>
        <v>May</v>
      </c>
    </row>
    <row r="580" spans="1:15" x14ac:dyDescent="0.3">
      <c r="A580" s="8">
        <v>579</v>
      </c>
      <c r="B580" s="25">
        <v>45190</v>
      </c>
      <c r="C580" s="5" t="s">
        <v>587</v>
      </c>
      <c r="D580" s="5" t="s">
        <v>8</v>
      </c>
      <c r="E580" s="12">
        <v>38</v>
      </c>
      <c r="F580" s="2" t="str">
        <f t="shared" si="54"/>
        <v>Adult</v>
      </c>
      <c r="G580" s="5" t="s">
        <v>11</v>
      </c>
      <c r="H580" s="8">
        <v>1</v>
      </c>
      <c r="I580" s="2">
        <v>30</v>
      </c>
      <c r="J580" s="2">
        <v>30</v>
      </c>
      <c r="K580" t="str">
        <f t="shared" si="55"/>
        <v>Low</v>
      </c>
      <c r="L580" s="12">
        <f t="shared" si="56"/>
        <v>2023</v>
      </c>
      <c r="M580" s="12">
        <f t="shared" si="57"/>
        <v>3</v>
      </c>
      <c r="N580" s="5" t="str">
        <f t="shared" si="58"/>
        <v>Thursday</v>
      </c>
      <c r="O580" s="5" t="str">
        <f t="shared" si="59"/>
        <v>September</v>
      </c>
    </row>
    <row r="581" spans="1:15" x14ac:dyDescent="0.3">
      <c r="A581" s="8">
        <v>580</v>
      </c>
      <c r="B581" s="25">
        <v>45266</v>
      </c>
      <c r="C581" s="5" t="s">
        <v>588</v>
      </c>
      <c r="D581" s="5" t="s">
        <v>8</v>
      </c>
      <c r="E581" s="12">
        <v>31</v>
      </c>
      <c r="F581" s="2" t="str">
        <f t="shared" si="54"/>
        <v>Adult</v>
      </c>
      <c r="G581" s="5" t="s">
        <v>9</v>
      </c>
      <c r="H581" s="8">
        <v>3</v>
      </c>
      <c r="I581" s="2">
        <v>500</v>
      </c>
      <c r="J581" s="2">
        <v>1500</v>
      </c>
      <c r="K581" t="str">
        <f t="shared" si="55"/>
        <v>Medium</v>
      </c>
      <c r="L581" s="12">
        <f t="shared" si="56"/>
        <v>2023</v>
      </c>
      <c r="M581" s="12">
        <f t="shared" si="57"/>
        <v>4</v>
      </c>
      <c r="N581" s="5" t="str">
        <f t="shared" si="58"/>
        <v>Wednesday</v>
      </c>
      <c r="O581" s="5" t="str">
        <f t="shared" si="59"/>
        <v>December</v>
      </c>
    </row>
    <row r="582" spans="1:15" x14ac:dyDescent="0.3">
      <c r="A582" s="8">
        <v>581</v>
      </c>
      <c r="B582" s="25">
        <v>45251</v>
      </c>
      <c r="C582" s="5" t="s">
        <v>589</v>
      </c>
      <c r="D582" s="5" t="s">
        <v>8</v>
      </c>
      <c r="E582" s="12">
        <v>48</v>
      </c>
      <c r="F582" s="2" t="str">
        <f t="shared" si="54"/>
        <v>Adult</v>
      </c>
      <c r="G582" s="5" t="s">
        <v>6</v>
      </c>
      <c r="H582" s="8">
        <v>2</v>
      </c>
      <c r="I582" s="2">
        <v>30</v>
      </c>
      <c r="J582" s="2">
        <v>60</v>
      </c>
      <c r="K582" t="str">
        <f t="shared" si="55"/>
        <v>Low</v>
      </c>
      <c r="L582" s="12">
        <f t="shared" si="56"/>
        <v>2023</v>
      </c>
      <c r="M582" s="12">
        <f t="shared" si="57"/>
        <v>4</v>
      </c>
      <c r="N582" s="5" t="str">
        <f t="shared" si="58"/>
        <v>Tuesday</v>
      </c>
      <c r="O582" s="5" t="str">
        <f t="shared" si="59"/>
        <v>November</v>
      </c>
    </row>
    <row r="583" spans="1:15" x14ac:dyDescent="0.3">
      <c r="A583" s="8">
        <v>582</v>
      </c>
      <c r="B583" s="25">
        <v>45244</v>
      </c>
      <c r="C583" s="5" t="s">
        <v>590</v>
      </c>
      <c r="D583" s="5" t="s">
        <v>5</v>
      </c>
      <c r="E583" s="12">
        <v>35</v>
      </c>
      <c r="F583" s="2" t="str">
        <f t="shared" si="54"/>
        <v>Adult</v>
      </c>
      <c r="G583" s="5" t="s">
        <v>9</v>
      </c>
      <c r="H583" s="8">
        <v>3</v>
      </c>
      <c r="I583" s="2">
        <v>300</v>
      </c>
      <c r="J583" s="2">
        <v>900</v>
      </c>
      <c r="K583" t="str">
        <f t="shared" si="55"/>
        <v>Medium</v>
      </c>
      <c r="L583" s="12">
        <f t="shared" si="56"/>
        <v>2023</v>
      </c>
      <c r="M583" s="12">
        <f t="shared" si="57"/>
        <v>4</v>
      </c>
      <c r="N583" s="5" t="str">
        <f t="shared" si="58"/>
        <v>Tuesday</v>
      </c>
      <c r="O583" s="5" t="str">
        <f t="shared" si="59"/>
        <v>November</v>
      </c>
    </row>
    <row r="584" spans="1:15" x14ac:dyDescent="0.3">
      <c r="A584" s="8">
        <v>583</v>
      </c>
      <c r="B584" s="25">
        <v>45098</v>
      </c>
      <c r="C584" s="5" t="s">
        <v>591</v>
      </c>
      <c r="D584" s="5" t="s">
        <v>8</v>
      </c>
      <c r="E584" s="12">
        <v>24</v>
      </c>
      <c r="F584" s="2" t="str">
        <f t="shared" si="54"/>
        <v>Young</v>
      </c>
      <c r="G584" s="5" t="s">
        <v>11</v>
      </c>
      <c r="H584" s="8">
        <v>4</v>
      </c>
      <c r="I584" s="2">
        <v>25</v>
      </c>
      <c r="J584" s="2">
        <v>100</v>
      </c>
      <c r="K584" t="str">
        <f t="shared" si="55"/>
        <v>Low</v>
      </c>
      <c r="L584" s="12">
        <f t="shared" si="56"/>
        <v>2023</v>
      </c>
      <c r="M584" s="12">
        <f t="shared" si="57"/>
        <v>2</v>
      </c>
      <c r="N584" s="5" t="str">
        <f t="shared" si="58"/>
        <v>Wednesday</v>
      </c>
      <c r="O584" s="5" t="str">
        <f t="shared" si="59"/>
        <v>June</v>
      </c>
    </row>
    <row r="585" spans="1:15" x14ac:dyDescent="0.3">
      <c r="A585" s="8">
        <v>584</v>
      </c>
      <c r="B585" s="25">
        <v>44974</v>
      </c>
      <c r="C585" s="5" t="s">
        <v>592</v>
      </c>
      <c r="D585" s="5" t="s">
        <v>8</v>
      </c>
      <c r="E585" s="12">
        <v>27</v>
      </c>
      <c r="F585" s="2" t="str">
        <f t="shared" si="54"/>
        <v>Young</v>
      </c>
      <c r="G585" s="5" t="s">
        <v>6</v>
      </c>
      <c r="H585" s="8">
        <v>4</v>
      </c>
      <c r="I585" s="2">
        <v>50</v>
      </c>
      <c r="J585" s="2">
        <v>200</v>
      </c>
      <c r="K585" t="str">
        <f t="shared" si="55"/>
        <v>Low</v>
      </c>
      <c r="L585" s="12">
        <f t="shared" si="56"/>
        <v>2023</v>
      </c>
      <c r="M585" s="12">
        <f t="shared" si="57"/>
        <v>1</v>
      </c>
      <c r="N585" s="5" t="str">
        <f t="shared" si="58"/>
        <v>Friday</v>
      </c>
      <c r="O585" s="5" t="str">
        <f t="shared" si="59"/>
        <v>February</v>
      </c>
    </row>
    <row r="586" spans="1:15" x14ac:dyDescent="0.3">
      <c r="A586" s="8">
        <v>585</v>
      </c>
      <c r="B586" s="25">
        <v>45047</v>
      </c>
      <c r="C586" s="5" t="s">
        <v>593</v>
      </c>
      <c r="D586" s="5" t="s">
        <v>8</v>
      </c>
      <c r="E586" s="12">
        <v>24</v>
      </c>
      <c r="F586" s="2" t="str">
        <f t="shared" si="54"/>
        <v>Young</v>
      </c>
      <c r="G586" s="5" t="s">
        <v>9</v>
      </c>
      <c r="H586" s="8">
        <v>1</v>
      </c>
      <c r="I586" s="2">
        <v>25</v>
      </c>
      <c r="J586" s="2">
        <v>25</v>
      </c>
      <c r="K586" t="str">
        <f t="shared" si="55"/>
        <v>Low</v>
      </c>
      <c r="L586" s="12">
        <f t="shared" si="56"/>
        <v>2023</v>
      </c>
      <c r="M586" s="12">
        <f t="shared" si="57"/>
        <v>2</v>
      </c>
      <c r="N586" s="5" t="str">
        <f t="shared" si="58"/>
        <v>Monday</v>
      </c>
      <c r="O586" s="5" t="str">
        <f t="shared" si="59"/>
        <v>May</v>
      </c>
    </row>
    <row r="587" spans="1:15" x14ac:dyDescent="0.3">
      <c r="A587" s="8">
        <v>586</v>
      </c>
      <c r="B587" s="25">
        <v>45271</v>
      </c>
      <c r="C587" s="5" t="s">
        <v>594</v>
      </c>
      <c r="D587" s="5" t="s">
        <v>5</v>
      </c>
      <c r="E587" s="12">
        <v>50</v>
      </c>
      <c r="F587" s="2" t="str">
        <f t="shared" si="54"/>
        <v>Adult</v>
      </c>
      <c r="G587" s="5" t="s">
        <v>11</v>
      </c>
      <c r="H587" s="8">
        <v>1</v>
      </c>
      <c r="I587" s="2">
        <v>50</v>
      </c>
      <c r="J587" s="2">
        <v>50</v>
      </c>
      <c r="K587" t="str">
        <f t="shared" si="55"/>
        <v>Low</v>
      </c>
      <c r="L587" s="12">
        <f t="shared" si="56"/>
        <v>2023</v>
      </c>
      <c r="M587" s="12">
        <f t="shared" si="57"/>
        <v>4</v>
      </c>
      <c r="N587" s="5" t="str">
        <f t="shared" si="58"/>
        <v>Monday</v>
      </c>
      <c r="O587" s="5" t="str">
        <f t="shared" si="59"/>
        <v>December</v>
      </c>
    </row>
    <row r="588" spans="1:15" x14ac:dyDescent="0.3">
      <c r="A588" s="8">
        <v>587</v>
      </c>
      <c r="B588" s="25">
        <v>45085</v>
      </c>
      <c r="C588" s="5" t="s">
        <v>595</v>
      </c>
      <c r="D588" s="5" t="s">
        <v>8</v>
      </c>
      <c r="E588" s="12">
        <v>40</v>
      </c>
      <c r="F588" s="2" t="str">
        <f t="shared" si="54"/>
        <v>Adult</v>
      </c>
      <c r="G588" s="5" t="s">
        <v>6</v>
      </c>
      <c r="H588" s="8">
        <v>4</v>
      </c>
      <c r="I588" s="2">
        <v>300</v>
      </c>
      <c r="J588" s="2">
        <v>1200</v>
      </c>
      <c r="K588" t="str">
        <f t="shared" si="55"/>
        <v>Medium</v>
      </c>
      <c r="L588" s="12">
        <f t="shared" si="56"/>
        <v>2023</v>
      </c>
      <c r="M588" s="12">
        <f t="shared" si="57"/>
        <v>2</v>
      </c>
      <c r="N588" s="5" t="str">
        <f t="shared" si="58"/>
        <v>Thursday</v>
      </c>
      <c r="O588" s="5" t="str">
        <f t="shared" si="59"/>
        <v>June</v>
      </c>
    </row>
    <row r="589" spans="1:15" x14ac:dyDescent="0.3">
      <c r="A589" s="8">
        <v>588</v>
      </c>
      <c r="B589" s="25">
        <v>45042</v>
      </c>
      <c r="C589" s="5" t="s">
        <v>596</v>
      </c>
      <c r="D589" s="5" t="s">
        <v>5</v>
      </c>
      <c r="E589" s="12">
        <v>38</v>
      </c>
      <c r="F589" s="2" t="str">
        <f t="shared" si="54"/>
        <v>Adult</v>
      </c>
      <c r="G589" s="5" t="s">
        <v>11</v>
      </c>
      <c r="H589" s="8">
        <v>2</v>
      </c>
      <c r="I589" s="2">
        <v>30</v>
      </c>
      <c r="J589" s="2">
        <v>60</v>
      </c>
      <c r="K589" t="str">
        <f t="shared" si="55"/>
        <v>Low</v>
      </c>
      <c r="L589" s="12">
        <f t="shared" si="56"/>
        <v>2023</v>
      </c>
      <c r="M589" s="12">
        <f t="shared" si="57"/>
        <v>2</v>
      </c>
      <c r="N589" s="5" t="str">
        <f t="shared" si="58"/>
        <v>Wednesday</v>
      </c>
      <c r="O589" s="5" t="str">
        <f t="shared" si="59"/>
        <v>April</v>
      </c>
    </row>
    <row r="590" spans="1:15" x14ac:dyDescent="0.3">
      <c r="A590" s="8">
        <v>589</v>
      </c>
      <c r="B590" s="25">
        <v>45028</v>
      </c>
      <c r="C590" s="5" t="s">
        <v>597</v>
      </c>
      <c r="D590" s="5" t="s">
        <v>8</v>
      </c>
      <c r="E590" s="12">
        <v>36</v>
      </c>
      <c r="F590" s="2" t="str">
        <f t="shared" si="54"/>
        <v>Adult</v>
      </c>
      <c r="G590" s="5" t="s">
        <v>6</v>
      </c>
      <c r="H590" s="8">
        <v>2</v>
      </c>
      <c r="I590" s="2">
        <v>500</v>
      </c>
      <c r="J590" s="2">
        <v>1000</v>
      </c>
      <c r="K590" t="str">
        <f t="shared" si="55"/>
        <v>Medium</v>
      </c>
      <c r="L590" s="12">
        <f t="shared" si="56"/>
        <v>2023</v>
      </c>
      <c r="M590" s="12">
        <f t="shared" si="57"/>
        <v>2</v>
      </c>
      <c r="N590" s="5" t="str">
        <f t="shared" si="58"/>
        <v>Wednesday</v>
      </c>
      <c r="O590" s="5" t="str">
        <f t="shared" si="59"/>
        <v>April</v>
      </c>
    </row>
    <row r="591" spans="1:15" x14ac:dyDescent="0.3">
      <c r="A591" s="8">
        <v>590</v>
      </c>
      <c r="B591" s="25">
        <v>45002</v>
      </c>
      <c r="C591" s="5" t="s">
        <v>598</v>
      </c>
      <c r="D591" s="5" t="s">
        <v>5</v>
      </c>
      <c r="E591" s="12">
        <v>36</v>
      </c>
      <c r="F591" s="2" t="str">
        <f t="shared" si="54"/>
        <v>Adult</v>
      </c>
      <c r="G591" s="5" t="s">
        <v>9</v>
      </c>
      <c r="H591" s="8">
        <v>3</v>
      </c>
      <c r="I591" s="2">
        <v>300</v>
      </c>
      <c r="J591" s="2">
        <v>900</v>
      </c>
      <c r="K591" t="str">
        <f t="shared" si="55"/>
        <v>Medium</v>
      </c>
      <c r="L591" s="12">
        <f t="shared" si="56"/>
        <v>2023</v>
      </c>
      <c r="M591" s="12">
        <f t="shared" si="57"/>
        <v>1</v>
      </c>
      <c r="N591" s="5" t="str">
        <f t="shared" si="58"/>
        <v>Friday</v>
      </c>
      <c r="O591" s="5" t="str">
        <f t="shared" si="59"/>
        <v>March</v>
      </c>
    </row>
    <row r="592" spans="1:15" x14ac:dyDescent="0.3">
      <c r="A592" s="8">
        <v>591</v>
      </c>
      <c r="B592" s="25">
        <v>44939</v>
      </c>
      <c r="C592" s="5" t="s">
        <v>599</v>
      </c>
      <c r="D592" s="5" t="s">
        <v>5</v>
      </c>
      <c r="E592" s="12">
        <v>53</v>
      </c>
      <c r="F592" s="2" t="str">
        <f t="shared" si="54"/>
        <v>Adult</v>
      </c>
      <c r="G592" s="5" t="s">
        <v>11</v>
      </c>
      <c r="H592" s="8">
        <v>4</v>
      </c>
      <c r="I592" s="2">
        <v>25</v>
      </c>
      <c r="J592" s="2">
        <v>100</v>
      </c>
      <c r="K592" t="str">
        <f t="shared" si="55"/>
        <v>Low</v>
      </c>
      <c r="L592" s="12">
        <f t="shared" si="56"/>
        <v>2023</v>
      </c>
      <c r="M592" s="12">
        <f t="shared" si="57"/>
        <v>1</v>
      </c>
      <c r="N592" s="5" t="str">
        <f t="shared" si="58"/>
        <v>Friday</v>
      </c>
      <c r="O592" s="5" t="str">
        <f t="shared" si="59"/>
        <v>January</v>
      </c>
    </row>
    <row r="593" spans="1:15" x14ac:dyDescent="0.3">
      <c r="A593" s="8">
        <v>592</v>
      </c>
      <c r="B593" s="25">
        <v>44950</v>
      </c>
      <c r="C593" s="5" t="s">
        <v>600</v>
      </c>
      <c r="D593" s="5" t="s">
        <v>8</v>
      </c>
      <c r="E593" s="12">
        <v>46</v>
      </c>
      <c r="F593" s="2" t="str">
        <f t="shared" si="54"/>
        <v>Adult</v>
      </c>
      <c r="G593" s="5" t="s">
        <v>6</v>
      </c>
      <c r="H593" s="8">
        <v>4</v>
      </c>
      <c r="I593" s="2">
        <v>500</v>
      </c>
      <c r="J593" s="2">
        <v>2000</v>
      </c>
      <c r="K593" t="str">
        <f t="shared" si="55"/>
        <v>High</v>
      </c>
      <c r="L593" s="12">
        <f t="shared" si="56"/>
        <v>2023</v>
      </c>
      <c r="M593" s="12">
        <f t="shared" si="57"/>
        <v>1</v>
      </c>
      <c r="N593" s="5" t="str">
        <f t="shared" si="58"/>
        <v>Tuesday</v>
      </c>
      <c r="O593" s="5" t="str">
        <f t="shared" si="59"/>
        <v>January</v>
      </c>
    </row>
    <row r="594" spans="1:15" x14ac:dyDescent="0.3">
      <c r="A594" s="8">
        <v>593</v>
      </c>
      <c r="B594" s="25">
        <v>45052</v>
      </c>
      <c r="C594" s="5" t="s">
        <v>601</v>
      </c>
      <c r="D594" s="5" t="s">
        <v>5</v>
      </c>
      <c r="E594" s="12">
        <v>35</v>
      </c>
      <c r="F594" s="2" t="str">
        <f t="shared" si="54"/>
        <v>Adult</v>
      </c>
      <c r="G594" s="5" t="s">
        <v>11</v>
      </c>
      <c r="H594" s="8">
        <v>2</v>
      </c>
      <c r="I594" s="2">
        <v>30</v>
      </c>
      <c r="J594" s="2">
        <v>60</v>
      </c>
      <c r="K594" t="str">
        <f t="shared" si="55"/>
        <v>Low</v>
      </c>
      <c r="L594" s="12">
        <f t="shared" si="56"/>
        <v>2023</v>
      </c>
      <c r="M594" s="12">
        <f t="shared" si="57"/>
        <v>2</v>
      </c>
      <c r="N594" s="5" t="str">
        <f t="shared" si="58"/>
        <v>Saturday</v>
      </c>
      <c r="O594" s="5" t="str">
        <f t="shared" si="59"/>
        <v>May</v>
      </c>
    </row>
    <row r="595" spans="1:15" x14ac:dyDescent="0.3">
      <c r="A595" s="8">
        <v>594</v>
      </c>
      <c r="B595" s="25">
        <v>45170</v>
      </c>
      <c r="C595" s="5" t="s">
        <v>602</v>
      </c>
      <c r="D595" s="5" t="s">
        <v>8</v>
      </c>
      <c r="E595" s="12">
        <v>19</v>
      </c>
      <c r="F595" s="2" t="str">
        <f t="shared" si="54"/>
        <v>Young</v>
      </c>
      <c r="G595" s="5" t="s">
        <v>11</v>
      </c>
      <c r="H595" s="8">
        <v>2</v>
      </c>
      <c r="I595" s="2">
        <v>300</v>
      </c>
      <c r="J595" s="2">
        <v>600</v>
      </c>
      <c r="K595" t="str">
        <f t="shared" si="55"/>
        <v>Medium</v>
      </c>
      <c r="L595" s="12">
        <f t="shared" si="56"/>
        <v>2023</v>
      </c>
      <c r="M595" s="12">
        <f t="shared" si="57"/>
        <v>3</v>
      </c>
      <c r="N595" s="5" t="str">
        <f t="shared" si="58"/>
        <v>Friday</v>
      </c>
      <c r="O595" s="5" t="str">
        <f t="shared" si="59"/>
        <v>September</v>
      </c>
    </row>
    <row r="596" spans="1:15" x14ac:dyDescent="0.3">
      <c r="A596" s="8">
        <v>595</v>
      </c>
      <c r="B596" s="25">
        <v>45239</v>
      </c>
      <c r="C596" s="5" t="s">
        <v>603</v>
      </c>
      <c r="D596" s="5" t="s">
        <v>8</v>
      </c>
      <c r="E596" s="12">
        <v>18</v>
      </c>
      <c r="F596" s="2" t="str">
        <f t="shared" si="54"/>
        <v>Young</v>
      </c>
      <c r="G596" s="5" t="s">
        <v>9</v>
      </c>
      <c r="H596" s="8">
        <v>4</v>
      </c>
      <c r="I596" s="2">
        <v>500</v>
      </c>
      <c r="J596" s="2">
        <v>2000</v>
      </c>
      <c r="K596" t="str">
        <f t="shared" si="55"/>
        <v>High</v>
      </c>
      <c r="L596" s="12">
        <f t="shared" si="56"/>
        <v>2023</v>
      </c>
      <c r="M596" s="12">
        <f t="shared" si="57"/>
        <v>4</v>
      </c>
      <c r="N596" s="5" t="str">
        <f t="shared" si="58"/>
        <v>Thursday</v>
      </c>
      <c r="O596" s="5" t="str">
        <f t="shared" si="59"/>
        <v>November</v>
      </c>
    </row>
    <row r="597" spans="1:15" x14ac:dyDescent="0.3">
      <c r="A597" s="8">
        <v>596</v>
      </c>
      <c r="B597" s="25">
        <v>44964</v>
      </c>
      <c r="C597" s="5" t="s">
        <v>604</v>
      </c>
      <c r="D597" s="5" t="s">
        <v>8</v>
      </c>
      <c r="E597" s="12">
        <v>64</v>
      </c>
      <c r="F597" s="2" t="str">
        <f t="shared" si="54"/>
        <v>Senior</v>
      </c>
      <c r="G597" s="5" t="s">
        <v>11</v>
      </c>
      <c r="H597" s="8">
        <v>1</v>
      </c>
      <c r="I597" s="2">
        <v>300</v>
      </c>
      <c r="J597" s="2">
        <v>300</v>
      </c>
      <c r="K597" t="str">
        <f t="shared" si="55"/>
        <v>Low</v>
      </c>
      <c r="L597" s="12">
        <f t="shared" si="56"/>
        <v>2023</v>
      </c>
      <c r="M597" s="12">
        <f t="shared" si="57"/>
        <v>1</v>
      </c>
      <c r="N597" s="5" t="str">
        <f t="shared" si="58"/>
        <v>Tuesday</v>
      </c>
      <c r="O597" s="5" t="str">
        <f t="shared" si="59"/>
        <v>February</v>
      </c>
    </row>
    <row r="598" spans="1:15" x14ac:dyDescent="0.3">
      <c r="A598" s="8">
        <v>597</v>
      </c>
      <c r="B598" s="25">
        <v>45160</v>
      </c>
      <c r="C598" s="5" t="s">
        <v>605</v>
      </c>
      <c r="D598" s="5" t="s">
        <v>5</v>
      </c>
      <c r="E598" s="12">
        <v>22</v>
      </c>
      <c r="F598" s="2" t="str">
        <f t="shared" si="54"/>
        <v>Young</v>
      </c>
      <c r="G598" s="5" t="s">
        <v>6</v>
      </c>
      <c r="H598" s="8">
        <v>4</v>
      </c>
      <c r="I598" s="2">
        <v>300</v>
      </c>
      <c r="J598" s="2">
        <v>1200</v>
      </c>
      <c r="K598" t="str">
        <f t="shared" si="55"/>
        <v>Medium</v>
      </c>
      <c r="L598" s="12">
        <f t="shared" si="56"/>
        <v>2023</v>
      </c>
      <c r="M598" s="12">
        <f t="shared" si="57"/>
        <v>3</v>
      </c>
      <c r="N598" s="5" t="str">
        <f t="shared" si="58"/>
        <v>Tuesday</v>
      </c>
      <c r="O598" s="5" t="str">
        <f t="shared" si="59"/>
        <v>August</v>
      </c>
    </row>
    <row r="599" spans="1:15" x14ac:dyDescent="0.3">
      <c r="A599" s="8">
        <v>598</v>
      </c>
      <c r="B599" s="25">
        <v>45139</v>
      </c>
      <c r="C599" s="5" t="s">
        <v>606</v>
      </c>
      <c r="D599" s="5" t="s">
        <v>5</v>
      </c>
      <c r="E599" s="12">
        <v>37</v>
      </c>
      <c r="F599" s="2" t="str">
        <f t="shared" si="54"/>
        <v>Adult</v>
      </c>
      <c r="G599" s="5" t="s">
        <v>6</v>
      </c>
      <c r="H599" s="8">
        <v>4</v>
      </c>
      <c r="I599" s="2">
        <v>30</v>
      </c>
      <c r="J599" s="2">
        <v>120</v>
      </c>
      <c r="K599" t="str">
        <f t="shared" si="55"/>
        <v>Low</v>
      </c>
      <c r="L599" s="12">
        <f t="shared" si="56"/>
        <v>2023</v>
      </c>
      <c r="M599" s="12">
        <f t="shared" si="57"/>
        <v>3</v>
      </c>
      <c r="N599" s="5" t="str">
        <f t="shared" si="58"/>
        <v>Tuesday</v>
      </c>
      <c r="O599" s="5" t="str">
        <f t="shared" si="59"/>
        <v>August</v>
      </c>
    </row>
    <row r="600" spans="1:15" x14ac:dyDescent="0.3">
      <c r="A600" s="8">
        <v>599</v>
      </c>
      <c r="B600" s="25">
        <v>45249</v>
      </c>
      <c r="C600" s="5" t="s">
        <v>607</v>
      </c>
      <c r="D600" s="5" t="s">
        <v>8</v>
      </c>
      <c r="E600" s="12">
        <v>28</v>
      </c>
      <c r="F600" s="2" t="str">
        <f t="shared" si="54"/>
        <v>Young</v>
      </c>
      <c r="G600" s="5" t="s">
        <v>6</v>
      </c>
      <c r="H600" s="8">
        <v>2</v>
      </c>
      <c r="I600" s="2">
        <v>50</v>
      </c>
      <c r="J600" s="2">
        <v>100</v>
      </c>
      <c r="K600" t="str">
        <f t="shared" si="55"/>
        <v>Low</v>
      </c>
      <c r="L600" s="12">
        <f t="shared" si="56"/>
        <v>2023</v>
      </c>
      <c r="M600" s="12">
        <f t="shared" si="57"/>
        <v>4</v>
      </c>
      <c r="N600" s="5" t="str">
        <f t="shared" si="58"/>
        <v>Sunday</v>
      </c>
      <c r="O600" s="5" t="str">
        <f t="shared" si="59"/>
        <v>November</v>
      </c>
    </row>
    <row r="601" spans="1:15" x14ac:dyDescent="0.3">
      <c r="A601" s="8">
        <v>600</v>
      </c>
      <c r="B601" s="25">
        <v>45221</v>
      </c>
      <c r="C601" s="5" t="s">
        <v>608</v>
      </c>
      <c r="D601" s="5" t="s">
        <v>8</v>
      </c>
      <c r="E601" s="12">
        <v>59</v>
      </c>
      <c r="F601" s="2" t="str">
        <f t="shared" si="54"/>
        <v>Adult</v>
      </c>
      <c r="G601" s="5" t="s">
        <v>6</v>
      </c>
      <c r="H601" s="8">
        <v>2</v>
      </c>
      <c r="I601" s="2">
        <v>500</v>
      </c>
      <c r="J601" s="2">
        <v>1000</v>
      </c>
      <c r="K601" t="str">
        <f t="shared" si="55"/>
        <v>Medium</v>
      </c>
      <c r="L601" s="12">
        <f t="shared" si="56"/>
        <v>2023</v>
      </c>
      <c r="M601" s="12">
        <f t="shared" si="57"/>
        <v>4</v>
      </c>
      <c r="N601" s="5" t="str">
        <f t="shared" si="58"/>
        <v>Sunday</v>
      </c>
      <c r="O601" s="5" t="str">
        <f t="shared" si="59"/>
        <v>October</v>
      </c>
    </row>
    <row r="602" spans="1:15" x14ac:dyDescent="0.3">
      <c r="A602" s="8">
        <v>601</v>
      </c>
      <c r="B602" s="25">
        <v>45026</v>
      </c>
      <c r="C602" s="5" t="s">
        <v>609</v>
      </c>
      <c r="D602" s="5" t="s">
        <v>5</v>
      </c>
      <c r="E602" s="12">
        <v>19</v>
      </c>
      <c r="F602" s="2" t="str">
        <f t="shared" si="54"/>
        <v>Young</v>
      </c>
      <c r="G602" s="5" t="s">
        <v>9</v>
      </c>
      <c r="H602" s="8">
        <v>1</v>
      </c>
      <c r="I602" s="2">
        <v>30</v>
      </c>
      <c r="J602" s="2">
        <v>30</v>
      </c>
      <c r="K602" t="str">
        <f t="shared" si="55"/>
        <v>Low</v>
      </c>
      <c r="L602" s="12">
        <f t="shared" si="56"/>
        <v>2023</v>
      </c>
      <c r="M602" s="12">
        <f t="shared" si="57"/>
        <v>2</v>
      </c>
      <c r="N602" s="5" t="str">
        <f t="shared" si="58"/>
        <v>Monday</v>
      </c>
      <c r="O602" s="5" t="str">
        <f t="shared" si="59"/>
        <v>April</v>
      </c>
    </row>
    <row r="603" spans="1:15" x14ac:dyDescent="0.3">
      <c r="A603" s="8">
        <v>602</v>
      </c>
      <c r="B603" s="25">
        <v>45283</v>
      </c>
      <c r="C603" s="5" t="s">
        <v>610</v>
      </c>
      <c r="D603" s="5" t="s">
        <v>8</v>
      </c>
      <c r="E603" s="12">
        <v>20</v>
      </c>
      <c r="F603" s="2" t="str">
        <f t="shared" si="54"/>
        <v>Young</v>
      </c>
      <c r="G603" s="5" t="s">
        <v>11</v>
      </c>
      <c r="H603" s="8">
        <v>1</v>
      </c>
      <c r="I603" s="2">
        <v>300</v>
      </c>
      <c r="J603" s="2">
        <v>300</v>
      </c>
      <c r="K603" t="str">
        <f t="shared" si="55"/>
        <v>Low</v>
      </c>
      <c r="L603" s="12">
        <f t="shared" si="56"/>
        <v>2023</v>
      </c>
      <c r="M603" s="12">
        <f t="shared" si="57"/>
        <v>4</v>
      </c>
      <c r="N603" s="5" t="str">
        <f t="shared" si="58"/>
        <v>Saturday</v>
      </c>
      <c r="O603" s="5" t="str">
        <f t="shared" si="59"/>
        <v>December</v>
      </c>
    </row>
    <row r="604" spans="1:15" x14ac:dyDescent="0.3">
      <c r="A604" s="8">
        <v>603</v>
      </c>
      <c r="B604" s="25">
        <v>45123</v>
      </c>
      <c r="C604" s="5" t="s">
        <v>611</v>
      </c>
      <c r="D604" s="5" t="s">
        <v>8</v>
      </c>
      <c r="E604" s="12">
        <v>40</v>
      </c>
      <c r="F604" s="2" t="str">
        <f t="shared" si="54"/>
        <v>Adult</v>
      </c>
      <c r="G604" s="5" t="s">
        <v>9</v>
      </c>
      <c r="H604" s="8">
        <v>3</v>
      </c>
      <c r="I604" s="2">
        <v>30</v>
      </c>
      <c r="J604" s="2">
        <v>90</v>
      </c>
      <c r="K604" t="str">
        <f t="shared" si="55"/>
        <v>Low</v>
      </c>
      <c r="L604" s="12">
        <f t="shared" si="56"/>
        <v>2023</v>
      </c>
      <c r="M604" s="12">
        <f t="shared" si="57"/>
        <v>3</v>
      </c>
      <c r="N604" s="5" t="str">
        <f t="shared" si="58"/>
        <v>Sunday</v>
      </c>
      <c r="O604" s="5" t="str">
        <f t="shared" si="59"/>
        <v>July</v>
      </c>
    </row>
    <row r="605" spans="1:15" x14ac:dyDescent="0.3">
      <c r="A605" s="8">
        <v>604</v>
      </c>
      <c r="B605" s="25">
        <v>45180</v>
      </c>
      <c r="C605" s="5" t="s">
        <v>612</v>
      </c>
      <c r="D605" s="5" t="s">
        <v>8</v>
      </c>
      <c r="E605" s="12">
        <v>29</v>
      </c>
      <c r="F605" s="2" t="str">
        <f t="shared" si="54"/>
        <v>Young</v>
      </c>
      <c r="G605" s="5" t="s">
        <v>11</v>
      </c>
      <c r="H605" s="8">
        <v>4</v>
      </c>
      <c r="I605" s="2">
        <v>50</v>
      </c>
      <c r="J605" s="2">
        <v>200</v>
      </c>
      <c r="K605" t="str">
        <f t="shared" si="55"/>
        <v>Low</v>
      </c>
      <c r="L605" s="12">
        <f t="shared" si="56"/>
        <v>2023</v>
      </c>
      <c r="M605" s="12">
        <f t="shared" si="57"/>
        <v>3</v>
      </c>
      <c r="N605" s="5" t="str">
        <f t="shared" si="58"/>
        <v>Monday</v>
      </c>
      <c r="O605" s="5" t="str">
        <f t="shared" si="59"/>
        <v>September</v>
      </c>
    </row>
    <row r="606" spans="1:15" x14ac:dyDescent="0.3">
      <c r="A606" s="8">
        <v>605</v>
      </c>
      <c r="B606" s="25">
        <v>45131</v>
      </c>
      <c r="C606" s="5" t="s">
        <v>613</v>
      </c>
      <c r="D606" s="5" t="s">
        <v>5</v>
      </c>
      <c r="E606" s="12">
        <v>37</v>
      </c>
      <c r="F606" s="2" t="str">
        <f t="shared" si="54"/>
        <v>Adult</v>
      </c>
      <c r="G606" s="5" t="s">
        <v>11</v>
      </c>
      <c r="H606" s="8">
        <v>2</v>
      </c>
      <c r="I606" s="2">
        <v>500</v>
      </c>
      <c r="J606" s="2">
        <v>1000</v>
      </c>
      <c r="K606" t="str">
        <f t="shared" si="55"/>
        <v>Medium</v>
      </c>
      <c r="L606" s="12">
        <f t="shared" si="56"/>
        <v>2023</v>
      </c>
      <c r="M606" s="12">
        <f t="shared" si="57"/>
        <v>3</v>
      </c>
      <c r="N606" s="5" t="str">
        <f t="shared" si="58"/>
        <v>Monday</v>
      </c>
      <c r="O606" s="5" t="str">
        <f t="shared" si="59"/>
        <v>July</v>
      </c>
    </row>
    <row r="607" spans="1:15" x14ac:dyDescent="0.3">
      <c r="A607" s="8">
        <v>606</v>
      </c>
      <c r="B607" s="25">
        <v>45051</v>
      </c>
      <c r="C607" s="5" t="s">
        <v>614</v>
      </c>
      <c r="D607" s="5" t="s">
        <v>5</v>
      </c>
      <c r="E607" s="12">
        <v>22</v>
      </c>
      <c r="F607" s="2" t="str">
        <f t="shared" si="54"/>
        <v>Young</v>
      </c>
      <c r="G607" s="5" t="s">
        <v>11</v>
      </c>
      <c r="H607" s="8">
        <v>1</v>
      </c>
      <c r="I607" s="2">
        <v>50</v>
      </c>
      <c r="J607" s="2">
        <v>50</v>
      </c>
      <c r="K607" t="str">
        <f t="shared" si="55"/>
        <v>Low</v>
      </c>
      <c r="L607" s="12">
        <f t="shared" si="56"/>
        <v>2023</v>
      </c>
      <c r="M607" s="12">
        <f t="shared" si="57"/>
        <v>2</v>
      </c>
      <c r="N607" s="5" t="str">
        <f t="shared" si="58"/>
        <v>Friday</v>
      </c>
      <c r="O607" s="5" t="str">
        <f t="shared" si="59"/>
        <v>May</v>
      </c>
    </row>
    <row r="608" spans="1:15" x14ac:dyDescent="0.3">
      <c r="A608" s="8">
        <v>607</v>
      </c>
      <c r="B608" s="25">
        <v>45002</v>
      </c>
      <c r="C608" s="5" t="s">
        <v>615</v>
      </c>
      <c r="D608" s="5" t="s">
        <v>5</v>
      </c>
      <c r="E608" s="12">
        <v>54</v>
      </c>
      <c r="F608" s="2" t="str">
        <f t="shared" si="54"/>
        <v>Adult</v>
      </c>
      <c r="G608" s="5" t="s">
        <v>9</v>
      </c>
      <c r="H608" s="8">
        <v>3</v>
      </c>
      <c r="I608" s="2">
        <v>25</v>
      </c>
      <c r="J608" s="2">
        <v>75</v>
      </c>
      <c r="K608" t="str">
        <f t="shared" si="55"/>
        <v>Low</v>
      </c>
      <c r="L608" s="12">
        <f t="shared" si="56"/>
        <v>2023</v>
      </c>
      <c r="M608" s="12">
        <f t="shared" si="57"/>
        <v>1</v>
      </c>
      <c r="N608" s="5" t="str">
        <f t="shared" si="58"/>
        <v>Friday</v>
      </c>
      <c r="O608" s="5" t="str">
        <f t="shared" si="59"/>
        <v>March</v>
      </c>
    </row>
    <row r="609" spans="1:15" x14ac:dyDescent="0.3">
      <c r="A609" s="8">
        <v>608</v>
      </c>
      <c r="B609" s="25">
        <v>45262</v>
      </c>
      <c r="C609" s="5" t="s">
        <v>616</v>
      </c>
      <c r="D609" s="5" t="s">
        <v>8</v>
      </c>
      <c r="E609" s="12">
        <v>55</v>
      </c>
      <c r="F609" s="2" t="str">
        <f t="shared" si="54"/>
        <v>Adult</v>
      </c>
      <c r="G609" s="5" t="s">
        <v>11</v>
      </c>
      <c r="H609" s="8">
        <v>3</v>
      </c>
      <c r="I609" s="2">
        <v>500</v>
      </c>
      <c r="J609" s="2">
        <v>1500</v>
      </c>
      <c r="K609" t="str">
        <f t="shared" si="55"/>
        <v>Medium</v>
      </c>
      <c r="L609" s="12">
        <f t="shared" si="56"/>
        <v>2023</v>
      </c>
      <c r="M609" s="12">
        <f t="shared" si="57"/>
        <v>4</v>
      </c>
      <c r="N609" s="5" t="str">
        <f t="shared" si="58"/>
        <v>Saturday</v>
      </c>
      <c r="O609" s="5" t="str">
        <f t="shared" si="59"/>
        <v>December</v>
      </c>
    </row>
    <row r="610" spans="1:15" x14ac:dyDescent="0.3">
      <c r="A610" s="8">
        <v>609</v>
      </c>
      <c r="B610" s="25">
        <v>45279</v>
      </c>
      <c r="C610" s="5" t="s">
        <v>617</v>
      </c>
      <c r="D610" s="5" t="s">
        <v>8</v>
      </c>
      <c r="E610" s="12">
        <v>47</v>
      </c>
      <c r="F610" s="2" t="str">
        <f t="shared" si="54"/>
        <v>Adult</v>
      </c>
      <c r="G610" s="5" t="s">
        <v>9</v>
      </c>
      <c r="H610" s="8">
        <v>2</v>
      </c>
      <c r="I610" s="2">
        <v>50</v>
      </c>
      <c r="J610" s="2">
        <v>100</v>
      </c>
      <c r="K610" t="str">
        <f t="shared" si="55"/>
        <v>Low</v>
      </c>
      <c r="L610" s="12">
        <f t="shared" si="56"/>
        <v>2023</v>
      </c>
      <c r="M610" s="12">
        <f t="shared" si="57"/>
        <v>4</v>
      </c>
      <c r="N610" s="5" t="str">
        <f t="shared" si="58"/>
        <v>Tuesday</v>
      </c>
      <c r="O610" s="5" t="str">
        <f t="shared" si="59"/>
        <v>December</v>
      </c>
    </row>
    <row r="611" spans="1:15" x14ac:dyDescent="0.3">
      <c r="A611" s="8">
        <v>610</v>
      </c>
      <c r="B611" s="25">
        <v>44929</v>
      </c>
      <c r="C611" s="5" t="s">
        <v>618</v>
      </c>
      <c r="D611" s="5" t="s">
        <v>8</v>
      </c>
      <c r="E611" s="12">
        <v>26</v>
      </c>
      <c r="F611" s="2" t="str">
        <f t="shared" si="54"/>
        <v>Young</v>
      </c>
      <c r="G611" s="5" t="s">
        <v>6</v>
      </c>
      <c r="H611" s="8">
        <v>2</v>
      </c>
      <c r="I611" s="2">
        <v>300</v>
      </c>
      <c r="J611" s="2">
        <v>600</v>
      </c>
      <c r="K611" t="str">
        <f t="shared" si="55"/>
        <v>Medium</v>
      </c>
      <c r="L611" s="12">
        <f t="shared" si="56"/>
        <v>2023</v>
      </c>
      <c r="M611" s="12">
        <f t="shared" si="57"/>
        <v>1</v>
      </c>
      <c r="N611" s="5" t="str">
        <f t="shared" si="58"/>
        <v>Tuesday</v>
      </c>
      <c r="O611" s="5" t="str">
        <f t="shared" si="59"/>
        <v>January</v>
      </c>
    </row>
    <row r="612" spans="1:15" x14ac:dyDescent="0.3">
      <c r="A612" s="8">
        <v>611</v>
      </c>
      <c r="B612" s="25">
        <v>44981</v>
      </c>
      <c r="C612" s="5" t="s">
        <v>619</v>
      </c>
      <c r="D612" s="5" t="s">
        <v>5</v>
      </c>
      <c r="E612" s="12">
        <v>51</v>
      </c>
      <c r="F612" s="2" t="str">
        <f t="shared" si="54"/>
        <v>Adult</v>
      </c>
      <c r="G612" s="5" t="s">
        <v>6</v>
      </c>
      <c r="H612" s="8">
        <v>3</v>
      </c>
      <c r="I612" s="2">
        <v>500</v>
      </c>
      <c r="J612" s="2">
        <v>1500</v>
      </c>
      <c r="K612" t="str">
        <f t="shared" si="55"/>
        <v>Medium</v>
      </c>
      <c r="L612" s="12">
        <f t="shared" si="56"/>
        <v>2023</v>
      </c>
      <c r="M612" s="12">
        <f t="shared" si="57"/>
        <v>1</v>
      </c>
      <c r="N612" s="5" t="str">
        <f t="shared" si="58"/>
        <v>Friday</v>
      </c>
      <c r="O612" s="5" t="str">
        <f t="shared" si="59"/>
        <v>February</v>
      </c>
    </row>
    <row r="613" spans="1:15" x14ac:dyDescent="0.3">
      <c r="A613" s="8">
        <v>612</v>
      </c>
      <c r="B613" s="25">
        <v>45144</v>
      </c>
      <c r="C613" s="5" t="s">
        <v>620</v>
      </c>
      <c r="D613" s="5" t="s">
        <v>8</v>
      </c>
      <c r="E613" s="12">
        <v>61</v>
      </c>
      <c r="F613" s="2" t="str">
        <f t="shared" si="54"/>
        <v>Senior</v>
      </c>
      <c r="G613" s="5" t="s">
        <v>11</v>
      </c>
      <c r="H613" s="8">
        <v>1</v>
      </c>
      <c r="I613" s="2">
        <v>500</v>
      </c>
      <c r="J613" s="2">
        <v>500</v>
      </c>
      <c r="K613" t="str">
        <f t="shared" si="55"/>
        <v>Low</v>
      </c>
      <c r="L613" s="12">
        <f t="shared" si="56"/>
        <v>2023</v>
      </c>
      <c r="M613" s="12">
        <f t="shared" si="57"/>
        <v>3</v>
      </c>
      <c r="N613" s="5" t="str">
        <f t="shared" si="58"/>
        <v>Sunday</v>
      </c>
      <c r="O613" s="5" t="str">
        <f t="shared" si="59"/>
        <v>August</v>
      </c>
    </row>
    <row r="614" spans="1:15" x14ac:dyDescent="0.3">
      <c r="A614" s="8">
        <v>613</v>
      </c>
      <c r="B614" s="25">
        <v>45039</v>
      </c>
      <c r="C614" s="5" t="s">
        <v>621</v>
      </c>
      <c r="D614" s="5" t="s">
        <v>8</v>
      </c>
      <c r="E614" s="12">
        <v>52</v>
      </c>
      <c r="F614" s="2" t="str">
        <f t="shared" si="54"/>
        <v>Adult</v>
      </c>
      <c r="G614" s="5" t="s">
        <v>9</v>
      </c>
      <c r="H614" s="8">
        <v>3</v>
      </c>
      <c r="I614" s="2">
        <v>30</v>
      </c>
      <c r="J614" s="2">
        <v>90</v>
      </c>
      <c r="K614" t="str">
        <f t="shared" si="55"/>
        <v>Low</v>
      </c>
      <c r="L614" s="12">
        <f t="shared" si="56"/>
        <v>2023</v>
      </c>
      <c r="M614" s="12">
        <f t="shared" si="57"/>
        <v>2</v>
      </c>
      <c r="N614" s="5" t="str">
        <f t="shared" si="58"/>
        <v>Sunday</v>
      </c>
      <c r="O614" s="5" t="str">
        <f t="shared" si="59"/>
        <v>April</v>
      </c>
    </row>
    <row r="615" spans="1:15" x14ac:dyDescent="0.3">
      <c r="A615" s="8">
        <v>614</v>
      </c>
      <c r="B615" s="25">
        <v>45017</v>
      </c>
      <c r="C615" s="5" t="s">
        <v>622</v>
      </c>
      <c r="D615" s="5" t="s">
        <v>8</v>
      </c>
      <c r="E615" s="12">
        <v>39</v>
      </c>
      <c r="F615" s="2" t="str">
        <f t="shared" si="54"/>
        <v>Adult</v>
      </c>
      <c r="G615" s="5" t="s">
        <v>6</v>
      </c>
      <c r="H615" s="8">
        <v>4</v>
      </c>
      <c r="I615" s="2">
        <v>300</v>
      </c>
      <c r="J615" s="2">
        <v>1200</v>
      </c>
      <c r="K615" t="str">
        <f t="shared" si="55"/>
        <v>Medium</v>
      </c>
      <c r="L615" s="12">
        <f t="shared" si="56"/>
        <v>2023</v>
      </c>
      <c r="M615" s="12">
        <f t="shared" si="57"/>
        <v>2</v>
      </c>
      <c r="N615" s="5" t="str">
        <f t="shared" si="58"/>
        <v>Saturday</v>
      </c>
      <c r="O615" s="5" t="str">
        <f t="shared" si="59"/>
        <v>April</v>
      </c>
    </row>
    <row r="616" spans="1:15" x14ac:dyDescent="0.3">
      <c r="A616" s="8">
        <v>615</v>
      </c>
      <c r="B616" s="25">
        <v>45283</v>
      </c>
      <c r="C616" s="5" t="s">
        <v>623</v>
      </c>
      <c r="D616" s="5" t="s">
        <v>8</v>
      </c>
      <c r="E616" s="12">
        <v>61</v>
      </c>
      <c r="F616" s="2" t="str">
        <f t="shared" si="54"/>
        <v>Senior</v>
      </c>
      <c r="G616" s="5" t="s">
        <v>9</v>
      </c>
      <c r="H616" s="8">
        <v>4</v>
      </c>
      <c r="I616" s="2">
        <v>25</v>
      </c>
      <c r="J616" s="2">
        <v>100</v>
      </c>
      <c r="K616" t="str">
        <f t="shared" si="55"/>
        <v>Low</v>
      </c>
      <c r="L616" s="12">
        <f t="shared" si="56"/>
        <v>2023</v>
      </c>
      <c r="M616" s="12">
        <f t="shared" si="57"/>
        <v>4</v>
      </c>
      <c r="N616" s="5" t="str">
        <f t="shared" si="58"/>
        <v>Saturday</v>
      </c>
      <c r="O616" s="5" t="str">
        <f t="shared" si="59"/>
        <v>December</v>
      </c>
    </row>
    <row r="617" spans="1:15" x14ac:dyDescent="0.3">
      <c r="A617" s="8">
        <v>616</v>
      </c>
      <c r="B617" s="25">
        <v>45192</v>
      </c>
      <c r="C617" s="5" t="s">
        <v>624</v>
      </c>
      <c r="D617" s="5" t="s">
        <v>5</v>
      </c>
      <c r="E617" s="12">
        <v>41</v>
      </c>
      <c r="F617" s="2" t="str">
        <f t="shared" si="54"/>
        <v>Adult</v>
      </c>
      <c r="G617" s="5" t="s">
        <v>9</v>
      </c>
      <c r="H617" s="8">
        <v>2</v>
      </c>
      <c r="I617" s="2">
        <v>50</v>
      </c>
      <c r="J617" s="2">
        <v>100</v>
      </c>
      <c r="K617" t="str">
        <f t="shared" si="55"/>
        <v>Low</v>
      </c>
      <c r="L617" s="12">
        <f t="shared" si="56"/>
        <v>2023</v>
      </c>
      <c r="M617" s="12">
        <f t="shared" si="57"/>
        <v>3</v>
      </c>
      <c r="N617" s="5" t="str">
        <f t="shared" si="58"/>
        <v>Saturday</v>
      </c>
      <c r="O617" s="5" t="str">
        <f t="shared" si="59"/>
        <v>September</v>
      </c>
    </row>
    <row r="618" spans="1:15" x14ac:dyDescent="0.3">
      <c r="A618" s="8">
        <v>617</v>
      </c>
      <c r="B618" s="25">
        <v>45164</v>
      </c>
      <c r="C618" s="5" t="s">
        <v>625</v>
      </c>
      <c r="D618" s="5" t="s">
        <v>5</v>
      </c>
      <c r="E618" s="12">
        <v>34</v>
      </c>
      <c r="F618" s="2" t="str">
        <f t="shared" si="54"/>
        <v>Adult</v>
      </c>
      <c r="G618" s="5" t="s">
        <v>11</v>
      </c>
      <c r="H618" s="8">
        <v>1</v>
      </c>
      <c r="I618" s="2">
        <v>30</v>
      </c>
      <c r="J618" s="2">
        <v>30</v>
      </c>
      <c r="K618" t="str">
        <f t="shared" si="55"/>
        <v>Low</v>
      </c>
      <c r="L618" s="12">
        <f t="shared" si="56"/>
        <v>2023</v>
      </c>
      <c r="M618" s="12">
        <f t="shared" si="57"/>
        <v>3</v>
      </c>
      <c r="N618" s="5" t="str">
        <f t="shared" si="58"/>
        <v>Saturday</v>
      </c>
      <c r="O618" s="5" t="str">
        <f t="shared" si="59"/>
        <v>August</v>
      </c>
    </row>
    <row r="619" spans="1:15" x14ac:dyDescent="0.3">
      <c r="A619" s="8">
        <v>618</v>
      </c>
      <c r="B619" s="25">
        <v>44952</v>
      </c>
      <c r="C619" s="5" t="s">
        <v>626</v>
      </c>
      <c r="D619" s="5" t="s">
        <v>8</v>
      </c>
      <c r="E619" s="12">
        <v>27</v>
      </c>
      <c r="F619" s="2" t="str">
        <f t="shared" si="54"/>
        <v>Young</v>
      </c>
      <c r="G619" s="5" t="s">
        <v>6</v>
      </c>
      <c r="H619" s="8">
        <v>1</v>
      </c>
      <c r="I619" s="2">
        <v>50</v>
      </c>
      <c r="J619" s="2">
        <v>50</v>
      </c>
      <c r="K619" t="str">
        <f t="shared" si="55"/>
        <v>Low</v>
      </c>
      <c r="L619" s="12">
        <f t="shared" si="56"/>
        <v>2023</v>
      </c>
      <c r="M619" s="12">
        <f t="shared" si="57"/>
        <v>1</v>
      </c>
      <c r="N619" s="5" t="str">
        <f t="shared" si="58"/>
        <v>Thursday</v>
      </c>
      <c r="O619" s="5" t="str">
        <f t="shared" si="59"/>
        <v>January</v>
      </c>
    </row>
    <row r="620" spans="1:15" x14ac:dyDescent="0.3">
      <c r="A620" s="8">
        <v>619</v>
      </c>
      <c r="B620" s="25">
        <v>45212</v>
      </c>
      <c r="C620" s="5" t="s">
        <v>627</v>
      </c>
      <c r="D620" s="5" t="s">
        <v>5</v>
      </c>
      <c r="E620" s="12">
        <v>47</v>
      </c>
      <c r="F620" s="2" t="str">
        <f t="shared" si="54"/>
        <v>Adult</v>
      </c>
      <c r="G620" s="5" t="s">
        <v>11</v>
      </c>
      <c r="H620" s="8">
        <v>4</v>
      </c>
      <c r="I620" s="2">
        <v>25</v>
      </c>
      <c r="J620" s="2">
        <v>100</v>
      </c>
      <c r="K620" t="str">
        <f t="shared" si="55"/>
        <v>Low</v>
      </c>
      <c r="L620" s="12">
        <f t="shared" si="56"/>
        <v>2023</v>
      </c>
      <c r="M620" s="12">
        <f t="shared" si="57"/>
        <v>4</v>
      </c>
      <c r="N620" s="5" t="str">
        <f t="shared" si="58"/>
        <v>Friday</v>
      </c>
      <c r="O620" s="5" t="str">
        <f t="shared" si="59"/>
        <v>October</v>
      </c>
    </row>
    <row r="621" spans="1:15" x14ac:dyDescent="0.3">
      <c r="A621" s="8">
        <v>620</v>
      </c>
      <c r="B621" s="25">
        <v>45054</v>
      </c>
      <c r="C621" s="5" t="s">
        <v>628</v>
      </c>
      <c r="D621" s="5" t="s">
        <v>5</v>
      </c>
      <c r="E621" s="12">
        <v>63</v>
      </c>
      <c r="F621" s="2" t="str">
        <f t="shared" si="54"/>
        <v>Senior</v>
      </c>
      <c r="G621" s="5" t="s">
        <v>11</v>
      </c>
      <c r="H621" s="8">
        <v>3</v>
      </c>
      <c r="I621" s="2">
        <v>25</v>
      </c>
      <c r="J621" s="2">
        <v>75</v>
      </c>
      <c r="K621" t="str">
        <f t="shared" si="55"/>
        <v>Low</v>
      </c>
      <c r="L621" s="12">
        <f t="shared" si="56"/>
        <v>2023</v>
      </c>
      <c r="M621" s="12">
        <f t="shared" si="57"/>
        <v>2</v>
      </c>
      <c r="N621" s="5" t="str">
        <f t="shared" si="58"/>
        <v>Monday</v>
      </c>
      <c r="O621" s="5" t="str">
        <f t="shared" si="59"/>
        <v>May</v>
      </c>
    </row>
    <row r="622" spans="1:15" x14ac:dyDescent="0.3">
      <c r="A622" s="8">
        <v>621</v>
      </c>
      <c r="B622" s="25">
        <v>44989</v>
      </c>
      <c r="C622" s="5" t="s">
        <v>629</v>
      </c>
      <c r="D622" s="5" t="s">
        <v>8</v>
      </c>
      <c r="E622" s="12">
        <v>40</v>
      </c>
      <c r="F622" s="2" t="str">
        <f t="shared" si="54"/>
        <v>Adult</v>
      </c>
      <c r="G622" s="5" t="s">
        <v>6</v>
      </c>
      <c r="H622" s="8">
        <v>2</v>
      </c>
      <c r="I622" s="2">
        <v>500</v>
      </c>
      <c r="J622" s="2">
        <v>1000</v>
      </c>
      <c r="K622" t="str">
        <f t="shared" si="55"/>
        <v>Medium</v>
      </c>
      <c r="L622" s="12">
        <f t="shared" si="56"/>
        <v>2023</v>
      </c>
      <c r="M622" s="12">
        <f t="shared" si="57"/>
        <v>1</v>
      </c>
      <c r="N622" s="5" t="str">
        <f t="shared" si="58"/>
        <v>Saturday</v>
      </c>
      <c r="O622" s="5" t="str">
        <f t="shared" si="59"/>
        <v>March</v>
      </c>
    </row>
    <row r="623" spans="1:15" x14ac:dyDescent="0.3">
      <c r="A623" s="8">
        <v>622</v>
      </c>
      <c r="B623" s="25">
        <v>45160</v>
      </c>
      <c r="C623" s="5" t="s">
        <v>630</v>
      </c>
      <c r="D623" s="5" t="s">
        <v>8</v>
      </c>
      <c r="E623" s="12">
        <v>49</v>
      </c>
      <c r="F623" s="2" t="str">
        <f t="shared" si="54"/>
        <v>Adult</v>
      </c>
      <c r="G623" s="5" t="s">
        <v>6</v>
      </c>
      <c r="H623" s="8">
        <v>3</v>
      </c>
      <c r="I623" s="2">
        <v>25</v>
      </c>
      <c r="J623" s="2">
        <v>75</v>
      </c>
      <c r="K623" t="str">
        <f t="shared" si="55"/>
        <v>Low</v>
      </c>
      <c r="L623" s="12">
        <f t="shared" si="56"/>
        <v>2023</v>
      </c>
      <c r="M623" s="12">
        <f t="shared" si="57"/>
        <v>3</v>
      </c>
      <c r="N623" s="5" t="str">
        <f t="shared" si="58"/>
        <v>Tuesday</v>
      </c>
      <c r="O623" s="5" t="str">
        <f t="shared" si="59"/>
        <v>August</v>
      </c>
    </row>
    <row r="624" spans="1:15" x14ac:dyDescent="0.3">
      <c r="A624" s="8">
        <v>623</v>
      </c>
      <c r="B624" s="25">
        <v>44995</v>
      </c>
      <c r="C624" s="5" t="s">
        <v>631</v>
      </c>
      <c r="D624" s="5" t="s">
        <v>5</v>
      </c>
      <c r="E624" s="12">
        <v>34</v>
      </c>
      <c r="F624" s="2" t="str">
        <f t="shared" si="54"/>
        <v>Adult</v>
      </c>
      <c r="G624" s="5" t="s">
        <v>9</v>
      </c>
      <c r="H624" s="8">
        <v>3</v>
      </c>
      <c r="I624" s="2">
        <v>50</v>
      </c>
      <c r="J624" s="2">
        <v>150</v>
      </c>
      <c r="K624" t="str">
        <f t="shared" si="55"/>
        <v>Low</v>
      </c>
      <c r="L624" s="12">
        <f t="shared" si="56"/>
        <v>2023</v>
      </c>
      <c r="M624" s="12">
        <f t="shared" si="57"/>
        <v>1</v>
      </c>
      <c r="N624" s="5" t="str">
        <f t="shared" si="58"/>
        <v>Friday</v>
      </c>
      <c r="O624" s="5" t="str">
        <f t="shared" si="59"/>
        <v>March</v>
      </c>
    </row>
    <row r="625" spans="1:15" x14ac:dyDescent="0.3">
      <c r="A625" s="8">
        <v>624</v>
      </c>
      <c r="B625" s="25">
        <v>45164</v>
      </c>
      <c r="C625" s="5" t="s">
        <v>632</v>
      </c>
      <c r="D625" s="5" t="s">
        <v>8</v>
      </c>
      <c r="E625" s="12">
        <v>34</v>
      </c>
      <c r="F625" s="2" t="str">
        <f t="shared" si="54"/>
        <v>Adult</v>
      </c>
      <c r="G625" s="5" t="s">
        <v>6</v>
      </c>
      <c r="H625" s="8">
        <v>3</v>
      </c>
      <c r="I625" s="2">
        <v>300</v>
      </c>
      <c r="J625" s="2">
        <v>900</v>
      </c>
      <c r="K625" t="str">
        <f t="shared" si="55"/>
        <v>Medium</v>
      </c>
      <c r="L625" s="12">
        <f t="shared" si="56"/>
        <v>2023</v>
      </c>
      <c r="M625" s="12">
        <f t="shared" si="57"/>
        <v>3</v>
      </c>
      <c r="N625" s="5" t="str">
        <f t="shared" si="58"/>
        <v>Saturday</v>
      </c>
      <c r="O625" s="5" t="str">
        <f t="shared" si="59"/>
        <v>August</v>
      </c>
    </row>
    <row r="626" spans="1:15" x14ac:dyDescent="0.3">
      <c r="A626" s="8">
        <v>625</v>
      </c>
      <c r="B626" s="25">
        <v>45268</v>
      </c>
      <c r="C626" s="5" t="s">
        <v>633</v>
      </c>
      <c r="D626" s="5" t="s">
        <v>5</v>
      </c>
      <c r="E626" s="12">
        <v>31</v>
      </c>
      <c r="F626" s="2" t="str">
        <f t="shared" si="54"/>
        <v>Adult</v>
      </c>
      <c r="G626" s="5" t="s">
        <v>9</v>
      </c>
      <c r="H626" s="8">
        <v>1</v>
      </c>
      <c r="I626" s="2">
        <v>300</v>
      </c>
      <c r="J626" s="2">
        <v>300</v>
      </c>
      <c r="K626" t="str">
        <f t="shared" si="55"/>
        <v>Low</v>
      </c>
      <c r="L626" s="12">
        <f t="shared" si="56"/>
        <v>2023</v>
      </c>
      <c r="M626" s="12">
        <f t="shared" si="57"/>
        <v>4</v>
      </c>
      <c r="N626" s="5" t="str">
        <f t="shared" si="58"/>
        <v>Friday</v>
      </c>
      <c r="O626" s="5" t="str">
        <f t="shared" si="59"/>
        <v>December</v>
      </c>
    </row>
    <row r="627" spans="1:15" x14ac:dyDescent="0.3">
      <c r="A627" s="8">
        <v>626</v>
      </c>
      <c r="B627" s="25">
        <v>45198</v>
      </c>
      <c r="C627" s="5" t="s">
        <v>634</v>
      </c>
      <c r="D627" s="5" t="s">
        <v>8</v>
      </c>
      <c r="E627" s="12">
        <v>26</v>
      </c>
      <c r="F627" s="2" t="str">
        <f t="shared" si="54"/>
        <v>Young</v>
      </c>
      <c r="G627" s="5" t="s">
        <v>9</v>
      </c>
      <c r="H627" s="8">
        <v>4</v>
      </c>
      <c r="I627" s="2">
        <v>500</v>
      </c>
      <c r="J627" s="2">
        <v>2000</v>
      </c>
      <c r="K627" t="str">
        <f t="shared" si="55"/>
        <v>High</v>
      </c>
      <c r="L627" s="12">
        <f t="shared" si="56"/>
        <v>2023</v>
      </c>
      <c r="M627" s="12">
        <f t="shared" si="57"/>
        <v>3</v>
      </c>
      <c r="N627" s="5" t="str">
        <f t="shared" si="58"/>
        <v>Friday</v>
      </c>
      <c r="O627" s="5" t="str">
        <f t="shared" si="59"/>
        <v>September</v>
      </c>
    </row>
    <row r="628" spans="1:15" x14ac:dyDescent="0.3">
      <c r="A628" s="8">
        <v>627</v>
      </c>
      <c r="B628" s="25">
        <v>45213</v>
      </c>
      <c r="C628" s="5" t="s">
        <v>635</v>
      </c>
      <c r="D628" s="5" t="s">
        <v>5</v>
      </c>
      <c r="E628" s="12">
        <v>57</v>
      </c>
      <c r="F628" s="2" t="str">
        <f t="shared" si="54"/>
        <v>Adult</v>
      </c>
      <c r="G628" s="5" t="s">
        <v>9</v>
      </c>
      <c r="H628" s="8">
        <v>1</v>
      </c>
      <c r="I628" s="2">
        <v>50</v>
      </c>
      <c r="J628" s="2">
        <v>50</v>
      </c>
      <c r="K628" t="str">
        <f t="shared" si="55"/>
        <v>Low</v>
      </c>
      <c r="L628" s="12">
        <f t="shared" si="56"/>
        <v>2023</v>
      </c>
      <c r="M628" s="12">
        <f t="shared" si="57"/>
        <v>4</v>
      </c>
      <c r="N628" s="5" t="str">
        <f t="shared" si="58"/>
        <v>Saturday</v>
      </c>
      <c r="O628" s="5" t="str">
        <f t="shared" si="59"/>
        <v>October</v>
      </c>
    </row>
    <row r="629" spans="1:15" x14ac:dyDescent="0.3">
      <c r="A629" s="8">
        <v>628</v>
      </c>
      <c r="B629" s="25">
        <v>45231</v>
      </c>
      <c r="C629" s="5" t="s">
        <v>636</v>
      </c>
      <c r="D629" s="5" t="s">
        <v>8</v>
      </c>
      <c r="E629" s="12">
        <v>19</v>
      </c>
      <c r="F629" s="2" t="str">
        <f t="shared" si="54"/>
        <v>Young</v>
      </c>
      <c r="G629" s="5" t="s">
        <v>6</v>
      </c>
      <c r="H629" s="8">
        <v>4</v>
      </c>
      <c r="I629" s="2">
        <v>50</v>
      </c>
      <c r="J629" s="2">
        <v>200</v>
      </c>
      <c r="K629" t="str">
        <f t="shared" si="55"/>
        <v>Low</v>
      </c>
      <c r="L629" s="12">
        <f t="shared" si="56"/>
        <v>2023</v>
      </c>
      <c r="M629" s="12">
        <f t="shared" si="57"/>
        <v>4</v>
      </c>
      <c r="N629" s="5" t="str">
        <f t="shared" si="58"/>
        <v>Wednesday</v>
      </c>
      <c r="O629" s="5" t="str">
        <f t="shared" si="59"/>
        <v>November</v>
      </c>
    </row>
    <row r="630" spans="1:15" x14ac:dyDescent="0.3">
      <c r="A630" s="8">
        <v>629</v>
      </c>
      <c r="B630" s="25">
        <v>45089</v>
      </c>
      <c r="C630" s="5" t="s">
        <v>637</v>
      </c>
      <c r="D630" s="5" t="s">
        <v>5</v>
      </c>
      <c r="E630" s="12">
        <v>62</v>
      </c>
      <c r="F630" s="2" t="str">
        <f t="shared" si="54"/>
        <v>Senior</v>
      </c>
      <c r="G630" s="5" t="s">
        <v>11</v>
      </c>
      <c r="H630" s="8">
        <v>2</v>
      </c>
      <c r="I630" s="2">
        <v>25</v>
      </c>
      <c r="J630" s="2">
        <v>50</v>
      </c>
      <c r="K630" t="str">
        <f t="shared" si="55"/>
        <v>Low</v>
      </c>
      <c r="L630" s="12">
        <f t="shared" si="56"/>
        <v>2023</v>
      </c>
      <c r="M630" s="12">
        <f t="shared" si="57"/>
        <v>2</v>
      </c>
      <c r="N630" s="5" t="str">
        <f t="shared" si="58"/>
        <v>Monday</v>
      </c>
      <c r="O630" s="5" t="str">
        <f t="shared" si="59"/>
        <v>June</v>
      </c>
    </row>
    <row r="631" spans="1:15" x14ac:dyDescent="0.3">
      <c r="A631" s="8">
        <v>630</v>
      </c>
      <c r="B631" s="25">
        <v>45153</v>
      </c>
      <c r="C631" s="5" t="s">
        <v>638</v>
      </c>
      <c r="D631" s="5" t="s">
        <v>5</v>
      </c>
      <c r="E631" s="12">
        <v>42</v>
      </c>
      <c r="F631" s="2" t="str">
        <f t="shared" si="54"/>
        <v>Adult</v>
      </c>
      <c r="G631" s="5" t="s">
        <v>9</v>
      </c>
      <c r="H631" s="8">
        <v>2</v>
      </c>
      <c r="I631" s="2">
        <v>50</v>
      </c>
      <c r="J631" s="2">
        <v>100</v>
      </c>
      <c r="K631" t="str">
        <f t="shared" si="55"/>
        <v>Low</v>
      </c>
      <c r="L631" s="12">
        <f t="shared" si="56"/>
        <v>2023</v>
      </c>
      <c r="M631" s="12">
        <f t="shared" si="57"/>
        <v>3</v>
      </c>
      <c r="N631" s="5" t="str">
        <f t="shared" si="58"/>
        <v>Tuesday</v>
      </c>
      <c r="O631" s="5" t="str">
        <f t="shared" si="59"/>
        <v>August</v>
      </c>
    </row>
    <row r="632" spans="1:15" x14ac:dyDescent="0.3">
      <c r="A632" s="8">
        <v>631</v>
      </c>
      <c r="B632" s="25">
        <v>45240</v>
      </c>
      <c r="C632" s="5" t="s">
        <v>639</v>
      </c>
      <c r="D632" s="5" t="s">
        <v>5</v>
      </c>
      <c r="E632" s="12">
        <v>56</v>
      </c>
      <c r="F632" s="2" t="str">
        <f t="shared" si="54"/>
        <v>Adult</v>
      </c>
      <c r="G632" s="5" t="s">
        <v>11</v>
      </c>
      <c r="H632" s="8">
        <v>3</v>
      </c>
      <c r="I632" s="2">
        <v>30</v>
      </c>
      <c r="J632" s="2">
        <v>90</v>
      </c>
      <c r="K632" t="str">
        <f t="shared" si="55"/>
        <v>Low</v>
      </c>
      <c r="L632" s="12">
        <f t="shared" si="56"/>
        <v>2023</v>
      </c>
      <c r="M632" s="12">
        <f t="shared" si="57"/>
        <v>4</v>
      </c>
      <c r="N632" s="5" t="str">
        <f t="shared" si="58"/>
        <v>Friday</v>
      </c>
      <c r="O632" s="5" t="str">
        <f t="shared" si="59"/>
        <v>November</v>
      </c>
    </row>
    <row r="633" spans="1:15" x14ac:dyDescent="0.3">
      <c r="A633" s="8">
        <v>632</v>
      </c>
      <c r="B633" s="25">
        <v>45185</v>
      </c>
      <c r="C633" s="5" t="s">
        <v>640</v>
      </c>
      <c r="D633" s="5" t="s">
        <v>8</v>
      </c>
      <c r="E633" s="12">
        <v>26</v>
      </c>
      <c r="F633" s="2" t="str">
        <f t="shared" si="54"/>
        <v>Young</v>
      </c>
      <c r="G633" s="5" t="s">
        <v>11</v>
      </c>
      <c r="H633" s="8">
        <v>4</v>
      </c>
      <c r="I633" s="2">
        <v>25</v>
      </c>
      <c r="J633" s="2">
        <v>100</v>
      </c>
      <c r="K633" t="str">
        <f t="shared" si="55"/>
        <v>Low</v>
      </c>
      <c r="L633" s="12">
        <f t="shared" si="56"/>
        <v>2023</v>
      </c>
      <c r="M633" s="12">
        <f t="shared" si="57"/>
        <v>3</v>
      </c>
      <c r="N633" s="5" t="str">
        <f t="shared" si="58"/>
        <v>Saturday</v>
      </c>
      <c r="O633" s="5" t="str">
        <f t="shared" si="59"/>
        <v>September</v>
      </c>
    </row>
    <row r="634" spans="1:15" x14ac:dyDescent="0.3">
      <c r="A634" s="8">
        <v>633</v>
      </c>
      <c r="B634" s="25">
        <v>45145</v>
      </c>
      <c r="C634" s="5" t="s">
        <v>641</v>
      </c>
      <c r="D634" s="5" t="s">
        <v>5</v>
      </c>
      <c r="E634" s="12">
        <v>39</v>
      </c>
      <c r="F634" s="2" t="str">
        <f t="shared" si="54"/>
        <v>Adult</v>
      </c>
      <c r="G634" s="5" t="s">
        <v>6</v>
      </c>
      <c r="H634" s="8">
        <v>4</v>
      </c>
      <c r="I634" s="2">
        <v>30</v>
      </c>
      <c r="J634" s="2">
        <v>120</v>
      </c>
      <c r="K634" t="str">
        <f t="shared" si="55"/>
        <v>Low</v>
      </c>
      <c r="L634" s="12">
        <f t="shared" si="56"/>
        <v>2023</v>
      </c>
      <c r="M634" s="12">
        <f t="shared" si="57"/>
        <v>3</v>
      </c>
      <c r="N634" s="5" t="str">
        <f t="shared" si="58"/>
        <v>Monday</v>
      </c>
      <c r="O634" s="5" t="str">
        <f t="shared" si="59"/>
        <v>August</v>
      </c>
    </row>
    <row r="635" spans="1:15" x14ac:dyDescent="0.3">
      <c r="A635" s="8">
        <v>634</v>
      </c>
      <c r="B635" s="25">
        <v>45207</v>
      </c>
      <c r="C635" s="5" t="s">
        <v>642</v>
      </c>
      <c r="D635" s="5" t="s">
        <v>5</v>
      </c>
      <c r="E635" s="12">
        <v>60</v>
      </c>
      <c r="F635" s="2" t="str">
        <f t="shared" si="54"/>
        <v>Adult</v>
      </c>
      <c r="G635" s="5" t="s">
        <v>11</v>
      </c>
      <c r="H635" s="8">
        <v>4</v>
      </c>
      <c r="I635" s="2">
        <v>500</v>
      </c>
      <c r="J635" s="2">
        <v>2000</v>
      </c>
      <c r="K635" t="str">
        <f t="shared" si="55"/>
        <v>High</v>
      </c>
      <c r="L635" s="12">
        <f t="shared" si="56"/>
        <v>2023</v>
      </c>
      <c r="M635" s="12">
        <f t="shared" si="57"/>
        <v>4</v>
      </c>
      <c r="N635" s="5" t="str">
        <f t="shared" si="58"/>
        <v>Sunday</v>
      </c>
      <c r="O635" s="5" t="str">
        <f t="shared" si="59"/>
        <v>October</v>
      </c>
    </row>
    <row r="636" spans="1:15" x14ac:dyDescent="0.3">
      <c r="A636" s="8">
        <v>635</v>
      </c>
      <c r="B636" s="25">
        <v>45155</v>
      </c>
      <c r="C636" s="5" t="s">
        <v>643</v>
      </c>
      <c r="D636" s="5" t="s">
        <v>8</v>
      </c>
      <c r="E636" s="12">
        <v>63</v>
      </c>
      <c r="F636" s="2" t="str">
        <f t="shared" si="54"/>
        <v>Senior</v>
      </c>
      <c r="G636" s="5" t="s">
        <v>11</v>
      </c>
      <c r="H636" s="8">
        <v>3</v>
      </c>
      <c r="I636" s="2">
        <v>300</v>
      </c>
      <c r="J636" s="2">
        <v>900</v>
      </c>
      <c r="K636" t="str">
        <f t="shared" si="55"/>
        <v>Medium</v>
      </c>
      <c r="L636" s="12">
        <f t="shared" si="56"/>
        <v>2023</v>
      </c>
      <c r="M636" s="12">
        <f t="shared" si="57"/>
        <v>3</v>
      </c>
      <c r="N636" s="5" t="str">
        <f t="shared" si="58"/>
        <v>Thursday</v>
      </c>
      <c r="O636" s="5" t="str">
        <f t="shared" si="59"/>
        <v>August</v>
      </c>
    </row>
    <row r="637" spans="1:15" x14ac:dyDescent="0.3">
      <c r="A637" s="8">
        <v>636</v>
      </c>
      <c r="B637" s="25">
        <v>45008</v>
      </c>
      <c r="C637" s="5" t="s">
        <v>644</v>
      </c>
      <c r="D637" s="5" t="s">
        <v>8</v>
      </c>
      <c r="E637" s="12">
        <v>21</v>
      </c>
      <c r="F637" s="2" t="str">
        <f t="shared" si="54"/>
        <v>Young</v>
      </c>
      <c r="G637" s="5" t="s">
        <v>6</v>
      </c>
      <c r="H637" s="8">
        <v>3</v>
      </c>
      <c r="I637" s="2">
        <v>500</v>
      </c>
      <c r="J637" s="2">
        <v>1500</v>
      </c>
      <c r="K637" t="str">
        <f t="shared" si="55"/>
        <v>Medium</v>
      </c>
      <c r="L637" s="12">
        <f t="shared" si="56"/>
        <v>2023</v>
      </c>
      <c r="M637" s="12">
        <f t="shared" si="57"/>
        <v>1</v>
      </c>
      <c r="N637" s="5" t="str">
        <f t="shared" si="58"/>
        <v>Thursday</v>
      </c>
      <c r="O637" s="5" t="str">
        <f t="shared" si="59"/>
        <v>March</v>
      </c>
    </row>
    <row r="638" spans="1:15" x14ac:dyDescent="0.3">
      <c r="A638" s="8">
        <v>637</v>
      </c>
      <c r="B638" s="25">
        <v>45170</v>
      </c>
      <c r="C638" s="5" t="s">
        <v>645</v>
      </c>
      <c r="D638" s="5" t="s">
        <v>5</v>
      </c>
      <c r="E638" s="12">
        <v>43</v>
      </c>
      <c r="F638" s="2" t="str">
        <f t="shared" si="54"/>
        <v>Adult</v>
      </c>
      <c r="G638" s="5" t="s">
        <v>9</v>
      </c>
      <c r="H638" s="8">
        <v>2</v>
      </c>
      <c r="I638" s="2">
        <v>300</v>
      </c>
      <c r="J638" s="2">
        <v>600</v>
      </c>
      <c r="K638" t="str">
        <f t="shared" si="55"/>
        <v>Medium</v>
      </c>
      <c r="L638" s="12">
        <f t="shared" si="56"/>
        <v>2023</v>
      </c>
      <c r="M638" s="12">
        <f t="shared" si="57"/>
        <v>3</v>
      </c>
      <c r="N638" s="5" t="str">
        <f t="shared" si="58"/>
        <v>Friday</v>
      </c>
      <c r="O638" s="5" t="str">
        <f t="shared" si="59"/>
        <v>September</v>
      </c>
    </row>
    <row r="639" spans="1:15" x14ac:dyDescent="0.3">
      <c r="A639" s="8">
        <v>638</v>
      </c>
      <c r="B639" s="25">
        <v>45157</v>
      </c>
      <c r="C639" s="5" t="s">
        <v>646</v>
      </c>
      <c r="D639" s="5" t="s">
        <v>5</v>
      </c>
      <c r="E639" s="12">
        <v>46</v>
      </c>
      <c r="F639" s="2" t="str">
        <f t="shared" si="54"/>
        <v>Adult</v>
      </c>
      <c r="G639" s="5" t="s">
        <v>11</v>
      </c>
      <c r="H639" s="8">
        <v>1</v>
      </c>
      <c r="I639" s="2">
        <v>500</v>
      </c>
      <c r="J639" s="2">
        <v>500</v>
      </c>
      <c r="K639" t="str">
        <f t="shared" si="55"/>
        <v>Low</v>
      </c>
      <c r="L639" s="12">
        <f t="shared" si="56"/>
        <v>2023</v>
      </c>
      <c r="M639" s="12">
        <f t="shared" si="57"/>
        <v>3</v>
      </c>
      <c r="N639" s="5" t="str">
        <f t="shared" si="58"/>
        <v>Saturday</v>
      </c>
      <c r="O639" s="5" t="str">
        <f t="shared" si="59"/>
        <v>August</v>
      </c>
    </row>
    <row r="640" spans="1:15" x14ac:dyDescent="0.3">
      <c r="A640" s="8">
        <v>639</v>
      </c>
      <c r="B640" s="25">
        <v>45059</v>
      </c>
      <c r="C640" s="5" t="s">
        <v>647</v>
      </c>
      <c r="D640" s="5" t="s">
        <v>8</v>
      </c>
      <c r="E640" s="12">
        <v>62</v>
      </c>
      <c r="F640" s="2" t="str">
        <f t="shared" si="54"/>
        <v>Senior</v>
      </c>
      <c r="G640" s="5" t="s">
        <v>6</v>
      </c>
      <c r="H640" s="8">
        <v>4</v>
      </c>
      <c r="I640" s="2">
        <v>50</v>
      </c>
      <c r="J640" s="2">
        <v>200</v>
      </c>
      <c r="K640" t="str">
        <f t="shared" si="55"/>
        <v>Low</v>
      </c>
      <c r="L640" s="12">
        <f t="shared" si="56"/>
        <v>2023</v>
      </c>
      <c r="M640" s="12">
        <f t="shared" si="57"/>
        <v>2</v>
      </c>
      <c r="N640" s="5" t="str">
        <f t="shared" si="58"/>
        <v>Saturday</v>
      </c>
      <c r="O640" s="5" t="str">
        <f t="shared" si="59"/>
        <v>May</v>
      </c>
    </row>
    <row r="641" spans="1:15" x14ac:dyDescent="0.3">
      <c r="A641" s="8">
        <v>640</v>
      </c>
      <c r="B641" s="25">
        <v>45053</v>
      </c>
      <c r="C641" s="5" t="s">
        <v>648</v>
      </c>
      <c r="D641" s="5" t="s">
        <v>8</v>
      </c>
      <c r="E641" s="12">
        <v>51</v>
      </c>
      <c r="F641" s="2" t="str">
        <f t="shared" si="54"/>
        <v>Adult</v>
      </c>
      <c r="G641" s="5" t="s">
        <v>11</v>
      </c>
      <c r="H641" s="8">
        <v>4</v>
      </c>
      <c r="I641" s="2">
        <v>30</v>
      </c>
      <c r="J641" s="2">
        <v>120</v>
      </c>
      <c r="K641" t="str">
        <f t="shared" si="55"/>
        <v>Low</v>
      </c>
      <c r="L641" s="12">
        <f t="shared" si="56"/>
        <v>2023</v>
      </c>
      <c r="M641" s="12">
        <f t="shared" si="57"/>
        <v>2</v>
      </c>
      <c r="N641" s="5" t="str">
        <f t="shared" si="58"/>
        <v>Sunday</v>
      </c>
      <c r="O641" s="5" t="str">
        <f t="shared" si="59"/>
        <v>May</v>
      </c>
    </row>
    <row r="642" spans="1:15" x14ac:dyDescent="0.3">
      <c r="A642" s="8">
        <v>641</v>
      </c>
      <c r="B642" s="25">
        <v>45253</v>
      </c>
      <c r="C642" s="5" t="s">
        <v>649</v>
      </c>
      <c r="D642" s="5" t="s">
        <v>8</v>
      </c>
      <c r="E642" s="12">
        <v>40</v>
      </c>
      <c r="F642" s="2" t="str">
        <f t="shared" si="54"/>
        <v>Adult</v>
      </c>
      <c r="G642" s="5" t="s">
        <v>11</v>
      </c>
      <c r="H642" s="8">
        <v>1</v>
      </c>
      <c r="I642" s="2">
        <v>300</v>
      </c>
      <c r="J642" s="2">
        <v>300</v>
      </c>
      <c r="K642" t="str">
        <f t="shared" si="55"/>
        <v>Low</v>
      </c>
      <c r="L642" s="12">
        <f t="shared" si="56"/>
        <v>2023</v>
      </c>
      <c r="M642" s="12">
        <f t="shared" si="57"/>
        <v>4</v>
      </c>
      <c r="N642" s="5" t="str">
        <f t="shared" si="58"/>
        <v>Thursday</v>
      </c>
      <c r="O642" s="5" t="str">
        <f t="shared" si="59"/>
        <v>November</v>
      </c>
    </row>
    <row r="643" spans="1:15" x14ac:dyDescent="0.3">
      <c r="A643" s="8">
        <v>642</v>
      </c>
      <c r="B643" s="25">
        <v>45068</v>
      </c>
      <c r="C643" s="5" t="s">
        <v>650</v>
      </c>
      <c r="D643" s="5" t="s">
        <v>8</v>
      </c>
      <c r="E643" s="12">
        <v>54</v>
      </c>
      <c r="F643" s="2" t="str">
        <f t="shared" ref="F643:F706" si="60">IF(E643&gt;60,"Senior",IF(E643&gt;30,"Adult","Young"))</f>
        <v>Adult</v>
      </c>
      <c r="G643" s="5" t="s">
        <v>9</v>
      </c>
      <c r="H643" s="8">
        <v>4</v>
      </c>
      <c r="I643" s="2">
        <v>25</v>
      </c>
      <c r="J643" s="2">
        <v>100</v>
      </c>
      <c r="K643" t="str">
        <f t="shared" ref="K643:K706" si="61">IF(J643&gt;1500,"High",IF(J643&gt;500,"Medium","Low"))</f>
        <v>Low</v>
      </c>
      <c r="L643" s="12">
        <f t="shared" ref="L643:L706" si="62">YEAR(B643)</f>
        <v>2023</v>
      </c>
      <c r="M643" s="12">
        <f t="shared" ref="M643:M706" si="63">ROUNDUP(MONTH(B643)/3,0)</f>
        <v>2</v>
      </c>
      <c r="N643" s="5" t="str">
        <f t="shared" ref="N643:N706" si="64">TEXT(B643,"dddd")</f>
        <v>Monday</v>
      </c>
      <c r="O643" s="5" t="str">
        <f t="shared" ref="O643:O706" si="65">TEXT(B643,"mmmm")</f>
        <v>May</v>
      </c>
    </row>
    <row r="644" spans="1:15" x14ac:dyDescent="0.3">
      <c r="A644" s="8">
        <v>643</v>
      </c>
      <c r="B644" s="25">
        <v>45193</v>
      </c>
      <c r="C644" s="5" t="s">
        <v>651</v>
      </c>
      <c r="D644" s="5" t="s">
        <v>8</v>
      </c>
      <c r="E644" s="12">
        <v>28</v>
      </c>
      <c r="F644" s="2" t="str">
        <f t="shared" si="60"/>
        <v>Young</v>
      </c>
      <c r="G644" s="5" t="s">
        <v>11</v>
      </c>
      <c r="H644" s="8">
        <v>3</v>
      </c>
      <c r="I644" s="2">
        <v>30</v>
      </c>
      <c r="J644" s="2">
        <v>90</v>
      </c>
      <c r="K644" t="str">
        <f t="shared" si="61"/>
        <v>Low</v>
      </c>
      <c r="L644" s="12">
        <f t="shared" si="62"/>
        <v>2023</v>
      </c>
      <c r="M644" s="12">
        <f t="shared" si="63"/>
        <v>3</v>
      </c>
      <c r="N644" s="5" t="str">
        <f t="shared" si="64"/>
        <v>Sunday</v>
      </c>
      <c r="O644" s="5" t="str">
        <f t="shared" si="65"/>
        <v>September</v>
      </c>
    </row>
    <row r="645" spans="1:15" x14ac:dyDescent="0.3">
      <c r="A645" s="8">
        <v>644</v>
      </c>
      <c r="B645" s="25">
        <v>45175</v>
      </c>
      <c r="C645" s="5" t="s">
        <v>652</v>
      </c>
      <c r="D645" s="5" t="s">
        <v>5</v>
      </c>
      <c r="E645" s="12">
        <v>23</v>
      </c>
      <c r="F645" s="2" t="str">
        <f t="shared" si="60"/>
        <v>Young</v>
      </c>
      <c r="G645" s="5" t="s">
        <v>6</v>
      </c>
      <c r="H645" s="8">
        <v>3</v>
      </c>
      <c r="I645" s="2">
        <v>25</v>
      </c>
      <c r="J645" s="2">
        <v>75</v>
      </c>
      <c r="K645" t="str">
        <f t="shared" si="61"/>
        <v>Low</v>
      </c>
      <c r="L645" s="12">
        <f t="shared" si="62"/>
        <v>2023</v>
      </c>
      <c r="M645" s="12">
        <f t="shared" si="63"/>
        <v>3</v>
      </c>
      <c r="N645" s="5" t="str">
        <f t="shared" si="64"/>
        <v>Wednesday</v>
      </c>
      <c r="O645" s="5" t="str">
        <f t="shared" si="65"/>
        <v>September</v>
      </c>
    </row>
    <row r="646" spans="1:15" x14ac:dyDescent="0.3">
      <c r="A646" s="8">
        <v>645</v>
      </c>
      <c r="B646" s="25">
        <v>45247</v>
      </c>
      <c r="C646" s="5" t="s">
        <v>653</v>
      </c>
      <c r="D646" s="5" t="s">
        <v>8</v>
      </c>
      <c r="E646" s="12">
        <v>35</v>
      </c>
      <c r="F646" s="2" t="str">
        <f t="shared" si="60"/>
        <v>Adult</v>
      </c>
      <c r="G646" s="5" t="s">
        <v>11</v>
      </c>
      <c r="H646" s="8">
        <v>4</v>
      </c>
      <c r="I646" s="2">
        <v>30</v>
      </c>
      <c r="J646" s="2">
        <v>120</v>
      </c>
      <c r="K646" t="str">
        <f t="shared" si="61"/>
        <v>Low</v>
      </c>
      <c r="L646" s="12">
        <f t="shared" si="62"/>
        <v>2023</v>
      </c>
      <c r="M646" s="12">
        <f t="shared" si="63"/>
        <v>4</v>
      </c>
      <c r="N646" s="5" t="str">
        <f t="shared" si="64"/>
        <v>Friday</v>
      </c>
      <c r="O646" s="5" t="str">
        <f t="shared" si="65"/>
        <v>November</v>
      </c>
    </row>
    <row r="647" spans="1:15" x14ac:dyDescent="0.3">
      <c r="A647" s="8">
        <v>646</v>
      </c>
      <c r="B647" s="25">
        <v>45049</v>
      </c>
      <c r="C647" s="5" t="s">
        <v>654</v>
      </c>
      <c r="D647" s="5" t="s">
        <v>5</v>
      </c>
      <c r="E647" s="12">
        <v>38</v>
      </c>
      <c r="F647" s="2" t="str">
        <f t="shared" si="60"/>
        <v>Adult</v>
      </c>
      <c r="G647" s="5" t="s">
        <v>9</v>
      </c>
      <c r="H647" s="8">
        <v>3</v>
      </c>
      <c r="I647" s="2">
        <v>30</v>
      </c>
      <c r="J647" s="2">
        <v>90</v>
      </c>
      <c r="K647" t="str">
        <f t="shared" si="61"/>
        <v>Low</v>
      </c>
      <c r="L647" s="12">
        <f t="shared" si="62"/>
        <v>2023</v>
      </c>
      <c r="M647" s="12">
        <f t="shared" si="63"/>
        <v>2</v>
      </c>
      <c r="N647" s="5" t="str">
        <f t="shared" si="64"/>
        <v>Wednesday</v>
      </c>
      <c r="O647" s="5" t="str">
        <f t="shared" si="65"/>
        <v>May</v>
      </c>
    </row>
    <row r="648" spans="1:15" x14ac:dyDescent="0.3">
      <c r="A648" s="8">
        <v>647</v>
      </c>
      <c r="B648" s="25">
        <v>45067</v>
      </c>
      <c r="C648" s="5" t="s">
        <v>655</v>
      </c>
      <c r="D648" s="5" t="s">
        <v>5</v>
      </c>
      <c r="E648" s="12">
        <v>59</v>
      </c>
      <c r="F648" s="2" t="str">
        <f t="shared" si="60"/>
        <v>Adult</v>
      </c>
      <c r="G648" s="5" t="s">
        <v>9</v>
      </c>
      <c r="H648" s="8">
        <v>3</v>
      </c>
      <c r="I648" s="2">
        <v>500</v>
      </c>
      <c r="J648" s="2">
        <v>1500</v>
      </c>
      <c r="K648" t="str">
        <f t="shared" si="61"/>
        <v>Medium</v>
      </c>
      <c r="L648" s="12">
        <f t="shared" si="62"/>
        <v>2023</v>
      </c>
      <c r="M648" s="12">
        <f t="shared" si="63"/>
        <v>2</v>
      </c>
      <c r="N648" s="5" t="str">
        <f t="shared" si="64"/>
        <v>Sunday</v>
      </c>
      <c r="O648" s="5" t="str">
        <f t="shared" si="65"/>
        <v>May</v>
      </c>
    </row>
    <row r="649" spans="1:15" x14ac:dyDescent="0.3">
      <c r="A649" s="8">
        <v>648</v>
      </c>
      <c r="B649" s="25">
        <v>45152</v>
      </c>
      <c r="C649" s="5" t="s">
        <v>656</v>
      </c>
      <c r="D649" s="5" t="s">
        <v>5</v>
      </c>
      <c r="E649" s="12">
        <v>53</v>
      </c>
      <c r="F649" s="2" t="str">
        <f t="shared" si="60"/>
        <v>Adult</v>
      </c>
      <c r="G649" s="5" t="s">
        <v>6</v>
      </c>
      <c r="H649" s="8">
        <v>4</v>
      </c>
      <c r="I649" s="2">
        <v>300</v>
      </c>
      <c r="J649" s="2">
        <v>1200</v>
      </c>
      <c r="K649" t="str">
        <f t="shared" si="61"/>
        <v>Medium</v>
      </c>
      <c r="L649" s="12">
        <f t="shared" si="62"/>
        <v>2023</v>
      </c>
      <c r="M649" s="12">
        <f t="shared" si="63"/>
        <v>3</v>
      </c>
      <c r="N649" s="5" t="str">
        <f t="shared" si="64"/>
        <v>Monday</v>
      </c>
      <c r="O649" s="5" t="str">
        <f t="shared" si="65"/>
        <v>August</v>
      </c>
    </row>
    <row r="650" spans="1:15" x14ac:dyDescent="0.3">
      <c r="A650" s="8">
        <v>649</v>
      </c>
      <c r="B650" s="25">
        <v>44966</v>
      </c>
      <c r="C650" s="5" t="s">
        <v>657</v>
      </c>
      <c r="D650" s="5" t="s">
        <v>8</v>
      </c>
      <c r="E650" s="12">
        <v>58</v>
      </c>
      <c r="F650" s="2" t="str">
        <f t="shared" si="60"/>
        <v>Adult</v>
      </c>
      <c r="G650" s="5" t="s">
        <v>9</v>
      </c>
      <c r="H650" s="8">
        <v>2</v>
      </c>
      <c r="I650" s="2">
        <v>300</v>
      </c>
      <c r="J650" s="2">
        <v>600</v>
      </c>
      <c r="K650" t="str">
        <f t="shared" si="61"/>
        <v>Medium</v>
      </c>
      <c r="L650" s="12">
        <f t="shared" si="62"/>
        <v>2023</v>
      </c>
      <c r="M650" s="12">
        <f t="shared" si="63"/>
        <v>1</v>
      </c>
      <c r="N650" s="5" t="str">
        <f t="shared" si="64"/>
        <v>Thursday</v>
      </c>
      <c r="O650" s="5" t="str">
        <f t="shared" si="65"/>
        <v>February</v>
      </c>
    </row>
    <row r="651" spans="1:15" x14ac:dyDescent="0.3">
      <c r="A651" s="8">
        <v>650</v>
      </c>
      <c r="B651" s="25">
        <v>45292</v>
      </c>
      <c r="C651" s="5" t="s">
        <v>658</v>
      </c>
      <c r="D651" s="5" t="s">
        <v>5</v>
      </c>
      <c r="E651" s="12">
        <v>55</v>
      </c>
      <c r="F651" s="2" t="str">
        <f t="shared" si="60"/>
        <v>Adult</v>
      </c>
      <c r="G651" s="5" t="s">
        <v>11</v>
      </c>
      <c r="H651" s="8">
        <v>1</v>
      </c>
      <c r="I651" s="2">
        <v>30</v>
      </c>
      <c r="J651" s="2">
        <v>30</v>
      </c>
      <c r="K651" t="str">
        <f t="shared" si="61"/>
        <v>Low</v>
      </c>
      <c r="L651" s="12">
        <f t="shared" si="62"/>
        <v>2024</v>
      </c>
      <c r="M651" s="12">
        <f t="shared" si="63"/>
        <v>1</v>
      </c>
      <c r="N651" s="5" t="str">
        <f t="shared" si="64"/>
        <v>Monday</v>
      </c>
      <c r="O651" s="5" t="str">
        <f t="shared" si="65"/>
        <v>January</v>
      </c>
    </row>
    <row r="652" spans="1:15" x14ac:dyDescent="0.3">
      <c r="A652" s="8">
        <v>651</v>
      </c>
      <c r="B652" s="25">
        <v>45073</v>
      </c>
      <c r="C652" s="5" t="s">
        <v>659</v>
      </c>
      <c r="D652" s="5" t="s">
        <v>5</v>
      </c>
      <c r="E652" s="12">
        <v>51</v>
      </c>
      <c r="F652" s="2" t="str">
        <f t="shared" si="60"/>
        <v>Adult</v>
      </c>
      <c r="G652" s="5" t="s">
        <v>9</v>
      </c>
      <c r="H652" s="8">
        <v>3</v>
      </c>
      <c r="I652" s="2">
        <v>50</v>
      </c>
      <c r="J652" s="2">
        <v>150</v>
      </c>
      <c r="K652" t="str">
        <f t="shared" si="61"/>
        <v>Low</v>
      </c>
      <c r="L652" s="12">
        <f t="shared" si="62"/>
        <v>2023</v>
      </c>
      <c r="M652" s="12">
        <f t="shared" si="63"/>
        <v>2</v>
      </c>
      <c r="N652" s="5" t="str">
        <f t="shared" si="64"/>
        <v>Saturday</v>
      </c>
      <c r="O652" s="5" t="str">
        <f t="shared" si="65"/>
        <v>May</v>
      </c>
    </row>
    <row r="653" spans="1:15" x14ac:dyDescent="0.3">
      <c r="A653" s="8">
        <v>652</v>
      </c>
      <c r="B653" s="25">
        <v>45047</v>
      </c>
      <c r="C653" s="5" t="s">
        <v>660</v>
      </c>
      <c r="D653" s="5" t="s">
        <v>8</v>
      </c>
      <c r="E653" s="12">
        <v>34</v>
      </c>
      <c r="F653" s="2" t="str">
        <f t="shared" si="60"/>
        <v>Adult</v>
      </c>
      <c r="G653" s="5" t="s">
        <v>6</v>
      </c>
      <c r="H653" s="8">
        <v>2</v>
      </c>
      <c r="I653" s="2">
        <v>50</v>
      </c>
      <c r="J653" s="2">
        <v>100</v>
      </c>
      <c r="K653" t="str">
        <f t="shared" si="61"/>
        <v>Low</v>
      </c>
      <c r="L653" s="12">
        <f t="shared" si="62"/>
        <v>2023</v>
      </c>
      <c r="M653" s="12">
        <f t="shared" si="63"/>
        <v>2</v>
      </c>
      <c r="N653" s="5" t="str">
        <f t="shared" si="64"/>
        <v>Monday</v>
      </c>
      <c r="O653" s="5" t="str">
        <f t="shared" si="65"/>
        <v>May</v>
      </c>
    </row>
    <row r="654" spans="1:15" x14ac:dyDescent="0.3">
      <c r="A654" s="8">
        <v>653</v>
      </c>
      <c r="B654" s="25">
        <v>45066</v>
      </c>
      <c r="C654" s="5" t="s">
        <v>661</v>
      </c>
      <c r="D654" s="5" t="s">
        <v>5</v>
      </c>
      <c r="E654" s="12">
        <v>54</v>
      </c>
      <c r="F654" s="2" t="str">
        <f t="shared" si="60"/>
        <v>Adult</v>
      </c>
      <c r="G654" s="5" t="s">
        <v>9</v>
      </c>
      <c r="H654" s="8">
        <v>3</v>
      </c>
      <c r="I654" s="2">
        <v>25</v>
      </c>
      <c r="J654" s="2">
        <v>75</v>
      </c>
      <c r="K654" t="str">
        <f t="shared" si="61"/>
        <v>Low</v>
      </c>
      <c r="L654" s="12">
        <f t="shared" si="62"/>
        <v>2023</v>
      </c>
      <c r="M654" s="12">
        <f t="shared" si="63"/>
        <v>2</v>
      </c>
      <c r="N654" s="5" t="str">
        <f t="shared" si="64"/>
        <v>Saturday</v>
      </c>
      <c r="O654" s="5" t="str">
        <f t="shared" si="65"/>
        <v>May</v>
      </c>
    </row>
    <row r="655" spans="1:15" x14ac:dyDescent="0.3">
      <c r="A655" s="8">
        <v>654</v>
      </c>
      <c r="B655" s="25">
        <v>45098</v>
      </c>
      <c r="C655" s="5" t="s">
        <v>662</v>
      </c>
      <c r="D655" s="5" t="s">
        <v>5</v>
      </c>
      <c r="E655" s="12">
        <v>42</v>
      </c>
      <c r="F655" s="2" t="str">
        <f t="shared" si="60"/>
        <v>Adult</v>
      </c>
      <c r="G655" s="5" t="s">
        <v>9</v>
      </c>
      <c r="H655" s="8">
        <v>3</v>
      </c>
      <c r="I655" s="2">
        <v>25</v>
      </c>
      <c r="J655" s="2">
        <v>75</v>
      </c>
      <c r="K655" t="str">
        <f t="shared" si="61"/>
        <v>Low</v>
      </c>
      <c r="L655" s="12">
        <f t="shared" si="62"/>
        <v>2023</v>
      </c>
      <c r="M655" s="12">
        <f t="shared" si="63"/>
        <v>2</v>
      </c>
      <c r="N655" s="5" t="str">
        <f t="shared" si="64"/>
        <v>Wednesday</v>
      </c>
      <c r="O655" s="5" t="str">
        <f t="shared" si="65"/>
        <v>June</v>
      </c>
    </row>
    <row r="656" spans="1:15" x14ac:dyDescent="0.3">
      <c r="A656" s="8">
        <v>655</v>
      </c>
      <c r="B656" s="25">
        <v>45090</v>
      </c>
      <c r="C656" s="5" t="s">
        <v>663</v>
      </c>
      <c r="D656" s="5" t="s">
        <v>8</v>
      </c>
      <c r="E656" s="12">
        <v>55</v>
      </c>
      <c r="F656" s="2" t="str">
        <f t="shared" si="60"/>
        <v>Adult</v>
      </c>
      <c r="G656" s="5" t="s">
        <v>9</v>
      </c>
      <c r="H656" s="8">
        <v>1</v>
      </c>
      <c r="I656" s="2">
        <v>500</v>
      </c>
      <c r="J656" s="2">
        <v>500</v>
      </c>
      <c r="K656" t="str">
        <f t="shared" si="61"/>
        <v>Low</v>
      </c>
      <c r="L656" s="12">
        <f t="shared" si="62"/>
        <v>2023</v>
      </c>
      <c r="M656" s="12">
        <f t="shared" si="63"/>
        <v>2</v>
      </c>
      <c r="N656" s="5" t="str">
        <f t="shared" si="64"/>
        <v>Tuesday</v>
      </c>
      <c r="O656" s="5" t="str">
        <f t="shared" si="65"/>
        <v>June</v>
      </c>
    </row>
    <row r="657" spans="1:15" x14ac:dyDescent="0.3">
      <c r="A657" s="8">
        <v>656</v>
      </c>
      <c r="B657" s="25">
        <v>45203</v>
      </c>
      <c r="C657" s="5" t="s">
        <v>664</v>
      </c>
      <c r="D657" s="5" t="s">
        <v>5</v>
      </c>
      <c r="E657" s="12">
        <v>29</v>
      </c>
      <c r="F657" s="2" t="str">
        <f t="shared" si="60"/>
        <v>Young</v>
      </c>
      <c r="G657" s="5" t="s">
        <v>6</v>
      </c>
      <c r="H657" s="8">
        <v>3</v>
      </c>
      <c r="I657" s="2">
        <v>30</v>
      </c>
      <c r="J657" s="2">
        <v>90</v>
      </c>
      <c r="K657" t="str">
        <f t="shared" si="61"/>
        <v>Low</v>
      </c>
      <c r="L657" s="12">
        <f t="shared" si="62"/>
        <v>2023</v>
      </c>
      <c r="M657" s="12">
        <f t="shared" si="63"/>
        <v>4</v>
      </c>
      <c r="N657" s="5" t="str">
        <f t="shared" si="64"/>
        <v>Wednesday</v>
      </c>
      <c r="O657" s="5" t="str">
        <f t="shared" si="65"/>
        <v>October</v>
      </c>
    </row>
    <row r="658" spans="1:15" x14ac:dyDescent="0.3">
      <c r="A658" s="8">
        <v>657</v>
      </c>
      <c r="B658" s="25">
        <v>44968</v>
      </c>
      <c r="C658" s="5" t="s">
        <v>665</v>
      </c>
      <c r="D658" s="5" t="s">
        <v>5</v>
      </c>
      <c r="E658" s="12">
        <v>40</v>
      </c>
      <c r="F658" s="2" t="str">
        <f t="shared" si="60"/>
        <v>Adult</v>
      </c>
      <c r="G658" s="5" t="s">
        <v>9</v>
      </c>
      <c r="H658" s="8">
        <v>1</v>
      </c>
      <c r="I658" s="2">
        <v>25</v>
      </c>
      <c r="J658" s="2">
        <v>25</v>
      </c>
      <c r="K658" t="str">
        <f t="shared" si="61"/>
        <v>Low</v>
      </c>
      <c r="L658" s="12">
        <f t="shared" si="62"/>
        <v>2023</v>
      </c>
      <c r="M658" s="12">
        <f t="shared" si="63"/>
        <v>1</v>
      </c>
      <c r="N658" s="5" t="str">
        <f t="shared" si="64"/>
        <v>Saturday</v>
      </c>
      <c r="O658" s="5" t="str">
        <f t="shared" si="65"/>
        <v>February</v>
      </c>
    </row>
    <row r="659" spans="1:15" x14ac:dyDescent="0.3">
      <c r="A659" s="8">
        <v>658</v>
      </c>
      <c r="B659" s="25">
        <v>44997</v>
      </c>
      <c r="C659" s="5" t="s">
        <v>666</v>
      </c>
      <c r="D659" s="5" t="s">
        <v>5</v>
      </c>
      <c r="E659" s="12">
        <v>59</v>
      </c>
      <c r="F659" s="2" t="str">
        <f t="shared" si="60"/>
        <v>Adult</v>
      </c>
      <c r="G659" s="5" t="s">
        <v>9</v>
      </c>
      <c r="H659" s="8">
        <v>1</v>
      </c>
      <c r="I659" s="2">
        <v>25</v>
      </c>
      <c r="J659" s="2">
        <v>25</v>
      </c>
      <c r="K659" t="str">
        <f t="shared" si="61"/>
        <v>Low</v>
      </c>
      <c r="L659" s="12">
        <f t="shared" si="62"/>
        <v>2023</v>
      </c>
      <c r="M659" s="12">
        <f t="shared" si="63"/>
        <v>1</v>
      </c>
      <c r="N659" s="5" t="str">
        <f t="shared" si="64"/>
        <v>Sunday</v>
      </c>
      <c r="O659" s="5" t="str">
        <f t="shared" si="65"/>
        <v>March</v>
      </c>
    </row>
    <row r="660" spans="1:15" x14ac:dyDescent="0.3">
      <c r="A660" s="8">
        <v>659</v>
      </c>
      <c r="B660" s="25">
        <v>45004</v>
      </c>
      <c r="C660" s="5" t="s">
        <v>667</v>
      </c>
      <c r="D660" s="5" t="s">
        <v>8</v>
      </c>
      <c r="E660" s="12">
        <v>39</v>
      </c>
      <c r="F660" s="2" t="str">
        <f t="shared" si="60"/>
        <v>Adult</v>
      </c>
      <c r="G660" s="5" t="s">
        <v>11</v>
      </c>
      <c r="H660" s="8">
        <v>1</v>
      </c>
      <c r="I660" s="2">
        <v>30</v>
      </c>
      <c r="J660" s="2">
        <v>30</v>
      </c>
      <c r="K660" t="str">
        <f t="shared" si="61"/>
        <v>Low</v>
      </c>
      <c r="L660" s="12">
        <f t="shared" si="62"/>
        <v>2023</v>
      </c>
      <c r="M660" s="12">
        <f t="shared" si="63"/>
        <v>1</v>
      </c>
      <c r="N660" s="5" t="str">
        <f t="shared" si="64"/>
        <v>Sunday</v>
      </c>
      <c r="O660" s="5" t="str">
        <f t="shared" si="65"/>
        <v>March</v>
      </c>
    </row>
    <row r="661" spans="1:15" x14ac:dyDescent="0.3">
      <c r="A661" s="8">
        <v>660</v>
      </c>
      <c r="B661" s="25">
        <v>45045</v>
      </c>
      <c r="C661" s="5" t="s">
        <v>668</v>
      </c>
      <c r="D661" s="5" t="s">
        <v>8</v>
      </c>
      <c r="E661" s="12">
        <v>38</v>
      </c>
      <c r="F661" s="2" t="str">
        <f t="shared" si="60"/>
        <v>Adult</v>
      </c>
      <c r="G661" s="5" t="s">
        <v>6</v>
      </c>
      <c r="H661" s="8">
        <v>2</v>
      </c>
      <c r="I661" s="2">
        <v>500</v>
      </c>
      <c r="J661" s="2">
        <v>1000</v>
      </c>
      <c r="K661" t="str">
        <f t="shared" si="61"/>
        <v>Medium</v>
      </c>
      <c r="L661" s="12">
        <f t="shared" si="62"/>
        <v>2023</v>
      </c>
      <c r="M661" s="12">
        <f t="shared" si="63"/>
        <v>2</v>
      </c>
      <c r="N661" s="5" t="str">
        <f t="shared" si="64"/>
        <v>Saturday</v>
      </c>
      <c r="O661" s="5" t="str">
        <f t="shared" si="65"/>
        <v>April</v>
      </c>
    </row>
    <row r="662" spans="1:15" x14ac:dyDescent="0.3">
      <c r="A662" s="8">
        <v>661</v>
      </c>
      <c r="B662" s="25">
        <v>45123</v>
      </c>
      <c r="C662" s="5" t="s">
        <v>669</v>
      </c>
      <c r="D662" s="5" t="s">
        <v>8</v>
      </c>
      <c r="E662" s="12">
        <v>44</v>
      </c>
      <c r="F662" s="2" t="str">
        <f t="shared" si="60"/>
        <v>Adult</v>
      </c>
      <c r="G662" s="5" t="s">
        <v>9</v>
      </c>
      <c r="H662" s="8">
        <v>4</v>
      </c>
      <c r="I662" s="2">
        <v>25</v>
      </c>
      <c r="J662" s="2">
        <v>100</v>
      </c>
      <c r="K662" t="str">
        <f t="shared" si="61"/>
        <v>Low</v>
      </c>
      <c r="L662" s="12">
        <f t="shared" si="62"/>
        <v>2023</v>
      </c>
      <c r="M662" s="12">
        <f t="shared" si="63"/>
        <v>3</v>
      </c>
      <c r="N662" s="5" t="str">
        <f t="shared" si="64"/>
        <v>Sunday</v>
      </c>
      <c r="O662" s="5" t="str">
        <f t="shared" si="65"/>
        <v>July</v>
      </c>
    </row>
    <row r="663" spans="1:15" x14ac:dyDescent="0.3">
      <c r="A663" s="8">
        <v>662</v>
      </c>
      <c r="B663" s="25">
        <v>45282</v>
      </c>
      <c r="C663" s="5" t="s">
        <v>670</v>
      </c>
      <c r="D663" s="5" t="s">
        <v>5</v>
      </c>
      <c r="E663" s="12">
        <v>48</v>
      </c>
      <c r="F663" s="2" t="str">
        <f t="shared" si="60"/>
        <v>Adult</v>
      </c>
      <c r="G663" s="5" t="s">
        <v>6</v>
      </c>
      <c r="H663" s="8">
        <v>2</v>
      </c>
      <c r="I663" s="2">
        <v>500</v>
      </c>
      <c r="J663" s="2">
        <v>1000</v>
      </c>
      <c r="K663" t="str">
        <f t="shared" si="61"/>
        <v>Medium</v>
      </c>
      <c r="L663" s="12">
        <f t="shared" si="62"/>
        <v>2023</v>
      </c>
      <c r="M663" s="12">
        <f t="shared" si="63"/>
        <v>4</v>
      </c>
      <c r="N663" s="5" t="str">
        <f t="shared" si="64"/>
        <v>Friday</v>
      </c>
      <c r="O663" s="5" t="str">
        <f t="shared" si="65"/>
        <v>December</v>
      </c>
    </row>
    <row r="664" spans="1:15" x14ac:dyDescent="0.3">
      <c r="A664" s="8">
        <v>663</v>
      </c>
      <c r="B664" s="25">
        <v>45005</v>
      </c>
      <c r="C664" s="5" t="s">
        <v>671</v>
      </c>
      <c r="D664" s="5" t="s">
        <v>5</v>
      </c>
      <c r="E664" s="12">
        <v>23</v>
      </c>
      <c r="F664" s="2" t="str">
        <f t="shared" si="60"/>
        <v>Young</v>
      </c>
      <c r="G664" s="5" t="s">
        <v>9</v>
      </c>
      <c r="H664" s="8">
        <v>4</v>
      </c>
      <c r="I664" s="2">
        <v>300</v>
      </c>
      <c r="J664" s="2">
        <v>1200</v>
      </c>
      <c r="K664" t="str">
        <f t="shared" si="61"/>
        <v>Medium</v>
      </c>
      <c r="L664" s="12">
        <f t="shared" si="62"/>
        <v>2023</v>
      </c>
      <c r="M664" s="12">
        <f t="shared" si="63"/>
        <v>1</v>
      </c>
      <c r="N664" s="5" t="str">
        <f t="shared" si="64"/>
        <v>Monday</v>
      </c>
      <c r="O664" s="5" t="str">
        <f t="shared" si="65"/>
        <v>March</v>
      </c>
    </row>
    <row r="665" spans="1:15" x14ac:dyDescent="0.3">
      <c r="A665" s="8">
        <v>664</v>
      </c>
      <c r="B665" s="25">
        <v>45288</v>
      </c>
      <c r="C665" s="5" t="s">
        <v>672</v>
      </c>
      <c r="D665" s="5" t="s">
        <v>8</v>
      </c>
      <c r="E665" s="12">
        <v>44</v>
      </c>
      <c r="F665" s="2" t="str">
        <f t="shared" si="60"/>
        <v>Adult</v>
      </c>
      <c r="G665" s="5" t="s">
        <v>9</v>
      </c>
      <c r="H665" s="8">
        <v>4</v>
      </c>
      <c r="I665" s="2">
        <v>500</v>
      </c>
      <c r="J665" s="2">
        <v>2000</v>
      </c>
      <c r="K665" t="str">
        <f t="shared" si="61"/>
        <v>High</v>
      </c>
      <c r="L665" s="12">
        <f t="shared" si="62"/>
        <v>2023</v>
      </c>
      <c r="M665" s="12">
        <f t="shared" si="63"/>
        <v>4</v>
      </c>
      <c r="N665" s="5" t="str">
        <f t="shared" si="64"/>
        <v>Thursday</v>
      </c>
      <c r="O665" s="5" t="str">
        <f t="shared" si="65"/>
        <v>December</v>
      </c>
    </row>
    <row r="666" spans="1:15" x14ac:dyDescent="0.3">
      <c r="A666" s="8">
        <v>665</v>
      </c>
      <c r="B666" s="25">
        <v>45036</v>
      </c>
      <c r="C666" s="5" t="s">
        <v>673</v>
      </c>
      <c r="D666" s="5" t="s">
        <v>5</v>
      </c>
      <c r="E666" s="12">
        <v>57</v>
      </c>
      <c r="F666" s="2" t="str">
        <f t="shared" si="60"/>
        <v>Adult</v>
      </c>
      <c r="G666" s="5" t="s">
        <v>9</v>
      </c>
      <c r="H666" s="8">
        <v>1</v>
      </c>
      <c r="I666" s="2">
        <v>50</v>
      </c>
      <c r="J666" s="2">
        <v>50</v>
      </c>
      <c r="K666" t="str">
        <f t="shared" si="61"/>
        <v>Low</v>
      </c>
      <c r="L666" s="12">
        <f t="shared" si="62"/>
        <v>2023</v>
      </c>
      <c r="M666" s="12">
        <f t="shared" si="63"/>
        <v>2</v>
      </c>
      <c r="N666" s="5" t="str">
        <f t="shared" si="64"/>
        <v>Thursday</v>
      </c>
      <c r="O666" s="5" t="str">
        <f t="shared" si="65"/>
        <v>April</v>
      </c>
    </row>
    <row r="667" spans="1:15" x14ac:dyDescent="0.3">
      <c r="A667" s="8">
        <v>666</v>
      </c>
      <c r="B667" s="25">
        <v>44959</v>
      </c>
      <c r="C667" s="5" t="s">
        <v>674</v>
      </c>
      <c r="D667" s="5" t="s">
        <v>5</v>
      </c>
      <c r="E667" s="12">
        <v>51</v>
      </c>
      <c r="F667" s="2" t="str">
        <f t="shared" si="60"/>
        <v>Adult</v>
      </c>
      <c r="G667" s="5" t="s">
        <v>11</v>
      </c>
      <c r="H667" s="8">
        <v>3</v>
      </c>
      <c r="I667" s="2">
        <v>50</v>
      </c>
      <c r="J667" s="2">
        <v>150</v>
      </c>
      <c r="K667" t="str">
        <f t="shared" si="61"/>
        <v>Low</v>
      </c>
      <c r="L667" s="12">
        <f t="shared" si="62"/>
        <v>2023</v>
      </c>
      <c r="M667" s="12">
        <f t="shared" si="63"/>
        <v>1</v>
      </c>
      <c r="N667" s="5" t="str">
        <f t="shared" si="64"/>
        <v>Thursday</v>
      </c>
      <c r="O667" s="5" t="str">
        <f t="shared" si="65"/>
        <v>February</v>
      </c>
    </row>
    <row r="668" spans="1:15" x14ac:dyDescent="0.3">
      <c r="A668" s="8">
        <v>667</v>
      </c>
      <c r="B668" s="25">
        <v>45139</v>
      </c>
      <c r="C668" s="5" t="s">
        <v>675</v>
      </c>
      <c r="D668" s="5" t="s">
        <v>8</v>
      </c>
      <c r="E668" s="12">
        <v>29</v>
      </c>
      <c r="F668" s="2" t="str">
        <f t="shared" si="60"/>
        <v>Young</v>
      </c>
      <c r="G668" s="5" t="s">
        <v>11</v>
      </c>
      <c r="H668" s="8">
        <v>1</v>
      </c>
      <c r="I668" s="2">
        <v>500</v>
      </c>
      <c r="J668" s="2">
        <v>500</v>
      </c>
      <c r="K668" t="str">
        <f t="shared" si="61"/>
        <v>Low</v>
      </c>
      <c r="L668" s="12">
        <f t="shared" si="62"/>
        <v>2023</v>
      </c>
      <c r="M668" s="12">
        <f t="shared" si="63"/>
        <v>3</v>
      </c>
      <c r="N668" s="5" t="str">
        <f t="shared" si="64"/>
        <v>Tuesday</v>
      </c>
      <c r="O668" s="5" t="str">
        <f t="shared" si="65"/>
        <v>August</v>
      </c>
    </row>
    <row r="669" spans="1:15" x14ac:dyDescent="0.3">
      <c r="A669" s="8">
        <v>668</v>
      </c>
      <c r="B669" s="25">
        <v>45135</v>
      </c>
      <c r="C669" s="5" t="s">
        <v>676</v>
      </c>
      <c r="D669" s="5" t="s">
        <v>8</v>
      </c>
      <c r="E669" s="12">
        <v>62</v>
      </c>
      <c r="F669" s="2" t="str">
        <f t="shared" si="60"/>
        <v>Senior</v>
      </c>
      <c r="G669" s="5" t="s">
        <v>11</v>
      </c>
      <c r="H669" s="8">
        <v>3</v>
      </c>
      <c r="I669" s="2">
        <v>50</v>
      </c>
      <c r="J669" s="2">
        <v>150</v>
      </c>
      <c r="K669" t="str">
        <f t="shared" si="61"/>
        <v>Low</v>
      </c>
      <c r="L669" s="12">
        <f t="shared" si="62"/>
        <v>2023</v>
      </c>
      <c r="M669" s="12">
        <f t="shared" si="63"/>
        <v>3</v>
      </c>
      <c r="N669" s="5" t="str">
        <f t="shared" si="64"/>
        <v>Friday</v>
      </c>
      <c r="O669" s="5" t="str">
        <f t="shared" si="65"/>
        <v>July</v>
      </c>
    </row>
    <row r="670" spans="1:15" x14ac:dyDescent="0.3">
      <c r="A670" s="8">
        <v>669</v>
      </c>
      <c r="B670" s="25">
        <v>45096</v>
      </c>
      <c r="C670" s="5" t="s">
        <v>677</v>
      </c>
      <c r="D670" s="5" t="s">
        <v>5</v>
      </c>
      <c r="E670" s="12">
        <v>24</v>
      </c>
      <c r="F670" s="2" t="str">
        <f t="shared" si="60"/>
        <v>Young</v>
      </c>
      <c r="G670" s="5" t="s">
        <v>6</v>
      </c>
      <c r="H670" s="8">
        <v>4</v>
      </c>
      <c r="I670" s="2">
        <v>300</v>
      </c>
      <c r="J670" s="2">
        <v>1200</v>
      </c>
      <c r="K670" t="str">
        <f t="shared" si="61"/>
        <v>Medium</v>
      </c>
      <c r="L670" s="12">
        <f t="shared" si="62"/>
        <v>2023</v>
      </c>
      <c r="M670" s="12">
        <f t="shared" si="63"/>
        <v>2</v>
      </c>
      <c r="N670" s="5" t="str">
        <f t="shared" si="64"/>
        <v>Monday</v>
      </c>
      <c r="O670" s="5" t="str">
        <f t="shared" si="65"/>
        <v>June</v>
      </c>
    </row>
    <row r="671" spans="1:15" x14ac:dyDescent="0.3">
      <c r="A671" s="8">
        <v>670</v>
      </c>
      <c r="B671" s="25">
        <v>45204</v>
      </c>
      <c r="C671" s="5" t="s">
        <v>678</v>
      </c>
      <c r="D671" s="5" t="s">
        <v>5</v>
      </c>
      <c r="E671" s="12">
        <v>27</v>
      </c>
      <c r="F671" s="2" t="str">
        <f t="shared" si="60"/>
        <v>Young</v>
      </c>
      <c r="G671" s="5" t="s">
        <v>6</v>
      </c>
      <c r="H671" s="8">
        <v>1</v>
      </c>
      <c r="I671" s="2">
        <v>30</v>
      </c>
      <c r="J671" s="2">
        <v>30</v>
      </c>
      <c r="K671" t="str">
        <f t="shared" si="61"/>
        <v>Low</v>
      </c>
      <c r="L671" s="12">
        <f t="shared" si="62"/>
        <v>2023</v>
      </c>
      <c r="M671" s="12">
        <f t="shared" si="63"/>
        <v>4</v>
      </c>
      <c r="N671" s="5" t="str">
        <f t="shared" si="64"/>
        <v>Thursday</v>
      </c>
      <c r="O671" s="5" t="str">
        <f t="shared" si="65"/>
        <v>October</v>
      </c>
    </row>
    <row r="672" spans="1:15" x14ac:dyDescent="0.3">
      <c r="A672" s="8">
        <v>671</v>
      </c>
      <c r="B672" s="25">
        <v>45165</v>
      </c>
      <c r="C672" s="5" t="s">
        <v>679</v>
      </c>
      <c r="D672" s="5" t="s">
        <v>5</v>
      </c>
      <c r="E672" s="12">
        <v>62</v>
      </c>
      <c r="F672" s="2" t="str">
        <f t="shared" si="60"/>
        <v>Senior</v>
      </c>
      <c r="G672" s="5" t="s">
        <v>11</v>
      </c>
      <c r="H672" s="8">
        <v>3</v>
      </c>
      <c r="I672" s="2">
        <v>50</v>
      </c>
      <c r="J672" s="2">
        <v>150</v>
      </c>
      <c r="K672" t="str">
        <f t="shared" si="61"/>
        <v>Low</v>
      </c>
      <c r="L672" s="12">
        <f t="shared" si="62"/>
        <v>2023</v>
      </c>
      <c r="M672" s="12">
        <f t="shared" si="63"/>
        <v>3</v>
      </c>
      <c r="N672" s="5" t="str">
        <f t="shared" si="64"/>
        <v>Sunday</v>
      </c>
      <c r="O672" s="5" t="str">
        <f t="shared" si="65"/>
        <v>August</v>
      </c>
    </row>
    <row r="673" spans="1:15" x14ac:dyDescent="0.3">
      <c r="A673" s="8">
        <v>672</v>
      </c>
      <c r="B673" s="25">
        <v>45139</v>
      </c>
      <c r="C673" s="5" t="s">
        <v>680</v>
      </c>
      <c r="D673" s="5" t="s">
        <v>8</v>
      </c>
      <c r="E673" s="12">
        <v>34</v>
      </c>
      <c r="F673" s="2" t="str">
        <f t="shared" si="60"/>
        <v>Adult</v>
      </c>
      <c r="G673" s="5" t="s">
        <v>6</v>
      </c>
      <c r="H673" s="8">
        <v>2</v>
      </c>
      <c r="I673" s="2">
        <v>50</v>
      </c>
      <c r="J673" s="2">
        <v>100</v>
      </c>
      <c r="K673" t="str">
        <f t="shared" si="61"/>
        <v>Low</v>
      </c>
      <c r="L673" s="12">
        <f t="shared" si="62"/>
        <v>2023</v>
      </c>
      <c r="M673" s="12">
        <f t="shared" si="63"/>
        <v>3</v>
      </c>
      <c r="N673" s="5" t="str">
        <f t="shared" si="64"/>
        <v>Tuesday</v>
      </c>
      <c r="O673" s="5" t="str">
        <f t="shared" si="65"/>
        <v>August</v>
      </c>
    </row>
    <row r="674" spans="1:15" x14ac:dyDescent="0.3">
      <c r="A674" s="8">
        <v>673</v>
      </c>
      <c r="B674" s="25">
        <v>44958</v>
      </c>
      <c r="C674" s="5" t="s">
        <v>681</v>
      </c>
      <c r="D674" s="5" t="s">
        <v>8</v>
      </c>
      <c r="E674" s="12">
        <v>43</v>
      </c>
      <c r="F674" s="2" t="str">
        <f t="shared" si="60"/>
        <v>Adult</v>
      </c>
      <c r="G674" s="5" t="s">
        <v>9</v>
      </c>
      <c r="H674" s="8">
        <v>3</v>
      </c>
      <c r="I674" s="2">
        <v>500</v>
      </c>
      <c r="J674" s="2">
        <v>1500</v>
      </c>
      <c r="K674" t="str">
        <f t="shared" si="61"/>
        <v>Medium</v>
      </c>
      <c r="L674" s="12">
        <f t="shared" si="62"/>
        <v>2023</v>
      </c>
      <c r="M674" s="12">
        <f t="shared" si="63"/>
        <v>1</v>
      </c>
      <c r="N674" s="5" t="str">
        <f t="shared" si="64"/>
        <v>Wednesday</v>
      </c>
      <c r="O674" s="5" t="str">
        <f t="shared" si="65"/>
        <v>February</v>
      </c>
    </row>
    <row r="675" spans="1:15" x14ac:dyDescent="0.3">
      <c r="A675" s="8">
        <v>674</v>
      </c>
      <c r="B675" s="25">
        <v>45032</v>
      </c>
      <c r="C675" s="5" t="s">
        <v>682</v>
      </c>
      <c r="D675" s="5" t="s">
        <v>8</v>
      </c>
      <c r="E675" s="12">
        <v>38</v>
      </c>
      <c r="F675" s="2" t="str">
        <f t="shared" si="60"/>
        <v>Adult</v>
      </c>
      <c r="G675" s="5" t="s">
        <v>9</v>
      </c>
      <c r="H675" s="8">
        <v>1</v>
      </c>
      <c r="I675" s="2">
        <v>300</v>
      </c>
      <c r="J675" s="2">
        <v>300</v>
      </c>
      <c r="K675" t="str">
        <f t="shared" si="61"/>
        <v>Low</v>
      </c>
      <c r="L675" s="12">
        <f t="shared" si="62"/>
        <v>2023</v>
      </c>
      <c r="M675" s="12">
        <f t="shared" si="63"/>
        <v>2</v>
      </c>
      <c r="N675" s="5" t="str">
        <f t="shared" si="64"/>
        <v>Sunday</v>
      </c>
      <c r="O675" s="5" t="str">
        <f t="shared" si="65"/>
        <v>April</v>
      </c>
    </row>
    <row r="676" spans="1:15" x14ac:dyDescent="0.3">
      <c r="A676" s="8">
        <v>675</v>
      </c>
      <c r="B676" s="25">
        <v>45142</v>
      </c>
      <c r="C676" s="5" t="s">
        <v>683</v>
      </c>
      <c r="D676" s="5" t="s">
        <v>8</v>
      </c>
      <c r="E676" s="12">
        <v>45</v>
      </c>
      <c r="F676" s="2" t="str">
        <f t="shared" si="60"/>
        <v>Adult</v>
      </c>
      <c r="G676" s="5" t="s">
        <v>9</v>
      </c>
      <c r="H676" s="8">
        <v>2</v>
      </c>
      <c r="I676" s="2">
        <v>30</v>
      </c>
      <c r="J676" s="2">
        <v>60</v>
      </c>
      <c r="K676" t="str">
        <f t="shared" si="61"/>
        <v>Low</v>
      </c>
      <c r="L676" s="12">
        <f t="shared" si="62"/>
        <v>2023</v>
      </c>
      <c r="M676" s="12">
        <f t="shared" si="63"/>
        <v>3</v>
      </c>
      <c r="N676" s="5" t="str">
        <f t="shared" si="64"/>
        <v>Friday</v>
      </c>
      <c r="O676" s="5" t="str">
        <f t="shared" si="65"/>
        <v>August</v>
      </c>
    </row>
    <row r="677" spans="1:15" x14ac:dyDescent="0.3">
      <c r="A677" s="8">
        <v>676</v>
      </c>
      <c r="B677" s="25">
        <v>45126</v>
      </c>
      <c r="C677" s="5" t="s">
        <v>684</v>
      </c>
      <c r="D677" s="5" t="s">
        <v>5</v>
      </c>
      <c r="E677" s="12">
        <v>63</v>
      </c>
      <c r="F677" s="2" t="str">
        <f t="shared" si="60"/>
        <v>Senior</v>
      </c>
      <c r="G677" s="5" t="s">
        <v>11</v>
      </c>
      <c r="H677" s="8">
        <v>3</v>
      </c>
      <c r="I677" s="2">
        <v>500</v>
      </c>
      <c r="J677" s="2">
        <v>1500</v>
      </c>
      <c r="K677" t="str">
        <f t="shared" si="61"/>
        <v>Medium</v>
      </c>
      <c r="L677" s="12">
        <f t="shared" si="62"/>
        <v>2023</v>
      </c>
      <c r="M677" s="12">
        <f t="shared" si="63"/>
        <v>3</v>
      </c>
      <c r="N677" s="5" t="str">
        <f t="shared" si="64"/>
        <v>Wednesday</v>
      </c>
      <c r="O677" s="5" t="str">
        <f t="shared" si="65"/>
        <v>July</v>
      </c>
    </row>
    <row r="678" spans="1:15" x14ac:dyDescent="0.3">
      <c r="A678" s="8">
        <v>677</v>
      </c>
      <c r="B678" s="25">
        <v>45226</v>
      </c>
      <c r="C678" s="5" t="s">
        <v>685</v>
      </c>
      <c r="D678" s="5" t="s">
        <v>8</v>
      </c>
      <c r="E678" s="12">
        <v>19</v>
      </c>
      <c r="F678" s="2" t="str">
        <f t="shared" si="60"/>
        <v>Young</v>
      </c>
      <c r="G678" s="5" t="s">
        <v>6</v>
      </c>
      <c r="H678" s="8">
        <v>3</v>
      </c>
      <c r="I678" s="2">
        <v>500</v>
      </c>
      <c r="J678" s="2">
        <v>1500</v>
      </c>
      <c r="K678" t="str">
        <f t="shared" si="61"/>
        <v>Medium</v>
      </c>
      <c r="L678" s="12">
        <f t="shared" si="62"/>
        <v>2023</v>
      </c>
      <c r="M678" s="12">
        <f t="shared" si="63"/>
        <v>4</v>
      </c>
      <c r="N678" s="5" t="str">
        <f t="shared" si="64"/>
        <v>Friday</v>
      </c>
      <c r="O678" s="5" t="str">
        <f t="shared" si="65"/>
        <v>October</v>
      </c>
    </row>
    <row r="679" spans="1:15" x14ac:dyDescent="0.3">
      <c r="A679" s="8">
        <v>678</v>
      </c>
      <c r="B679" s="25">
        <v>45283</v>
      </c>
      <c r="C679" s="5" t="s">
        <v>686</v>
      </c>
      <c r="D679" s="5" t="s">
        <v>8</v>
      </c>
      <c r="E679" s="12">
        <v>60</v>
      </c>
      <c r="F679" s="2" t="str">
        <f t="shared" si="60"/>
        <v>Adult</v>
      </c>
      <c r="G679" s="5" t="s">
        <v>11</v>
      </c>
      <c r="H679" s="8">
        <v>3</v>
      </c>
      <c r="I679" s="2">
        <v>300</v>
      </c>
      <c r="J679" s="2">
        <v>900</v>
      </c>
      <c r="K679" t="str">
        <f t="shared" si="61"/>
        <v>Medium</v>
      </c>
      <c r="L679" s="12">
        <f t="shared" si="62"/>
        <v>2023</v>
      </c>
      <c r="M679" s="12">
        <f t="shared" si="63"/>
        <v>4</v>
      </c>
      <c r="N679" s="5" t="str">
        <f t="shared" si="64"/>
        <v>Saturday</v>
      </c>
      <c r="O679" s="5" t="str">
        <f t="shared" si="65"/>
        <v>December</v>
      </c>
    </row>
    <row r="680" spans="1:15" x14ac:dyDescent="0.3">
      <c r="A680" s="8">
        <v>679</v>
      </c>
      <c r="B680" s="25">
        <v>44937</v>
      </c>
      <c r="C680" s="5" t="s">
        <v>687</v>
      </c>
      <c r="D680" s="5" t="s">
        <v>8</v>
      </c>
      <c r="E680" s="12">
        <v>18</v>
      </c>
      <c r="F680" s="2" t="str">
        <f t="shared" si="60"/>
        <v>Young</v>
      </c>
      <c r="G680" s="5" t="s">
        <v>6</v>
      </c>
      <c r="H680" s="8">
        <v>3</v>
      </c>
      <c r="I680" s="2">
        <v>30</v>
      </c>
      <c r="J680" s="2">
        <v>90</v>
      </c>
      <c r="K680" t="str">
        <f t="shared" si="61"/>
        <v>Low</v>
      </c>
      <c r="L680" s="12">
        <f t="shared" si="62"/>
        <v>2023</v>
      </c>
      <c r="M680" s="12">
        <f t="shared" si="63"/>
        <v>1</v>
      </c>
      <c r="N680" s="5" t="str">
        <f t="shared" si="64"/>
        <v>Wednesday</v>
      </c>
      <c r="O680" s="5" t="str">
        <f t="shared" si="65"/>
        <v>January</v>
      </c>
    </row>
    <row r="681" spans="1:15" x14ac:dyDescent="0.3">
      <c r="A681" s="8">
        <v>680</v>
      </c>
      <c r="B681" s="25">
        <v>45221</v>
      </c>
      <c r="C681" s="5" t="s">
        <v>688</v>
      </c>
      <c r="D681" s="5" t="s">
        <v>8</v>
      </c>
      <c r="E681" s="12">
        <v>53</v>
      </c>
      <c r="F681" s="2" t="str">
        <f t="shared" si="60"/>
        <v>Adult</v>
      </c>
      <c r="G681" s="5" t="s">
        <v>9</v>
      </c>
      <c r="H681" s="8">
        <v>3</v>
      </c>
      <c r="I681" s="2">
        <v>300</v>
      </c>
      <c r="J681" s="2">
        <v>900</v>
      </c>
      <c r="K681" t="str">
        <f t="shared" si="61"/>
        <v>Medium</v>
      </c>
      <c r="L681" s="12">
        <f t="shared" si="62"/>
        <v>2023</v>
      </c>
      <c r="M681" s="12">
        <f t="shared" si="63"/>
        <v>4</v>
      </c>
      <c r="N681" s="5" t="str">
        <f t="shared" si="64"/>
        <v>Sunday</v>
      </c>
      <c r="O681" s="5" t="str">
        <f t="shared" si="65"/>
        <v>October</v>
      </c>
    </row>
    <row r="682" spans="1:15" x14ac:dyDescent="0.3">
      <c r="A682" s="8">
        <v>681</v>
      </c>
      <c r="B682" s="25">
        <v>45121</v>
      </c>
      <c r="C682" s="5" t="s">
        <v>689</v>
      </c>
      <c r="D682" s="5" t="s">
        <v>8</v>
      </c>
      <c r="E682" s="12">
        <v>43</v>
      </c>
      <c r="F682" s="2" t="str">
        <f t="shared" si="60"/>
        <v>Adult</v>
      </c>
      <c r="G682" s="5" t="s">
        <v>11</v>
      </c>
      <c r="H682" s="8">
        <v>2</v>
      </c>
      <c r="I682" s="2">
        <v>30</v>
      </c>
      <c r="J682" s="2">
        <v>60</v>
      </c>
      <c r="K682" t="str">
        <f t="shared" si="61"/>
        <v>Low</v>
      </c>
      <c r="L682" s="12">
        <f t="shared" si="62"/>
        <v>2023</v>
      </c>
      <c r="M682" s="12">
        <f t="shared" si="63"/>
        <v>3</v>
      </c>
      <c r="N682" s="5" t="str">
        <f t="shared" si="64"/>
        <v>Friday</v>
      </c>
      <c r="O682" s="5" t="str">
        <f t="shared" si="65"/>
        <v>July</v>
      </c>
    </row>
    <row r="683" spans="1:15" x14ac:dyDescent="0.3">
      <c r="A683" s="8">
        <v>682</v>
      </c>
      <c r="B683" s="25">
        <v>45171</v>
      </c>
      <c r="C683" s="5" t="s">
        <v>690</v>
      </c>
      <c r="D683" s="5" t="s">
        <v>5</v>
      </c>
      <c r="E683" s="12">
        <v>46</v>
      </c>
      <c r="F683" s="2" t="str">
        <f t="shared" si="60"/>
        <v>Adult</v>
      </c>
      <c r="G683" s="5" t="s">
        <v>6</v>
      </c>
      <c r="H683" s="8">
        <v>4</v>
      </c>
      <c r="I683" s="2">
        <v>300</v>
      </c>
      <c r="J683" s="2">
        <v>1200</v>
      </c>
      <c r="K683" t="str">
        <f t="shared" si="61"/>
        <v>Medium</v>
      </c>
      <c r="L683" s="12">
        <f t="shared" si="62"/>
        <v>2023</v>
      </c>
      <c r="M683" s="12">
        <f t="shared" si="63"/>
        <v>3</v>
      </c>
      <c r="N683" s="5" t="str">
        <f t="shared" si="64"/>
        <v>Saturday</v>
      </c>
      <c r="O683" s="5" t="str">
        <f t="shared" si="65"/>
        <v>September</v>
      </c>
    </row>
    <row r="684" spans="1:15" x14ac:dyDescent="0.3">
      <c r="A684" s="8">
        <v>683</v>
      </c>
      <c r="B684" s="25">
        <v>44930</v>
      </c>
      <c r="C684" s="5" t="s">
        <v>691</v>
      </c>
      <c r="D684" s="5" t="s">
        <v>5</v>
      </c>
      <c r="E684" s="12">
        <v>38</v>
      </c>
      <c r="F684" s="2" t="str">
        <f t="shared" si="60"/>
        <v>Adult</v>
      </c>
      <c r="G684" s="5" t="s">
        <v>6</v>
      </c>
      <c r="H684" s="8">
        <v>2</v>
      </c>
      <c r="I684" s="2">
        <v>500</v>
      </c>
      <c r="J684" s="2">
        <v>1000</v>
      </c>
      <c r="K684" t="str">
        <f t="shared" si="61"/>
        <v>Medium</v>
      </c>
      <c r="L684" s="12">
        <f t="shared" si="62"/>
        <v>2023</v>
      </c>
      <c r="M684" s="12">
        <f t="shared" si="63"/>
        <v>1</v>
      </c>
      <c r="N684" s="5" t="str">
        <f t="shared" si="64"/>
        <v>Wednesday</v>
      </c>
      <c r="O684" s="5" t="str">
        <f t="shared" si="65"/>
        <v>January</v>
      </c>
    </row>
    <row r="685" spans="1:15" x14ac:dyDescent="0.3">
      <c r="A685" s="8">
        <v>684</v>
      </c>
      <c r="B685" s="25">
        <v>45107</v>
      </c>
      <c r="C685" s="5" t="s">
        <v>692</v>
      </c>
      <c r="D685" s="5" t="s">
        <v>8</v>
      </c>
      <c r="E685" s="12">
        <v>28</v>
      </c>
      <c r="F685" s="2" t="str">
        <f t="shared" si="60"/>
        <v>Young</v>
      </c>
      <c r="G685" s="5" t="s">
        <v>9</v>
      </c>
      <c r="H685" s="8">
        <v>2</v>
      </c>
      <c r="I685" s="2">
        <v>500</v>
      </c>
      <c r="J685" s="2">
        <v>1000</v>
      </c>
      <c r="K685" t="str">
        <f t="shared" si="61"/>
        <v>Medium</v>
      </c>
      <c r="L685" s="12">
        <f t="shared" si="62"/>
        <v>2023</v>
      </c>
      <c r="M685" s="12">
        <f t="shared" si="63"/>
        <v>2</v>
      </c>
      <c r="N685" s="5" t="str">
        <f t="shared" si="64"/>
        <v>Friday</v>
      </c>
      <c r="O685" s="5" t="str">
        <f t="shared" si="65"/>
        <v>June</v>
      </c>
    </row>
    <row r="686" spans="1:15" x14ac:dyDescent="0.3">
      <c r="A686" s="8">
        <v>685</v>
      </c>
      <c r="B686" s="25">
        <v>45079</v>
      </c>
      <c r="C686" s="5" t="s">
        <v>693</v>
      </c>
      <c r="D686" s="5" t="s">
        <v>5</v>
      </c>
      <c r="E686" s="12">
        <v>57</v>
      </c>
      <c r="F686" s="2" t="str">
        <f t="shared" si="60"/>
        <v>Adult</v>
      </c>
      <c r="G686" s="5" t="s">
        <v>11</v>
      </c>
      <c r="H686" s="8">
        <v>2</v>
      </c>
      <c r="I686" s="2">
        <v>25</v>
      </c>
      <c r="J686" s="2">
        <v>50</v>
      </c>
      <c r="K686" t="str">
        <f t="shared" si="61"/>
        <v>Low</v>
      </c>
      <c r="L686" s="12">
        <f t="shared" si="62"/>
        <v>2023</v>
      </c>
      <c r="M686" s="12">
        <f t="shared" si="63"/>
        <v>2</v>
      </c>
      <c r="N686" s="5" t="str">
        <f t="shared" si="64"/>
        <v>Friday</v>
      </c>
      <c r="O686" s="5" t="str">
        <f t="shared" si="65"/>
        <v>June</v>
      </c>
    </row>
    <row r="687" spans="1:15" x14ac:dyDescent="0.3">
      <c r="A687" s="8">
        <v>686</v>
      </c>
      <c r="B687" s="25">
        <v>45126</v>
      </c>
      <c r="C687" s="5" t="s">
        <v>694</v>
      </c>
      <c r="D687" s="5" t="s">
        <v>8</v>
      </c>
      <c r="E687" s="12">
        <v>28</v>
      </c>
      <c r="F687" s="2" t="str">
        <f t="shared" si="60"/>
        <v>Young</v>
      </c>
      <c r="G687" s="5" t="s">
        <v>11</v>
      </c>
      <c r="H687" s="8">
        <v>4</v>
      </c>
      <c r="I687" s="2">
        <v>50</v>
      </c>
      <c r="J687" s="2">
        <v>200</v>
      </c>
      <c r="K687" t="str">
        <f t="shared" si="61"/>
        <v>Low</v>
      </c>
      <c r="L687" s="12">
        <f t="shared" si="62"/>
        <v>2023</v>
      </c>
      <c r="M687" s="12">
        <f t="shared" si="63"/>
        <v>3</v>
      </c>
      <c r="N687" s="5" t="str">
        <f t="shared" si="64"/>
        <v>Wednesday</v>
      </c>
      <c r="O687" s="5" t="str">
        <f t="shared" si="65"/>
        <v>July</v>
      </c>
    </row>
    <row r="688" spans="1:15" x14ac:dyDescent="0.3">
      <c r="A688" s="8">
        <v>687</v>
      </c>
      <c r="B688" s="25">
        <v>45141</v>
      </c>
      <c r="C688" s="5" t="s">
        <v>695</v>
      </c>
      <c r="D688" s="5" t="s">
        <v>8</v>
      </c>
      <c r="E688" s="12">
        <v>53</v>
      </c>
      <c r="F688" s="2" t="str">
        <f t="shared" si="60"/>
        <v>Adult</v>
      </c>
      <c r="G688" s="5" t="s">
        <v>11</v>
      </c>
      <c r="H688" s="8">
        <v>1</v>
      </c>
      <c r="I688" s="2">
        <v>300</v>
      </c>
      <c r="J688" s="2">
        <v>300</v>
      </c>
      <c r="K688" t="str">
        <f t="shared" si="61"/>
        <v>Low</v>
      </c>
      <c r="L688" s="12">
        <f t="shared" si="62"/>
        <v>2023</v>
      </c>
      <c r="M688" s="12">
        <f t="shared" si="63"/>
        <v>3</v>
      </c>
      <c r="N688" s="5" t="str">
        <f t="shared" si="64"/>
        <v>Thursday</v>
      </c>
      <c r="O688" s="5" t="str">
        <f t="shared" si="65"/>
        <v>August</v>
      </c>
    </row>
    <row r="689" spans="1:15" x14ac:dyDescent="0.3">
      <c r="A689" s="8">
        <v>688</v>
      </c>
      <c r="B689" s="25">
        <v>45202</v>
      </c>
      <c r="C689" s="5" t="s">
        <v>696</v>
      </c>
      <c r="D689" s="5" t="s">
        <v>5</v>
      </c>
      <c r="E689" s="12">
        <v>56</v>
      </c>
      <c r="F689" s="2" t="str">
        <f t="shared" si="60"/>
        <v>Adult</v>
      </c>
      <c r="G689" s="5" t="s">
        <v>9</v>
      </c>
      <c r="H689" s="8">
        <v>4</v>
      </c>
      <c r="I689" s="2">
        <v>25</v>
      </c>
      <c r="J689" s="2">
        <v>100</v>
      </c>
      <c r="K689" t="str">
        <f t="shared" si="61"/>
        <v>Low</v>
      </c>
      <c r="L689" s="12">
        <f t="shared" si="62"/>
        <v>2023</v>
      </c>
      <c r="M689" s="12">
        <f t="shared" si="63"/>
        <v>4</v>
      </c>
      <c r="N689" s="5" t="str">
        <f t="shared" si="64"/>
        <v>Tuesday</v>
      </c>
      <c r="O689" s="5" t="str">
        <f t="shared" si="65"/>
        <v>October</v>
      </c>
    </row>
    <row r="690" spans="1:15" x14ac:dyDescent="0.3">
      <c r="A690" s="8">
        <v>689</v>
      </c>
      <c r="B690" s="25">
        <v>45206</v>
      </c>
      <c r="C690" s="5" t="s">
        <v>697</v>
      </c>
      <c r="D690" s="5" t="s">
        <v>5</v>
      </c>
      <c r="E690" s="12">
        <v>57</v>
      </c>
      <c r="F690" s="2" t="str">
        <f t="shared" si="60"/>
        <v>Adult</v>
      </c>
      <c r="G690" s="5" t="s">
        <v>11</v>
      </c>
      <c r="H690" s="8">
        <v>2</v>
      </c>
      <c r="I690" s="2">
        <v>50</v>
      </c>
      <c r="J690" s="2">
        <v>100</v>
      </c>
      <c r="K690" t="str">
        <f t="shared" si="61"/>
        <v>Low</v>
      </c>
      <c r="L690" s="12">
        <f t="shared" si="62"/>
        <v>2023</v>
      </c>
      <c r="M690" s="12">
        <f t="shared" si="63"/>
        <v>4</v>
      </c>
      <c r="N690" s="5" t="str">
        <f t="shared" si="64"/>
        <v>Saturday</v>
      </c>
      <c r="O690" s="5" t="str">
        <f t="shared" si="65"/>
        <v>October</v>
      </c>
    </row>
    <row r="691" spans="1:15" x14ac:dyDescent="0.3">
      <c r="A691" s="8">
        <v>690</v>
      </c>
      <c r="B691" s="25">
        <v>45235</v>
      </c>
      <c r="C691" s="5" t="s">
        <v>698</v>
      </c>
      <c r="D691" s="5" t="s">
        <v>8</v>
      </c>
      <c r="E691" s="12">
        <v>52</v>
      </c>
      <c r="F691" s="2" t="str">
        <f t="shared" si="60"/>
        <v>Adult</v>
      </c>
      <c r="G691" s="5" t="s">
        <v>9</v>
      </c>
      <c r="H691" s="8">
        <v>3</v>
      </c>
      <c r="I691" s="2">
        <v>300</v>
      </c>
      <c r="J691" s="2">
        <v>900</v>
      </c>
      <c r="K691" t="str">
        <f t="shared" si="61"/>
        <v>Medium</v>
      </c>
      <c r="L691" s="12">
        <f t="shared" si="62"/>
        <v>2023</v>
      </c>
      <c r="M691" s="12">
        <f t="shared" si="63"/>
        <v>4</v>
      </c>
      <c r="N691" s="5" t="str">
        <f t="shared" si="64"/>
        <v>Sunday</v>
      </c>
      <c r="O691" s="5" t="str">
        <f t="shared" si="65"/>
        <v>November</v>
      </c>
    </row>
    <row r="692" spans="1:15" x14ac:dyDescent="0.3">
      <c r="A692" s="8">
        <v>691</v>
      </c>
      <c r="B692" s="25">
        <v>45039</v>
      </c>
      <c r="C692" s="5" t="s">
        <v>699</v>
      </c>
      <c r="D692" s="5" t="s">
        <v>8</v>
      </c>
      <c r="E692" s="12">
        <v>51</v>
      </c>
      <c r="F692" s="2" t="str">
        <f t="shared" si="60"/>
        <v>Adult</v>
      </c>
      <c r="G692" s="5" t="s">
        <v>9</v>
      </c>
      <c r="H692" s="8">
        <v>3</v>
      </c>
      <c r="I692" s="2">
        <v>30</v>
      </c>
      <c r="J692" s="2">
        <v>90</v>
      </c>
      <c r="K692" t="str">
        <f t="shared" si="61"/>
        <v>Low</v>
      </c>
      <c r="L692" s="12">
        <f t="shared" si="62"/>
        <v>2023</v>
      </c>
      <c r="M692" s="12">
        <f t="shared" si="63"/>
        <v>2</v>
      </c>
      <c r="N692" s="5" t="str">
        <f t="shared" si="64"/>
        <v>Sunday</v>
      </c>
      <c r="O692" s="5" t="str">
        <f t="shared" si="65"/>
        <v>April</v>
      </c>
    </row>
    <row r="693" spans="1:15" x14ac:dyDescent="0.3">
      <c r="A693" s="8">
        <v>692</v>
      </c>
      <c r="B693" s="25">
        <v>45176</v>
      </c>
      <c r="C693" s="5" t="s">
        <v>700</v>
      </c>
      <c r="D693" s="5" t="s">
        <v>8</v>
      </c>
      <c r="E693" s="12">
        <v>64</v>
      </c>
      <c r="F693" s="2" t="str">
        <f t="shared" si="60"/>
        <v>Senior</v>
      </c>
      <c r="G693" s="5" t="s">
        <v>9</v>
      </c>
      <c r="H693" s="8">
        <v>2</v>
      </c>
      <c r="I693" s="2">
        <v>50</v>
      </c>
      <c r="J693" s="2">
        <v>100</v>
      </c>
      <c r="K693" t="str">
        <f t="shared" si="61"/>
        <v>Low</v>
      </c>
      <c r="L693" s="12">
        <f t="shared" si="62"/>
        <v>2023</v>
      </c>
      <c r="M693" s="12">
        <f t="shared" si="63"/>
        <v>3</v>
      </c>
      <c r="N693" s="5" t="str">
        <f t="shared" si="64"/>
        <v>Thursday</v>
      </c>
      <c r="O693" s="5" t="str">
        <f t="shared" si="65"/>
        <v>September</v>
      </c>
    </row>
    <row r="694" spans="1:15" x14ac:dyDescent="0.3">
      <c r="A694" s="8">
        <v>693</v>
      </c>
      <c r="B694" s="25">
        <v>45039</v>
      </c>
      <c r="C694" s="5" t="s">
        <v>701</v>
      </c>
      <c r="D694" s="5" t="s">
        <v>5</v>
      </c>
      <c r="E694" s="12">
        <v>41</v>
      </c>
      <c r="F694" s="2" t="str">
        <f t="shared" si="60"/>
        <v>Adult</v>
      </c>
      <c r="G694" s="5" t="s">
        <v>6</v>
      </c>
      <c r="H694" s="8">
        <v>3</v>
      </c>
      <c r="I694" s="2">
        <v>500</v>
      </c>
      <c r="J694" s="2">
        <v>1500</v>
      </c>
      <c r="K694" t="str">
        <f t="shared" si="61"/>
        <v>Medium</v>
      </c>
      <c r="L694" s="12">
        <f t="shared" si="62"/>
        <v>2023</v>
      </c>
      <c r="M694" s="12">
        <f t="shared" si="63"/>
        <v>2</v>
      </c>
      <c r="N694" s="5" t="str">
        <f t="shared" si="64"/>
        <v>Sunday</v>
      </c>
      <c r="O694" s="5" t="str">
        <f t="shared" si="65"/>
        <v>April</v>
      </c>
    </row>
    <row r="695" spans="1:15" x14ac:dyDescent="0.3">
      <c r="A695" s="8">
        <v>694</v>
      </c>
      <c r="B695" s="25">
        <v>45066</v>
      </c>
      <c r="C695" s="5" t="s">
        <v>702</v>
      </c>
      <c r="D695" s="5" t="s">
        <v>8</v>
      </c>
      <c r="E695" s="12">
        <v>39</v>
      </c>
      <c r="F695" s="2" t="str">
        <f t="shared" si="60"/>
        <v>Adult</v>
      </c>
      <c r="G695" s="5" t="s">
        <v>11</v>
      </c>
      <c r="H695" s="8">
        <v>2</v>
      </c>
      <c r="I695" s="2">
        <v>25</v>
      </c>
      <c r="J695" s="2">
        <v>50</v>
      </c>
      <c r="K695" t="str">
        <f t="shared" si="61"/>
        <v>Low</v>
      </c>
      <c r="L695" s="12">
        <f t="shared" si="62"/>
        <v>2023</v>
      </c>
      <c r="M695" s="12">
        <f t="shared" si="63"/>
        <v>2</v>
      </c>
      <c r="N695" s="5" t="str">
        <f t="shared" si="64"/>
        <v>Saturday</v>
      </c>
      <c r="O695" s="5" t="str">
        <f t="shared" si="65"/>
        <v>May</v>
      </c>
    </row>
    <row r="696" spans="1:15" x14ac:dyDescent="0.3">
      <c r="A696" s="8">
        <v>695</v>
      </c>
      <c r="B696" s="25">
        <v>45150</v>
      </c>
      <c r="C696" s="5" t="s">
        <v>703</v>
      </c>
      <c r="D696" s="5" t="s">
        <v>8</v>
      </c>
      <c r="E696" s="12">
        <v>22</v>
      </c>
      <c r="F696" s="2" t="str">
        <f t="shared" si="60"/>
        <v>Young</v>
      </c>
      <c r="G696" s="5" t="s">
        <v>11</v>
      </c>
      <c r="H696" s="8">
        <v>3</v>
      </c>
      <c r="I696" s="2">
        <v>50</v>
      </c>
      <c r="J696" s="2">
        <v>150</v>
      </c>
      <c r="K696" t="str">
        <f t="shared" si="61"/>
        <v>Low</v>
      </c>
      <c r="L696" s="12">
        <f t="shared" si="62"/>
        <v>2023</v>
      </c>
      <c r="M696" s="12">
        <f t="shared" si="63"/>
        <v>3</v>
      </c>
      <c r="N696" s="5" t="str">
        <f t="shared" si="64"/>
        <v>Saturday</v>
      </c>
      <c r="O696" s="5" t="str">
        <f t="shared" si="65"/>
        <v>August</v>
      </c>
    </row>
    <row r="697" spans="1:15" x14ac:dyDescent="0.3">
      <c r="A697" s="8">
        <v>696</v>
      </c>
      <c r="B697" s="25">
        <v>45175</v>
      </c>
      <c r="C697" s="5" t="s">
        <v>704</v>
      </c>
      <c r="D697" s="5" t="s">
        <v>8</v>
      </c>
      <c r="E697" s="12">
        <v>50</v>
      </c>
      <c r="F697" s="2" t="str">
        <f t="shared" si="60"/>
        <v>Adult</v>
      </c>
      <c r="G697" s="5" t="s">
        <v>9</v>
      </c>
      <c r="H697" s="8">
        <v>4</v>
      </c>
      <c r="I697" s="2">
        <v>50</v>
      </c>
      <c r="J697" s="2">
        <v>200</v>
      </c>
      <c r="K697" t="str">
        <f t="shared" si="61"/>
        <v>Low</v>
      </c>
      <c r="L697" s="12">
        <f t="shared" si="62"/>
        <v>2023</v>
      </c>
      <c r="M697" s="12">
        <f t="shared" si="63"/>
        <v>3</v>
      </c>
      <c r="N697" s="5" t="str">
        <f t="shared" si="64"/>
        <v>Wednesday</v>
      </c>
      <c r="O697" s="5" t="str">
        <f t="shared" si="65"/>
        <v>September</v>
      </c>
    </row>
    <row r="698" spans="1:15" x14ac:dyDescent="0.3">
      <c r="A698" s="8">
        <v>697</v>
      </c>
      <c r="B698" s="25">
        <v>44941</v>
      </c>
      <c r="C698" s="5" t="s">
        <v>705</v>
      </c>
      <c r="D698" s="5" t="s">
        <v>5</v>
      </c>
      <c r="E698" s="12">
        <v>53</v>
      </c>
      <c r="F698" s="2" t="str">
        <f t="shared" si="60"/>
        <v>Adult</v>
      </c>
      <c r="G698" s="5" t="s">
        <v>9</v>
      </c>
      <c r="H698" s="8">
        <v>1</v>
      </c>
      <c r="I698" s="2">
        <v>500</v>
      </c>
      <c r="J698" s="2">
        <v>500</v>
      </c>
      <c r="K698" t="str">
        <f t="shared" si="61"/>
        <v>Low</v>
      </c>
      <c r="L698" s="12">
        <f t="shared" si="62"/>
        <v>2023</v>
      </c>
      <c r="M698" s="12">
        <f t="shared" si="63"/>
        <v>1</v>
      </c>
      <c r="N698" s="5" t="str">
        <f t="shared" si="64"/>
        <v>Sunday</v>
      </c>
      <c r="O698" s="5" t="str">
        <f t="shared" si="65"/>
        <v>January</v>
      </c>
    </row>
    <row r="699" spans="1:15" x14ac:dyDescent="0.3">
      <c r="A699" s="8">
        <v>698</v>
      </c>
      <c r="B699" s="25">
        <v>45126</v>
      </c>
      <c r="C699" s="5" t="s">
        <v>706</v>
      </c>
      <c r="D699" s="5" t="s">
        <v>8</v>
      </c>
      <c r="E699" s="12">
        <v>64</v>
      </c>
      <c r="F699" s="2" t="str">
        <f t="shared" si="60"/>
        <v>Senior</v>
      </c>
      <c r="G699" s="5" t="s">
        <v>11</v>
      </c>
      <c r="H699" s="8">
        <v>1</v>
      </c>
      <c r="I699" s="2">
        <v>300</v>
      </c>
      <c r="J699" s="2">
        <v>300</v>
      </c>
      <c r="K699" t="str">
        <f t="shared" si="61"/>
        <v>Low</v>
      </c>
      <c r="L699" s="12">
        <f t="shared" si="62"/>
        <v>2023</v>
      </c>
      <c r="M699" s="12">
        <f t="shared" si="63"/>
        <v>3</v>
      </c>
      <c r="N699" s="5" t="str">
        <f t="shared" si="64"/>
        <v>Wednesday</v>
      </c>
      <c r="O699" s="5" t="str">
        <f t="shared" si="65"/>
        <v>July</v>
      </c>
    </row>
    <row r="700" spans="1:15" x14ac:dyDescent="0.3">
      <c r="A700" s="8">
        <v>699</v>
      </c>
      <c r="B700" s="25">
        <v>45099</v>
      </c>
      <c r="C700" s="5" t="s">
        <v>707</v>
      </c>
      <c r="D700" s="5" t="s">
        <v>8</v>
      </c>
      <c r="E700" s="12">
        <v>37</v>
      </c>
      <c r="F700" s="2" t="str">
        <f t="shared" si="60"/>
        <v>Adult</v>
      </c>
      <c r="G700" s="5" t="s">
        <v>9</v>
      </c>
      <c r="H700" s="8">
        <v>4</v>
      </c>
      <c r="I700" s="2">
        <v>30</v>
      </c>
      <c r="J700" s="2">
        <v>120</v>
      </c>
      <c r="K700" t="str">
        <f t="shared" si="61"/>
        <v>Low</v>
      </c>
      <c r="L700" s="12">
        <f t="shared" si="62"/>
        <v>2023</v>
      </c>
      <c r="M700" s="12">
        <f t="shared" si="63"/>
        <v>2</v>
      </c>
      <c r="N700" s="5" t="str">
        <f t="shared" si="64"/>
        <v>Thursday</v>
      </c>
      <c r="O700" s="5" t="str">
        <f t="shared" si="65"/>
        <v>June</v>
      </c>
    </row>
    <row r="701" spans="1:15" x14ac:dyDescent="0.3">
      <c r="A701" s="8">
        <v>700</v>
      </c>
      <c r="B701" s="25">
        <v>45269</v>
      </c>
      <c r="C701" s="5" t="s">
        <v>708</v>
      </c>
      <c r="D701" s="5" t="s">
        <v>5</v>
      </c>
      <c r="E701" s="12">
        <v>36</v>
      </c>
      <c r="F701" s="2" t="str">
        <f t="shared" si="60"/>
        <v>Adult</v>
      </c>
      <c r="G701" s="5" t="s">
        <v>11</v>
      </c>
      <c r="H701" s="8">
        <v>4</v>
      </c>
      <c r="I701" s="2">
        <v>500</v>
      </c>
      <c r="J701" s="2">
        <v>2000</v>
      </c>
      <c r="K701" t="str">
        <f t="shared" si="61"/>
        <v>High</v>
      </c>
      <c r="L701" s="12">
        <f t="shared" si="62"/>
        <v>2023</v>
      </c>
      <c r="M701" s="12">
        <f t="shared" si="63"/>
        <v>4</v>
      </c>
      <c r="N701" s="5" t="str">
        <f t="shared" si="64"/>
        <v>Saturday</v>
      </c>
      <c r="O701" s="5" t="str">
        <f t="shared" si="65"/>
        <v>December</v>
      </c>
    </row>
    <row r="702" spans="1:15" x14ac:dyDescent="0.3">
      <c r="A702" s="8">
        <v>701</v>
      </c>
      <c r="B702" s="25">
        <v>45274</v>
      </c>
      <c r="C702" s="5" t="s">
        <v>709</v>
      </c>
      <c r="D702" s="5" t="s">
        <v>8</v>
      </c>
      <c r="E702" s="12">
        <v>52</v>
      </c>
      <c r="F702" s="2" t="str">
        <f t="shared" si="60"/>
        <v>Adult</v>
      </c>
      <c r="G702" s="5" t="s">
        <v>6</v>
      </c>
      <c r="H702" s="8">
        <v>2</v>
      </c>
      <c r="I702" s="2">
        <v>30</v>
      </c>
      <c r="J702" s="2">
        <v>60</v>
      </c>
      <c r="K702" t="str">
        <f t="shared" si="61"/>
        <v>Low</v>
      </c>
      <c r="L702" s="12">
        <f t="shared" si="62"/>
        <v>2023</v>
      </c>
      <c r="M702" s="12">
        <f t="shared" si="63"/>
        <v>4</v>
      </c>
      <c r="N702" s="5" t="str">
        <f t="shared" si="64"/>
        <v>Thursday</v>
      </c>
      <c r="O702" s="5" t="str">
        <f t="shared" si="65"/>
        <v>December</v>
      </c>
    </row>
    <row r="703" spans="1:15" x14ac:dyDescent="0.3">
      <c r="A703" s="8">
        <v>702</v>
      </c>
      <c r="B703" s="25">
        <v>45134</v>
      </c>
      <c r="C703" s="5" t="s">
        <v>710</v>
      </c>
      <c r="D703" s="5" t="s">
        <v>8</v>
      </c>
      <c r="E703" s="12">
        <v>60</v>
      </c>
      <c r="F703" s="2" t="str">
        <f t="shared" si="60"/>
        <v>Adult</v>
      </c>
      <c r="G703" s="5" t="s">
        <v>9</v>
      </c>
      <c r="H703" s="8">
        <v>2</v>
      </c>
      <c r="I703" s="2">
        <v>300</v>
      </c>
      <c r="J703" s="2">
        <v>600</v>
      </c>
      <c r="K703" t="str">
        <f t="shared" si="61"/>
        <v>Medium</v>
      </c>
      <c r="L703" s="12">
        <f t="shared" si="62"/>
        <v>2023</v>
      </c>
      <c r="M703" s="12">
        <f t="shared" si="63"/>
        <v>3</v>
      </c>
      <c r="N703" s="5" t="str">
        <f t="shared" si="64"/>
        <v>Thursday</v>
      </c>
      <c r="O703" s="5" t="str">
        <f t="shared" si="65"/>
        <v>July</v>
      </c>
    </row>
    <row r="704" spans="1:15" x14ac:dyDescent="0.3">
      <c r="A704" s="8">
        <v>703</v>
      </c>
      <c r="B704" s="25">
        <v>45011</v>
      </c>
      <c r="C704" s="5" t="s">
        <v>711</v>
      </c>
      <c r="D704" s="5" t="s">
        <v>5</v>
      </c>
      <c r="E704" s="12">
        <v>34</v>
      </c>
      <c r="F704" s="2" t="str">
        <f t="shared" si="60"/>
        <v>Adult</v>
      </c>
      <c r="G704" s="5" t="s">
        <v>11</v>
      </c>
      <c r="H704" s="8">
        <v>2</v>
      </c>
      <c r="I704" s="2">
        <v>50</v>
      </c>
      <c r="J704" s="2">
        <v>100</v>
      </c>
      <c r="K704" t="str">
        <f t="shared" si="61"/>
        <v>Low</v>
      </c>
      <c r="L704" s="12">
        <f t="shared" si="62"/>
        <v>2023</v>
      </c>
      <c r="M704" s="12">
        <f t="shared" si="63"/>
        <v>1</v>
      </c>
      <c r="N704" s="5" t="str">
        <f t="shared" si="64"/>
        <v>Sunday</v>
      </c>
      <c r="O704" s="5" t="str">
        <f t="shared" si="65"/>
        <v>March</v>
      </c>
    </row>
    <row r="705" spans="1:15" x14ac:dyDescent="0.3">
      <c r="A705" s="8">
        <v>704</v>
      </c>
      <c r="B705" s="25">
        <v>45166</v>
      </c>
      <c r="C705" s="5" t="s">
        <v>712</v>
      </c>
      <c r="D705" s="5" t="s">
        <v>8</v>
      </c>
      <c r="E705" s="12">
        <v>62</v>
      </c>
      <c r="F705" s="2" t="str">
        <f t="shared" si="60"/>
        <v>Senior</v>
      </c>
      <c r="G705" s="5" t="s">
        <v>9</v>
      </c>
      <c r="H705" s="8">
        <v>3</v>
      </c>
      <c r="I705" s="2">
        <v>30</v>
      </c>
      <c r="J705" s="2">
        <v>90</v>
      </c>
      <c r="K705" t="str">
        <f t="shared" si="61"/>
        <v>Low</v>
      </c>
      <c r="L705" s="12">
        <f t="shared" si="62"/>
        <v>2023</v>
      </c>
      <c r="M705" s="12">
        <f t="shared" si="63"/>
        <v>3</v>
      </c>
      <c r="N705" s="5" t="str">
        <f t="shared" si="64"/>
        <v>Monday</v>
      </c>
      <c r="O705" s="5" t="str">
        <f t="shared" si="65"/>
        <v>August</v>
      </c>
    </row>
    <row r="706" spans="1:15" x14ac:dyDescent="0.3">
      <c r="A706" s="8">
        <v>705</v>
      </c>
      <c r="B706" s="25">
        <v>44992</v>
      </c>
      <c r="C706" s="5" t="s">
        <v>713</v>
      </c>
      <c r="D706" s="5" t="s">
        <v>5</v>
      </c>
      <c r="E706" s="12">
        <v>60</v>
      </c>
      <c r="F706" s="2" t="str">
        <f t="shared" si="60"/>
        <v>Adult</v>
      </c>
      <c r="G706" s="5" t="s">
        <v>11</v>
      </c>
      <c r="H706" s="8">
        <v>2</v>
      </c>
      <c r="I706" s="2">
        <v>25</v>
      </c>
      <c r="J706" s="2">
        <v>50</v>
      </c>
      <c r="K706" t="str">
        <f t="shared" si="61"/>
        <v>Low</v>
      </c>
      <c r="L706" s="12">
        <f t="shared" si="62"/>
        <v>2023</v>
      </c>
      <c r="M706" s="12">
        <f t="shared" si="63"/>
        <v>1</v>
      </c>
      <c r="N706" s="5" t="str">
        <f t="shared" si="64"/>
        <v>Tuesday</v>
      </c>
      <c r="O706" s="5" t="str">
        <f t="shared" si="65"/>
        <v>March</v>
      </c>
    </row>
    <row r="707" spans="1:15" x14ac:dyDescent="0.3">
      <c r="A707" s="8">
        <v>706</v>
      </c>
      <c r="B707" s="25">
        <v>45245</v>
      </c>
      <c r="C707" s="5" t="s">
        <v>714</v>
      </c>
      <c r="D707" s="5" t="s">
        <v>5</v>
      </c>
      <c r="E707" s="12">
        <v>51</v>
      </c>
      <c r="F707" s="2" t="str">
        <f t="shared" ref="F707:F770" si="66">IF(E707&gt;60,"Senior",IF(E707&gt;30,"Adult","Young"))</f>
        <v>Adult</v>
      </c>
      <c r="G707" s="5" t="s">
        <v>11</v>
      </c>
      <c r="H707" s="8">
        <v>4</v>
      </c>
      <c r="I707" s="2">
        <v>25</v>
      </c>
      <c r="J707" s="2">
        <v>100</v>
      </c>
      <c r="K707" t="str">
        <f t="shared" ref="K707:K770" si="67">IF(J707&gt;1500,"High",IF(J707&gt;500,"Medium","Low"))</f>
        <v>Low</v>
      </c>
      <c r="L707" s="12">
        <f t="shared" ref="L707:L770" si="68">YEAR(B707)</f>
        <v>2023</v>
      </c>
      <c r="M707" s="12">
        <f t="shared" ref="M707:M770" si="69">ROUNDUP(MONTH(B707)/3,0)</f>
        <v>4</v>
      </c>
      <c r="N707" s="5" t="str">
        <f t="shared" ref="N707:N770" si="70">TEXT(B707,"dddd")</f>
        <v>Wednesday</v>
      </c>
      <c r="O707" s="5" t="str">
        <f t="shared" ref="O707:O770" si="71">TEXT(B707,"mmmm")</f>
        <v>November</v>
      </c>
    </row>
    <row r="708" spans="1:15" x14ac:dyDescent="0.3">
      <c r="A708" s="8">
        <v>707</v>
      </c>
      <c r="B708" s="25">
        <v>45200</v>
      </c>
      <c r="C708" s="5" t="s">
        <v>715</v>
      </c>
      <c r="D708" s="5" t="s">
        <v>8</v>
      </c>
      <c r="E708" s="12">
        <v>26</v>
      </c>
      <c r="F708" s="2" t="str">
        <f t="shared" si="66"/>
        <v>Young</v>
      </c>
      <c r="G708" s="5" t="s">
        <v>9</v>
      </c>
      <c r="H708" s="8">
        <v>1</v>
      </c>
      <c r="I708" s="2">
        <v>500</v>
      </c>
      <c r="J708" s="2">
        <v>500</v>
      </c>
      <c r="K708" t="str">
        <f t="shared" si="67"/>
        <v>Low</v>
      </c>
      <c r="L708" s="12">
        <f t="shared" si="68"/>
        <v>2023</v>
      </c>
      <c r="M708" s="12">
        <f t="shared" si="69"/>
        <v>4</v>
      </c>
      <c r="N708" s="5" t="str">
        <f t="shared" si="70"/>
        <v>Sunday</v>
      </c>
      <c r="O708" s="5" t="str">
        <f t="shared" si="71"/>
        <v>October</v>
      </c>
    </row>
    <row r="709" spans="1:15" x14ac:dyDescent="0.3">
      <c r="A709" s="8">
        <v>708</v>
      </c>
      <c r="B709" s="25">
        <v>44940</v>
      </c>
      <c r="C709" s="5" t="s">
        <v>716</v>
      </c>
      <c r="D709" s="5" t="s">
        <v>8</v>
      </c>
      <c r="E709" s="12">
        <v>43</v>
      </c>
      <c r="F709" s="2" t="str">
        <f t="shared" si="66"/>
        <v>Adult</v>
      </c>
      <c r="G709" s="5" t="s">
        <v>6</v>
      </c>
      <c r="H709" s="8">
        <v>3</v>
      </c>
      <c r="I709" s="2">
        <v>300</v>
      </c>
      <c r="J709" s="2">
        <v>900</v>
      </c>
      <c r="K709" t="str">
        <f t="shared" si="67"/>
        <v>Medium</v>
      </c>
      <c r="L709" s="12">
        <f t="shared" si="68"/>
        <v>2023</v>
      </c>
      <c r="M709" s="12">
        <f t="shared" si="69"/>
        <v>1</v>
      </c>
      <c r="N709" s="5" t="str">
        <f t="shared" si="70"/>
        <v>Saturday</v>
      </c>
      <c r="O709" s="5" t="str">
        <f t="shared" si="71"/>
        <v>January</v>
      </c>
    </row>
    <row r="710" spans="1:15" x14ac:dyDescent="0.3">
      <c r="A710" s="8">
        <v>709</v>
      </c>
      <c r="B710" s="25">
        <v>45128</v>
      </c>
      <c r="C710" s="5" t="s">
        <v>717</v>
      </c>
      <c r="D710" s="5" t="s">
        <v>8</v>
      </c>
      <c r="E710" s="12">
        <v>19</v>
      </c>
      <c r="F710" s="2" t="str">
        <f t="shared" si="66"/>
        <v>Young</v>
      </c>
      <c r="G710" s="5" t="s">
        <v>11</v>
      </c>
      <c r="H710" s="8">
        <v>2</v>
      </c>
      <c r="I710" s="2">
        <v>500</v>
      </c>
      <c r="J710" s="2">
        <v>1000</v>
      </c>
      <c r="K710" t="str">
        <f t="shared" si="67"/>
        <v>Medium</v>
      </c>
      <c r="L710" s="12">
        <f t="shared" si="68"/>
        <v>2023</v>
      </c>
      <c r="M710" s="12">
        <f t="shared" si="69"/>
        <v>3</v>
      </c>
      <c r="N710" s="5" t="str">
        <f t="shared" si="70"/>
        <v>Friday</v>
      </c>
      <c r="O710" s="5" t="str">
        <f t="shared" si="71"/>
        <v>July</v>
      </c>
    </row>
    <row r="711" spans="1:15" x14ac:dyDescent="0.3">
      <c r="A711" s="8">
        <v>710</v>
      </c>
      <c r="B711" s="25">
        <v>45230</v>
      </c>
      <c r="C711" s="5" t="s">
        <v>718</v>
      </c>
      <c r="D711" s="5" t="s">
        <v>8</v>
      </c>
      <c r="E711" s="12">
        <v>26</v>
      </c>
      <c r="F711" s="2" t="str">
        <f t="shared" si="66"/>
        <v>Young</v>
      </c>
      <c r="G711" s="5" t="s">
        <v>11</v>
      </c>
      <c r="H711" s="8">
        <v>3</v>
      </c>
      <c r="I711" s="2">
        <v>500</v>
      </c>
      <c r="J711" s="2">
        <v>1500</v>
      </c>
      <c r="K711" t="str">
        <f t="shared" si="67"/>
        <v>Medium</v>
      </c>
      <c r="L711" s="12">
        <f t="shared" si="68"/>
        <v>2023</v>
      </c>
      <c r="M711" s="12">
        <f t="shared" si="69"/>
        <v>4</v>
      </c>
      <c r="N711" s="5" t="str">
        <f t="shared" si="70"/>
        <v>Tuesday</v>
      </c>
      <c r="O711" s="5" t="str">
        <f t="shared" si="71"/>
        <v>October</v>
      </c>
    </row>
    <row r="712" spans="1:15" x14ac:dyDescent="0.3">
      <c r="A712" s="8">
        <v>711</v>
      </c>
      <c r="B712" s="25">
        <v>45215</v>
      </c>
      <c r="C712" s="5" t="s">
        <v>719</v>
      </c>
      <c r="D712" s="5" t="s">
        <v>5</v>
      </c>
      <c r="E712" s="12">
        <v>26</v>
      </c>
      <c r="F712" s="2" t="str">
        <f t="shared" si="66"/>
        <v>Young</v>
      </c>
      <c r="G712" s="5" t="s">
        <v>11</v>
      </c>
      <c r="H712" s="8">
        <v>3</v>
      </c>
      <c r="I712" s="2">
        <v>500</v>
      </c>
      <c r="J712" s="2">
        <v>1500</v>
      </c>
      <c r="K712" t="str">
        <f t="shared" si="67"/>
        <v>Medium</v>
      </c>
      <c r="L712" s="12">
        <f t="shared" si="68"/>
        <v>2023</v>
      </c>
      <c r="M712" s="12">
        <f t="shared" si="69"/>
        <v>4</v>
      </c>
      <c r="N712" s="5" t="str">
        <f t="shared" si="70"/>
        <v>Monday</v>
      </c>
      <c r="O712" s="5" t="str">
        <f t="shared" si="71"/>
        <v>October</v>
      </c>
    </row>
    <row r="713" spans="1:15" x14ac:dyDescent="0.3">
      <c r="A713" s="8">
        <v>712</v>
      </c>
      <c r="B713" s="25">
        <v>45266</v>
      </c>
      <c r="C713" s="5" t="s">
        <v>720</v>
      </c>
      <c r="D713" s="5" t="s">
        <v>8</v>
      </c>
      <c r="E713" s="12">
        <v>57</v>
      </c>
      <c r="F713" s="2" t="str">
        <f t="shared" si="66"/>
        <v>Adult</v>
      </c>
      <c r="G713" s="5" t="s">
        <v>6</v>
      </c>
      <c r="H713" s="8">
        <v>2</v>
      </c>
      <c r="I713" s="2">
        <v>25</v>
      </c>
      <c r="J713" s="2">
        <v>50</v>
      </c>
      <c r="K713" t="str">
        <f t="shared" si="67"/>
        <v>Low</v>
      </c>
      <c r="L713" s="12">
        <f t="shared" si="68"/>
        <v>2023</v>
      </c>
      <c r="M713" s="12">
        <f t="shared" si="69"/>
        <v>4</v>
      </c>
      <c r="N713" s="5" t="str">
        <f t="shared" si="70"/>
        <v>Wednesday</v>
      </c>
      <c r="O713" s="5" t="str">
        <f t="shared" si="71"/>
        <v>December</v>
      </c>
    </row>
    <row r="714" spans="1:15" x14ac:dyDescent="0.3">
      <c r="A714" s="8">
        <v>713</v>
      </c>
      <c r="B714" s="25">
        <v>44940</v>
      </c>
      <c r="C714" s="5" t="s">
        <v>721</v>
      </c>
      <c r="D714" s="5" t="s">
        <v>5</v>
      </c>
      <c r="E714" s="12">
        <v>34</v>
      </c>
      <c r="F714" s="2" t="str">
        <f t="shared" si="66"/>
        <v>Adult</v>
      </c>
      <c r="G714" s="5" t="s">
        <v>6</v>
      </c>
      <c r="H714" s="8">
        <v>3</v>
      </c>
      <c r="I714" s="2">
        <v>25</v>
      </c>
      <c r="J714" s="2">
        <v>75</v>
      </c>
      <c r="K714" t="str">
        <f t="shared" si="67"/>
        <v>Low</v>
      </c>
      <c r="L714" s="12">
        <f t="shared" si="68"/>
        <v>2023</v>
      </c>
      <c r="M714" s="12">
        <f t="shared" si="69"/>
        <v>1</v>
      </c>
      <c r="N714" s="5" t="str">
        <f t="shared" si="70"/>
        <v>Saturday</v>
      </c>
      <c r="O714" s="5" t="str">
        <f t="shared" si="71"/>
        <v>January</v>
      </c>
    </row>
    <row r="715" spans="1:15" x14ac:dyDescent="0.3">
      <c r="A715" s="8">
        <v>714</v>
      </c>
      <c r="B715" s="25">
        <v>44969</v>
      </c>
      <c r="C715" s="5" t="s">
        <v>722</v>
      </c>
      <c r="D715" s="5" t="s">
        <v>8</v>
      </c>
      <c r="E715" s="12">
        <v>18</v>
      </c>
      <c r="F715" s="2" t="str">
        <f t="shared" si="66"/>
        <v>Young</v>
      </c>
      <c r="G715" s="5" t="s">
        <v>9</v>
      </c>
      <c r="H715" s="8">
        <v>1</v>
      </c>
      <c r="I715" s="2">
        <v>500</v>
      </c>
      <c r="J715" s="2">
        <v>500</v>
      </c>
      <c r="K715" t="str">
        <f t="shared" si="67"/>
        <v>Low</v>
      </c>
      <c r="L715" s="12">
        <f t="shared" si="68"/>
        <v>2023</v>
      </c>
      <c r="M715" s="12">
        <f t="shared" si="69"/>
        <v>1</v>
      </c>
      <c r="N715" s="5" t="str">
        <f t="shared" si="70"/>
        <v>Sunday</v>
      </c>
      <c r="O715" s="5" t="str">
        <f t="shared" si="71"/>
        <v>February</v>
      </c>
    </row>
    <row r="716" spans="1:15" x14ac:dyDescent="0.3">
      <c r="A716" s="8">
        <v>715</v>
      </c>
      <c r="B716" s="25">
        <v>45256</v>
      </c>
      <c r="C716" s="5" t="s">
        <v>723</v>
      </c>
      <c r="D716" s="5" t="s">
        <v>8</v>
      </c>
      <c r="E716" s="12">
        <v>42</v>
      </c>
      <c r="F716" s="2" t="str">
        <f t="shared" si="66"/>
        <v>Adult</v>
      </c>
      <c r="G716" s="5" t="s">
        <v>6</v>
      </c>
      <c r="H716" s="8">
        <v>4</v>
      </c>
      <c r="I716" s="2">
        <v>25</v>
      </c>
      <c r="J716" s="2">
        <v>100</v>
      </c>
      <c r="K716" t="str">
        <f t="shared" si="67"/>
        <v>Low</v>
      </c>
      <c r="L716" s="12">
        <f t="shared" si="68"/>
        <v>2023</v>
      </c>
      <c r="M716" s="12">
        <f t="shared" si="69"/>
        <v>4</v>
      </c>
      <c r="N716" s="5" t="str">
        <f t="shared" si="70"/>
        <v>Sunday</v>
      </c>
      <c r="O716" s="5" t="str">
        <f t="shared" si="71"/>
        <v>November</v>
      </c>
    </row>
    <row r="717" spans="1:15" x14ac:dyDescent="0.3">
      <c r="A717" s="8">
        <v>716</v>
      </c>
      <c r="B717" s="25">
        <v>45146</v>
      </c>
      <c r="C717" s="5" t="s">
        <v>724</v>
      </c>
      <c r="D717" s="5" t="s">
        <v>8</v>
      </c>
      <c r="E717" s="12">
        <v>60</v>
      </c>
      <c r="F717" s="2" t="str">
        <f t="shared" si="66"/>
        <v>Adult</v>
      </c>
      <c r="G717" s="5" t="s">
        <v>9</v>
      </c>
      <c r="H717" s="8">
        <v>4</v>
      </c>
      <c r="I717" s="2">
        <v>300</v>
      </c>
      <c r="J717" s="2">
        <v>1200</v>
      </c>
      <c r="K717" t="str">
        <f t="shared" si="67"/>
        <v>Medium</v>
      </c>
      <c r="L717" s="12">
        <f t="shared" si="68"/>
        <v>2023</v>
      </c>
      <c r="M717" s="12">
        <f t="shared" si="69"/>
        <v>3</v>
      </c>
      <c r="N717" s="5" t="str">
        <f t="shared" si="70"/>
        <v>Tuesday</v>
      </c>
      <c r="O717" s="5" t="str">
        <f t="shared" si="71"/>
        <v>August</v>
      </c>
    </row>
    <row r="718" spans="1:15" x14ac:dyDescent="0.3">
      <c r="A718" s="8">
        <v>717</v>
      </c>
      <c r="B718" s="25">
        <v>44996</v>
      </c>
      <c r="C718" s="5" t="s">
        <v>725</v>
      </c>
      <c r="D718" s="5" t="s">
        <v>5</v>
      </c>
      <c r="E718" s="12">
        <v>57</v>
      </c>
      <c r="F718" s="2" t="str">
        <f t="shared" si="66"/>
        <v>Adult</v>
      </c>
      <c r="G718" s="5" t="s">
        <v>9</v>
      </c>
      <c r="H718" s="8">
        <v>1</v>
      </c>
      <c r="I718" s="2">
        <v>500</v>
      </c>
      <c r="J718" s="2">
        <v>500</v>
      </c>
      <c r="K718" t="str">
        <f t="shared" si="67"/>
        <v>Low</v>
      </c>
      <c r="L718" s="12">
        <f t="shared" si="68"/>
        <v>2023</v>
      </c>
      <c r="M718" s="12">
        <f t="shared" si="69"/>
        <v>1</v>
      </c>
      <c r="N718" s="5" t="str">
        <f t="shared" si="70"/>
        <v>Saturday</v>
      </c>
      <c r="O718" s="5" t="str">
        <f t="shared" si="71"/>
        <v>March</v>
      </c>
    </row>
    <row r="719" spans="1:15" x14ac:dyDescent="0.3">
      <c r="A719" s="8">
        <v>718</v>
      </c>
      <c r="B719" s="25">
        <v>45163</v>
      </c>
      <c r="C719" s="5" t="s">
        <v>726</v>
      </c>
      <c r="D719" s="5" t="s">
        <v>8</v>
      </c>
      <c r="E719" s="12">
        <v>59</v>
      </c>
      <c r="F719" s="2" t="str">
        <f t="shared" si="66"/>
        <v>Adult</v>
      </c>
      <c r="G719" s="5" t="s">
        <v>6</v>
      </c>
      <c r="H719" s="8">
        <v>3</v>
      </c>
      <c r="I719" s="2">
        <v>25</v>
      </c>
      <c r="J719" s="2">
        <v>75</v>
      </c>
      <c r="K719" t="str">
        <f t="shared" si="67"/>
        <v>Low</v>
      </c>
      <c r="L719" s="12">
        <f t="shared" si="68"/>
        <v>2023</v>
      </c>
      <c r="M719" s="12">
        <f t="shared" si="69"/>
        <v>3</v>
      </c>
      <c r="N719" s="5" t="str">
        <f t="shared" si="70"/>
        <v>Friday</v>
      </c>
      <c r="O719" s="5" t="str">
        <f t="shared" si="71"/>
        <v>August</v>
      </c>
    </row>
    <row r="720" spans="1:15" x14ac:dyDescent="0.3">
      <c r="A720" s="8">
        <v>719</v>
      </c>
      <c r="B720" s="25">
        <v>45020</v>
      </c>
      <c r="C720" s="5" t="s">
        <v>727</v>
      </c>
      <c r="D720" s="5" t="s">
        <v>8</v>
      </c>
      <c r="E720" s="12">
        <v>42</v>
      </c>
      <c r="F720" s="2" t="str">
        <f t="shared" si="66"/>
        <v>Adult</v>
      </c>
      <c r="G720" s="5" t="s">
        <v>9</v>
      </c>
      <c r="H720" s="8">
        <v>2</v>
      </c>
      <c r="I720" s="2">
        <v>30</v>
      </c>
      <c r="J720" s="2">
        <v>60</v>
      </c>
      <c r="K720" t="str">
        <f t="shared" si="67"/>
        <v>Low</v>
      </c>
      <c r="L720" s="12">
        <f t="shared" si="68"/>
        <v>2023</v>
      </c>
      <c r="M720" s="12">
        <f t="shared" si="69"/>
        <v>2</v>
      </c>
      <c r="N720" s="5" t="str">
        <f t="shared" si="70"/>
        <v>Tuesday</v>
      </c>
      <c r="O720" s="5" t="str">
        <f t="shared" si="71"/>
        <v>April</v>
      </c>
    </row>
    <row r="721" spans="1:15" x14ac:dyDescent="0.3">
      <c r="A721" s="8">
        <v>720</v>
      </c>
      <c r="B721" s="25">
        <v>44952</v>
      </c>
      <c r="C721" s="5" t="s">
        <v>728</v>
      </c>
      <c r="D721" s="5" t="s">
        <v>8</v>
      </c>
      <c r="E721" s="12">
        <v>56</v>
      </c>
      <c r="F721" s="2" t="str">
        <f t="shared" si="66"/>
        <v>Adult</v>
      </c>
      <c r="G721" s="5" t="s">
        <v>6</v>
      </c>
      <c r="H721" s="8">
        <v>3</v>
      </c>
      <c r="I721" s="2">
        <v>500</v>
      </c>
      <c r="J721" s="2">
        <v>1500</v>
      </c>
      <c r="K721" t="str">
        <f t="shared" si="67"/>
        <v>Medium</v>
      </c>
      <c r="L721" s="12">
        <f t="shared" si="68"/>
        <v>2023</v>
      </c>
      <c r="M721" s="12">
        <f t="shared" si="69"/>
        <v>1</v>
      </c>
      <c r="N721" s="5" t="str">
        <f t="shared" si="70"/>
        <v>Thursday</v>
      </c>
      <c r="O721" s="5" t="str">
        <f t="shared" si="71"/>
        <v>January</v>
      </c>
    </row>
    <row r="722" spans="1:15" x14ac:dyDescent="0.3">
      <c r="A722" s="8">
        <v>721</v>
      </c>
      <c r="B722" s="25">
        <v>45060</v>
      </c>
      <c r="C722" s="5" t="s">
        <v>729</v>
      </c>
      <c r="D722" s="5" t="s">
        <v>8</v>
      </c>
      <c r="E722" s="12">
        <v>52</v>
      </c>
      <c r="F722" s="2" t="str">
        <f t="shared" si="66"/>
        <v>Adult</v>
      </c>
      <c r="G722" s="5" t="s">
        <v>9</v>
      </c>
      <c r="H722" s="8">
        <v>1</v>
      </c>
      <c r="I722" s="2">
        <v>500</v>
      </c>
      <c r="J722" s="2">
        <v>500</v>
      </c>
      <c r="K722" t="str">
        <f t="shared" si="67"/>
        <v>Low</v>
      </c>
      <c r="L722" s="12">
        <f t="shared" si="68"/>
        <v>2023</v>
      </c>
      <c r="M722" s="12">
        <f t="shared" si="69"/>
        <v>2</v>
      </c>
      <c r="N722" s="5" t="str">
        <f t="shared" si="70"/>
        <v>Sunday</v>
      </c>
      <c r="O722" s="5" t="str">
        <f t="shared" si="71"/>
        <v>May</v>
      </c>
    </row>
    <row r="723" spans="1:15" x14ac:dyDescent="0.3">
      <c r="A723" s="8">
        <v>722</v>
      </c>
      <c r="B723" s="25">
        <v>45121</v>
      </c>
      <c r="C723" s="5" t="s">
        <v>730</v>
      </c>
      <c r="D723" s="5" t="s">
        <v>5</v>
      </c>
      <c r="E723" s="12">
        <v>20</v>
      </c>
      <c r="F723" s="2" t="str">
        <f t="shared" si="66"/>
        <v>Young</v>
      </c>
      <c r="G723" s="5" t="s">
        <v>6</v>
      </c>
      <c r="H723" s="8">
        <v>3</v>
      </c>
      <c r="I723" s="2">
        <v>300</v>
      </c>
      <c r="J723" s="2">
        <v>900</v>
      </c>
      <c r="K723" t="str">
        <f t="shared" si="67"/>
        <v>Medium</v>
      </c>
      <c r="L723" s="12">
        <f t="shared" si="68"/>
        <v>2023</v>
      </c>
      <c r="M723" s="12">
        <f t="shared" si="69"/>
        <v>3</v>
      </c>
      <c r="N723" s="5" t="str">
        <f t="shared" si="70"/>
        <v>Friday</v>
      </c>
      <c r="O723" s="5" t="str">
        <f t="shared" si="71"/>
        <v>July</v>
      </c>
    </row>
    <row r="724" spans="1:15" x14ac:dyDescent="0.3">
      <c r="A724" s="8">
        <v>723</v>
      </c>
      <c r="B724" s="25">
        <v>45094</v>
      </c>
      <c r="C724" s="5" t="s">
        <v>731</v>
      </c>
      <c r="D724" s="5" t="s">
        <v>8</v>
      </c>
      <c r="E724" s="12">
        <v>54</v>
      </c>
      <c r="F724" s="2" t="str">
        <f t="shared" si="66"/>
        <v>Adult</v>
      </c>
      <c r="G724" s="5" t="s">
        <v>6</v>
      </c>
      <c r="H724" s="8">
        <v>4</v>
      </c>
      <c r="I724" s="2">
        <v>50</v>
      </c>
      <c r="J724" s="2">
        <v>200</v>
      </c>
      <c r="K724" t="str">
        <f t="shared" si="67"/>
        <v>Low</v>
      </c>
      <c r="L724" s="12">
        <f t="shared" si="68"/>
        <v>2023</v>
      </c>
      <c r="M724" s="12">
        <f t="shared" si="69"/>
        <v>2</v>
      </c>
      <c r="N724" s="5" t="str">
        <f t="shared" si="70"/>
        <v>Saturday</v>
      </c>
      <c r="O724" s="5" t="str">
        <f t="shared" si="71"/>
        <v>June</v>
      </c>
    </row>
    <row r="725" spans="1:15" x14ac:dyDescent="0.3">
      <c r="A725" s="8">
        <v>724</v>
      </c>
      <c r="B725" s="25">
        <v>45035</v>
      </c>
      <c r="C725" s="5" t="s">
        <v>732</v>
      </c>
      <c r="D725" s="5" t="s">
        <v>5</v>
      </c>
      <c r="E725" s="12">
        <v>61</v>
      </c>
      <c r="F725" s="2" t="str">
        <f t="shared" si="66"/>
        <v>Senior</v>
      </c>
      <c r="G725" s="5" t="s">
        <v>9</v>
      </c>
      <c r="H725" s="8">
        <v>3</v>
      </c>
      <c r="I725" s="2">
        <v>50</v>
      </c>
      <c r="J725" s="2">
        <v>150</v>
      </c>
      <c r="K725" t="str">
        <f t="shared" si="67"/>
        <v>Low</v>
      </c>
      <c r="L725" s="12">
        <f t="shared" si="68"/>
        <v>2023</v>
      </c>
      <c r="M725" s="12">
        <f t="shared" si="69"/>
        <v>2</v>
      </c>
      <c r="N725" s="5" t="str">
        <f t="shared" si="70"/>
        <v>Wednesday</v>
      </c>
      <c r="O725" s="5" t="str">
        <f t="shared" si="71"/>
        <v>April</v>
      </c>
    </row>
    <row r="726" spans="1:15" x14ac:dyDescent="0.3">
      <c r="A726" s="8">
        <v>725</v>
      </c>
      <c r="B726" s="25">
        <v>45159</v>
      </c>
      <c r="C726" s="5" t="s">
        <v>733</v>
      </c>
      <c r="D726" s="5" t="s">
        <v>5</v>
      </c>
      <c r="E726" s="12">
        <v>61</v>
      </c>
      <c r="F726" s="2" t="str">
        <f t="shared" si="66"/>
        <v>Senior</v>
      </c>
      <c r="G726" s="5" t="s">
        <v>11</v>
      </c>
      <c r="H726" s="8">
        <v>1</v>
      </c>
      <c r="I726" s="2">
        <v>300</v>
      </c>
      <c r="J726" s="2">
        <v>300</v>
      </c>
      <c r="K726" t="str">
        <f t="shared" si="67"/>
        <v>Low</v>
      </c>
      <c r="L726" s="12">
        <f t="shared" si="68"/>
        <v>2023</v>
      </c>
      <c r="M726" s="12">
        <f t="shared" si="69"/>
        <v>3</v>
      </c>
      <c r="N726" s="5" t="str">
        <f t="shared" si="70"/>
        <v>Monday</v>
      </c>
      <c r="O726" s="5" t="str">
        <f t="shared" si="71"/>
        <v>August</v>
      </c>
    </row>
    <row r="727" spans="1:15" x14ac:dyDescent="0.3">
      <c r="A727" s="8">
        <v>726</v>
      </c>
      <c r="B727" s="25">
        <v>45094</v>
      </c>
      <c r="C727" s="5" t="s">
        <v>734</v>
      </c>
      <c r="D727" s="5" t="s">
        <v>5</v>
      </c>
      <c r="E727" s="12">
        <v>47</v>
      </c>
      <c r="F727" s="2" t="str">
        <f t="shared" si="66"/>
        <v>Adult</v>
      </c>
      <c r="G727" s="5" t="s">
        <v>9</v>
      </c>
      <c r="H727" s="8">
        <v>4</v>
      </c>
      <c r="I727" s="2">
        <v>300</v>
      </c>
      <c r="J727" s="2">
        <v>1200</v>
      </c>
      <c r="K727" t="str">
        <f t="shared" si="67"/>
        <v>Medium</v>
      </c>
      <c r="L727" s="12">
        <f t="shared" si="68"/>
        <v>2023</v>
      </c>
      <c r="M727" s="12">
        <f t="shared" si="69"/>
        <v>2</v>
      </c>
      <c r="N727" s="5" t="str">
        <f t="shared" si="70"/>
        <v>Saturday</v>
      </c>
      <c r="O727" s="5" t="str">
        <f t="shared" si="71"/>
        <v>June</v>
      </c>
    </row>
    <row r="728" spans="1:15" x14ac:dyDescent="0.3">
      <c r="A728" s="8">
        <v>727</v>
      </c>
      <c r="B728" s="25">
        <v>45099</v>
      </c>
      <c r="C728" s="5" t="s">
        <v>735</v>
      </c>
      <c r="D728" s="5" t="s">
        <v>5</v>
      </c>
      <c r="E728" s="12">
        <v>55</v>
      </c>
      <c r="F728" s="2" t="str">
        <f t="shared" si="66"/>
        <v>Adult</v>
      </c>
      <c r="G728" s="5" t="s">
        <v>6</v>
      </c>
      <c r="H728" s="8">
        <v>3</v>
      </c>
      <c r="I728" s="2">
        <v>300</v>
      </c>
      <c r="J728" s="2">
        <v>900</v>
      </c>
      <c r="K728" t="str">
        <f t="shared" si="67"/>
        <v>Medium</v>
      </c>
      <c r="L728" s="12">
        <f t="shared" si="68"/>
        <v>2023</v>
      </c>
      <c r="M728" s="12">
        <f t="shared" si="69"/>
        <v>2</v>
      </c>
      <c r="N728" s="5" t="str">
        <f t="shared" si="70"/>
        <v>Thursday</v>
      </c>
      <c r="O728" s="5" t="str">
        <f t="shared" si="71"/>
        <v>June</v>
      </c>
    </row>
    <row r="729" spans="1:15" x14ac:dyDescent="0.3">
      <c r="A729" s="8">
        <v>728</v>
      </c>
      <c r="B729" s="25">
        <v>45121</v>
      </c>
      <c r="C729" s="5" t="s">
        <v>736</v>
      </c>
      <c r="D729" s="5" t="s">
        <v>5</v>
      </c>
      <c r="E729" s="12">
        <v>51</v>
      </c>
      <c r="F729" s="2" t="str">
        <f t="shared" si="66"/>
        <v>Adult</v>
      </c>
      <c r="G729" s="5" t="s">
        <v>11</v>
      </c>
      <c r="H729" s="8">
        <v>3</v>
      </c>
      <c r="I729" s="2">
        <v>50</v>
      </c>
      <c r="J729" s="2">
        <v>150</v>
      </c>
      <c r="K729" t="str">
        <f t="shared" si="67"/>
        <v>Low</v>
      </c>
      <c r="L729" s="12">
        <f t="shared" si="68"/>
        <v>2023</v>
      </c>
      <c r="M729" s="12">
        <f t="shared" si="69"/>
        <v>3</v>
      </c>
      <c r="N729" s="5" t="str">
        <f t="shared" si="70"/>
        <v>Friday</v>
      </c>
      <c r="O729" s="5" t="str">
        <f t="shared" si="71"/>
        <v>July</v>
      </c>
    </row>
    <row r="730" spans="1:15" x14ac:dyDescent="0.3">
      <c r="A730" s="8">
        <v>729</v>
      </c>
      <c r="B730" s="25">
        <v>45069</v>
      </c>
      <c r="C730" s="5" t="s">
        <v>737</v>
      </c>
      <c r="D730" s="5" t="s">
        <v>5</v>
      </c>
      <c r="E730" s="12">
        <v>29</v>
      </c>
      <c r="F730" s="2" t="str">
        <f t="shared" si="66"/>
        <v>Young</v>
      </c>
      <c r="G730" s="5" t="s">
        <v>9</v>
      </c>
      <c r="H730" s="8">
        <v>4</v>
      </c>
      <c r="I730" s="2">
        <v>300</v>
      </c>
      <c r="J730" s="2">
        <v>1200</v>
      </c>
      <c r="K730" t="str">
        <f t="shared" si="67"/>
        <v>Medium</v>
      </c>
      <c r="L730" s="12">
        <f t="shared" si="68"/>
        <v>2023</v>
      </c>
      <c r="M730" s="12">
        <f t="shared" si="69"/>
        <v>2</v>
      </c>
      <c r="N730" s="5" t="str">
        <f t="shared" si="70"/>
        <v>Tuesday</v>
      </c>
      <c r="O730" s="5" t="str">
        <f t="shared" si="71"/>
        <v>May</v>
      </c>
    </row>
    <row r="731" spans="1:15" x14ac:dyDescent="0.3">
      <c r="A731" s="8">
        <v>730</v>
      </c>
      <c r="B731" s="25">
        <v>45142</v>
      </c>
      <c r="C731" s="5" t="s">
        <v>738</v>
      </c>
      <c r="D731" s="5" t="s">
        <v>8</v>
      </c>
      <c r="E731" s="12">
        <v>36</v>
      </c>
      <c r="F731" s="2" t="str">
        <f t="shared" si="66"/>
        <v>Adult</v>
      </c>
      <c r="G731" s="5" t="s">
        <v>9</v>
      </c>
      <c r="H731" s="8">
        <v>2</v>
      </c>
      <c r="I731" s="2">
        <v>25</v>
      </c>
      <c r="J731" s="2">
        <v>50</v>
      </c>
      <c r="K731" t="str">
        <f t="shared" si="67"/>
        <v>Low</v>
      </c>
      <c r="L731" s="12">
        <f t="shared" si="68"/>
        <v>2023</v>
      </c>
      <c r="M731" s="12">
        <f t="shared" si="69"/>
        <v>3</v>
      </c>
      <c r="N731" s="5" t="str">
        <f t="shared" si="70"/>
        <v>Friday</v>
      </c>
      <c r="O731" s="5" t="str">
        <f t="shared" si="71"/>
        <v>August</v>
      </c>
    </row>
    <row r="732" spans="1:15" x14ac:dyDescent="0.3">
      <c r="A732" s="8">
        <v>731</v>
      </c>
      <c r="B732" s="25">
        <v>45056</v>
      </c>
      <c r="C732" s="5" t="s">
        <v>739</v>
      </c>
      <c r="D732" s="5" t="s">
        <v>5</v>
      </c>
      <c r="E732" s="12">
        <v>54</v>
      </c>
      <c r="F732" s="2" t="str">
        <f t="shared" si="66"/>
        <v>Adult</v>
      </c>
      <c r="G732" s="5" t="s">
        <v>9</v>
      </c>
      <c r="H732" s="8">
        <v>4</v>
      </c>
      <c r="I732" s="2">
        <v>500</v>
      </c>
      <c r="J732" s="2">
        <v>2000</v>
      </c>
      <c r="K732" t="str">
        <f t="shared" si="67"/>
        <v>High</v>
      </c>
      <c r="L732" s="12">
        <f t="shared" si="68"/>
        <v>2023</v>
      </c>
      <c r="M732" s="12">
        <f t="shared" si="69"/>
        <v>2</v>
      </c>
      <c r="N732" s="5" t="str">
        <f t="shared" si="70"/>
        <v>Wednesday</v>
      </c>
      <c r="O732" s="5" t="str">
        <f t="shared" si="71"/>
        <v>May</v>
      </c>
    </row>
    <row r="733" spans="1:15" x14ac:dyDescent="0.3">
      <c r="A733" s="8">
        <v>732</v>
      </c>
      <c r="B733" s="25">
        <v>44968</v>
      </c>
      <c r="C733" s="5" t="s">
        <v>740</v>
      </c>
      <c r="D733" s="5" t="s">
        <v>5</v>
      </c>
      <c r="E733" s="12">
        <v>61</v>
      </c>
      <c r="F733" s="2" t="str">
        <f t="shared" si="66"/>
        <v>Senior</v>
      </c>
      <c r="G733" s="5" t="s">
        <v>11</v>
      </c>
      <c r="H733" s="8">
        <v>2</v>
      </c>
      <c r="I733" s="2">
        <v>500</v>
      </c>
      <c r="J733" s="2">
        <v>1000</v>
      </c>
      <c r="K733" t="str">
        <f t="shared" si="67"/>
        <v>Medium</v>
      </c>
      <c r="L733" s="12">
        <f t="shared" si="68"/>
        <v>2023</v>
      </c>
      <c r="M733" s="12">
        <f t="shared" si="69"/>
        <v>1</v>
      </c>
      <c r="N733" s="5" t="str">
        <f t="shared" si="70"/>
        <v>Saturday</v>
      </c>
      <c r="O733" s="5" t="str">
        <f t="shared" si="71"/>
        <v>February</v>
      </c>
    </row>
    <row r="734" spans="1:15" x14ac:dyDescent="0.3">
      <c r="A734" s="8">
        <v>733</v>
      </c>
      <c r="B734" s="25">
        <v>45167</v>
      </c>
      <c r="C734" s="5" t="s">
        <v>741</v>
      </c>
      <c r="D734" s="5" t="s">
        <v>5</v>
      </c>
      <c r="E734" s="12">
        <v>34</v>
      </c>
      <c r="F734" s="2" t="str">
        <f t="shared" si="66"/>
        <v>Adult</v>
      </c>
      <c r="G734" s="5" t="s">
        <v>6</v>
      </c>
      <c r="H734" s="8">
        <v>1</v>
      </c>
      <c r="I734" s="2">
        <v>30</v>
      </c>
      <c r="J734" s="2">
        <v>30</v>
      </c>
      <c r="K734" t="str">
        <f t="shared" si="67"/>
        <v>Low</v>
      </c>
      <c r="L734" s="12">
        <f t="shared" si="68"/>
        <v>2023</v>
      </c>
      <c r="M734" s="12">
        <f t="shared" si="69"/>
        <v>3</v>
      </c>
      <c r="N734" s="5" t="str">
        <f t="shared" si="70"/>
        <v>Tuesday</v>
      </c>
      <c r="O734" s="5" t="str">
        <f t="shared" si="71"/>
        <v>August</v>
      </c>
    </row>
    <row r="735" spans="1:15" x14ac:dyDescent="0.3">
      <c r="A735" s="8">
        <v>734</v>
      </c>
      <c r="B735" s="25">
        <v>44936</v>
      </c>
      <c r="C735" s="5" t="s">
        <v>742</v>
      </c>
      <c r="D735" s="5" t="s">
        <v>8</v>
      </c>
      <c r="E735" s="12">
        <v>27</v>
      </c>
      <c r="F735" s="2" t="str">
        <f t="shared" si="66"/>
        <v>Young</v>
      </c>
      <c r="G735" s="5" t="s">
        <v>9</v>
      </c>
      <c r="H735" s="8">
        <v>1</v>
      </c>
      <c r="I735" s="2">
        <v>30</v>
      </c>
      <c r="J735" s="2">
        <v>30</v>
      </c>
      <c r="K735" t="str">
        <f t="shared" si="67"/>
        <v>Low</v>
      </c>
      <c r="L735" s="12">
        <f t="shared" si="68"/>
        <v>2023</v>
      </c>
      <c r="M735" s="12">
        <f t="shared" si="69"/>
        <v>1</v>
      </c>
      <c r="N735" s="5" t="str">
        <f t="shared" si="70"/>
        <v>Tuesday</v>
      </c>
      <c r="O735" s="5" t="str">
        <f t="shared" si="71"/>
        <v>January</v>
      </c>
    </row>
    <row r="736" spans="1:15" x14ac:dyDescent="0.3">
      <c r="A736" s="8">
        <v>735</v>
      </c>
      <c r="B736" s="25">
        <v>45203</v>
      </c>
      <c r="C736" s="5" t="s">
        <v>743</v>
      </c>
      <c r="D736" s="5" t="s">
        <v>8</v>
      </c>
      <c r="E736" s="12">
        <v>64</v>
      </c>
      <c r="F736" s="2" t="str">
        <f t="shared" si="66"/>
        <v>Senior</v>
      </c>
      <c r="G736" s="5" t="s">
        <v>9</v>
      </c>
      <c r="H736" s="8">
        <v>4</v>
      </c>
      <c r="I736" s="2">
        <v>500</v>
      </c>
      <c r="J736" s="2">
        <v>2000</v>
      </c>
      <c r="K736" t="str">
        <f t="shared" si="67"/>
        <v>High</v>
      </c>
      <c r="L736" s="12">
        <f t="shared" si="68"/>
        <v>2023</v>
      </c>
      <c r="M736" s="12">
        <f t="shared" si="69"/>
        <v>4</v>
      </c>
      <c r="N736" s="5" t="str">
        <f t="shared" si="70"/>
        <v>Wednesday</v>
      </c>
      <c r="O736" s="5" t="str">
        <f t="shared" si="71"/>
        <v>October</v>
      </c>
    </row>
    <row r="737" spans="1:15" x14ac:dyDescent="0.3">
      <c r="A737" s="8">
        <v>736</v>
      </c>
      <c r="B737" s="25">
        <v>44953</v>
      </c>
      <c r="C737" s="5" t="s">
        <v>744</v>
      </c>
      <c r="D737" s="5" t="s">
        <v>5</v>
      </c>
      <c r="E737" s="12">
        <v>29</v>
      </c>
      <c r="F737" s="2" t="str">
        <f t="shared" si="66"/>
        <v>Young</v>
      </c>
      <c r="G737" s="5" t="s">
        <v>9</v>
      </c>
      <c r="H737" s="8">
        <v>4</v>
      </c>
      <c r="I737" s="2">
        <v>25</v>
      </c>
      <c r="J737" s="2">
        <v>100</v>
      </c>
      <c r="K737" t="str">
        <f t="shared" si="67"/>
        <v>Low</v>
      </c>
      <c r="L737" s="12">
        <f t="shared" si="68"/>
        <v>2023</v>
      </c>
      <c r="M737" s="12">
        <f t="shared" si="69"/>
        <v>1</v>
      </c>
      <c r="N737" s="5" t="str">
        <f t="shared" si="70"/>
        <v>Friday</v>
      </c>
      <c r="O737" s="5" t="str">
        <f t="shared" si="71"/>
        <v>January</v>
      </c>
    </row>
    <row r="738" spans="1:15" x14ac:dyDescent="0.3">
      <c r="A738" s="8">
        <v>737</v>
      </c>
      <c r="B738" s="25">
        <v>45106</v>
      </c>
      <c r="C738" s="5" t="s">
        <v>745</v>
      </c>
      <c r="D738" s="5" t="s">
        <v>8</v>
      </c>
      <c r="E738" s="12">
        <v>33</v>
      </c>
      <c r="F738" s="2" t="str">
        <f t="shared" si="66"/>
        <v>Adult</v>
      </c>
      <c r="G738" s="5" t="s">
        <v>9</v>
      </c>
      <c r="H738" s="8">
        <v>1</v>
      </c>
      <c r="I738" s="2">
        <v>50</v>
      </c>
      <c r="J738" s="2">
        <v>50</v>
      </c>
      <c r="K738" t="str">
        <f t="shared" si="67"/>
        <v>Low</v>
      </c>
      <c r="L738" s="12">
        <f t="shared" si="68"/>
        <v>2023</v>
      </c>
      <c r="M738" s="12">
        <f t="shared" si="69"/>
        <v>2</v>
      </c>
      <c r="N738" s="5" t="str">
        <f t="shared" si="70"/>
        <v>Thursday</v>
      </c>
      <c r="O738" s="5" t="str">
        <f t="shared" si="71"/>
        <v>June</v>
      </c>
    </row>
    <row r="739" spans="1:15" x14ac:dyDescent="0.3">
      <c r="A739" s="8">
        <v>738</v>
      </c>
      <c r="B739" s="25">
        <v>45041</v>
      </c>
      <c r="C739" s="5" t="s">
        <v>746</v>
      </c>
      <c r="D739" s="5" t="s">
        <v>5</v>
      </c>
      <c r="E739" s="12">
        <v>41</v>
      </c>
      <c r="F739" s="2" t="str">
        <f t="shared" si="66"/>
        <v>Adult</v>
      </c>
      <c r="G739" s="5" t="s">
        <v>9</v>
      </c>
      <c r="H739" s="8">
        <v>2</v>
      </c>
      <c r="I739" s="2">
        <v>50</v>
      </c>
      <c r="J739" s="2">
        <v>100</v>
      </c>
      <c r="K739" t="str">
        <f t="shared" si="67"/>
        <v>Low</v>
      </c>
      <c r="L739" s="12">
        <f t="shared" si="68"/>
        <v>2023</v>
      </c>
      <c r="M739" s="12">
        <f t="shared" si="69"/>
        <v>2</v>
      </c>
      <c r="N739" s="5" t="str">
        <f t="shared" si="70"/>
        <v>Tuesday</v>
      </c>
      <c r="O739" s="5" t="str">
        <f t="shared" si="71"/>
        <v>April</v>
      </c>
    </row>
    <row r="740" spans="1:15" x14ac:dyDescent="0.3">
      <c r="A740" s="8">
        <v>739</v>
      </c>
      <c r="B740" s="25">
        <v>45259</v>
      </c>
      <c r="C740" s="5" t="s">
        <v>747</v>
      </c>
      <c r="D740" s="5" t="s">
        <v>5</v>
      </c>
      <c r="E740" s="12">
        <v>36</v>
      </c>
      <c r="F740" s="2" t="str">
        <f t="shared" si="66"/>
        <v>Adult</v>
      </c>
      <c r="G740" s="5" t="s">
        <v>6</v>
      </c>
      <c r="H740" s="8">
        <v>1</v>
      </c>
      <c r="I740" s="2">
        <v>25</v>
      </c>
      <c r="J740" s="2">
        <v>25</v>
      </c>
      <c r="K740" t="str">
        <f t="shared" si="67"/>
        <v>Low</v>
      </c>
      <c r="L740" s="12">
        <f t="shared" si="68"/>
        <v>2023</v>
      </c>
      <c r="M740" s="12">
        <f t="shared" si="69"/>
        <v>4</v>
      </c>
      <c r="N740" s="5" t="str">
        <f t="shared" si="70"/>
        <v>Wednesday</v>
      </c>
      <c r="O740" s="5" t="str">
        <f t="shared" si="71"/>
        <v>November</v>
      </c>
    </row>
    <row r="741" spans="1:15" x14ac:dyDescent="0.3">
      <c r="A741" s="8">
        <v>740</v>
      </c>
      <c r="B741" s="25">
        <v>44962</v>
      </c>
      <c r="C741" s="5" t="s">
        <v>748</v>
      </c>
      <c r="D741" s="5" t="s">
        <v>8</v>
      </c>
      <c r="E741" s="12">
        <v>25</v>
      </c>
      <c r="F741" s="2" t="str">
        <f t="shared" si="66"/>
        <v>Young</v>
      </c>
      <c r="G741" s="5" t="s">
        <v>6</v>
      </c>
      <c r="H741" s="8">
        <v>4</v>
      </c>
      <c r="I741" s="2">
        <v>50</v>
      </c>
      <c r="J741" s="2">
        <v>200</v>
      </c>
      <c r="K741" t="str">
        <f t="shared" si="67"/>
        <v>Low</v>
      </c>
      <c r="L741" s="12">
        <f t="shared" si="68"/>
        <v>2023</v>
      </c>
      <c r="M741" s="12">
        <f t="shared" si="69"/>
        <v>1</v>
      </c>
      <c r="N741" s="5" t="str">
        <f t="shared" si="70"/>
        <v>Sunday</v>
      </c>
      <c r="O741" s="5" t="str">
        <f t="shared" si="71"/>
        <v>February</v>
      </c>
    </row>
    <row r="742" spans="1:15" x14ac:dyDescent="0.3">
      <c r="A742" s="8">
        <v>741</v>
      </c>
      <c r="B742" s="25">
        <v>45260</v>
      </c>
      <c r="C742" s="5" t="s">
        <v>749</v>
      </c>
      <c r="D742" s="5" t="s">
        <v>5</v>
      </c>
      <c r="E742" s="12">
        <v>48</v>
      </c>
      <c r="F742" s="2" t="str">
        <f t="shared" si="66"/>
        <v>Adult</v>
      </c>
      <c r="G742" s="5" t="s">
        <v>9</v>
      </c>
      <c r="H742" s="8">
        <v>1</v>
      </c>
      <c r="I742" s="2">
        <v>300</v>
      </c>
      <c r="J742" s="2">
        <v>300</v>
      </c>
      <c r="K742" t="str">
        <f t="shared" si="67"/>
        <v>Low</v>
      </c>
      <c r="L742" s="12">
        <f t="shared" si="68"/>
        <v>2023</v>
      </c>
      <c r="M742" s="12">
        <f t="shared" si="69"/>
        <v>4</v>
      </c>
      <c r="N742" s="5" t="str">
        <f t="shared" si="70"/>
        <v>Thursday</v>
      </c>
      <c r="O742" s="5" t="str">
        <f t="shared" si="71"/>
        <v>November</v>
      </c>
    </row>
    <row r="743" spans="1:15" x14ac:dyDescent="0.3">
      <c r="A743" s="8">
        <v>742</v>
      </c>
      <c r="B743" s="25">
        <v>44947</v>
      </c>
      <c r="C743" s="5" t="s">
        <v>750</v>
      </c>
      <c r="D743" s="5" t="s">
        <v>8</v>
      </c>
      <c r="E743" s="12">
        <v>38</v>
      </c>
      <c r="F743" s="2" t="str">
        <f t="shared" si="66"/>
        <v>Adult</v>
      </c>
      <c r="G743" s="5" t="s">
        <v>11</v>
      </c>
      <c r="H743" s="8">
        <v>4</v>
      </c>
      <c r="I743" s="2">
        <v>500</v>
      </c>
      <c r="J743" s="2">
        <v>2000</v>
      </c>
      <c r="K743" t="str">
        <f t="shared" si="67"/>
        <v>High</v>
      </c>
      <c r="L743" s="12">
        <f t="shared" si="68"/>
        <v>2023</v>
      </c>
      <c r="M743" s="12">
        <f t="shared" si="69"/>
        <v>1</v>
      </c>
      <c r="N743" s="5" t="str">
        <f t="shared" si="70"/>
        <v>Saturday</v>
      </c>
      <c r="O743" s="5" t="str">
        <f t="shared" si="71"/>
        <v>January</v>
      </c>
    </row>
    <row r="744" spans="1:15" x14ac:dyDescent="0.3">
      <c r="A744" s="8">
        <v>743</v>
      </c>
      <c r="B744" s="25">
        <v>44942</v>
      </c>
      <c r="C744" s="5" t="s">
        <v>751</v>
      </c>
      <c r="D744" s="5" t="s">
        <v>8</v>
      </c>
      <c r="E744" s="12">
        <v>34</v>
      </c>
      <c r="F744" s="2" t="str">
        <f t="shared" si="66"/>
        <v>Adult</v>
      </c>
      <c r="G744" s="5" t="s">
        <v>6</v>
      </c>
      <c r="H744" s="8">
        <v>4</v>
      </c>
      <c r="I744" s="2">
        <v>500</v>
      </c>
      <c r="J744" s="2">
        <v>2000</v>
      </c>
      <c r="K744" t="str">
        <f t="shared" si="67"/>
        <v>High</v>
      </c>
      <c r="L744" s="12">
        <f t="shared" si="68"/>
        <v>2023</v>
      </c>
      <c r="M744" s="12">
        <f t="shared" si="69"/>
        <v>1</v>
      </c>
      <c r="N744" s="5" t="str">
        <f t="shared" si="70"/>
        <v>Monday</v>
      </c>
      <c r="O744" s="5" t="str">
        <f t="shared" si="71"/>
        <v>January</v>
      </c>
    </row>
    <row r="745" spans="1:15" x14ac:dyDescent="0.3">
      <c r="A745" s="8">
        <v>744</v>
      </c>
      <c r="B745" s="25">
        <v>45053</v>
      </c>
      <c r="C745" s="5" t="s">
        <v>752</v>
      </c>
      <c r="D745" s="5" t="s">
        <v>5</v>
      </c>
      <c r="E745" s="12">
        <v>40</v>
      </c>
      <c r="F745" s="2" t="str">
        <f t="shared" si="66"/>
        <v>Adult</v>
      </c>
      <c r="G745" s="5" t="s">
        <v>11</v>
      </c>
      <c r="H745" s="8">
        <v>1</v>
      </c>
      <c r="I745" s="2">
        <v>25</v>
      </c>
      <c r="J745" s="2">
        <v>25</v>
      </c>
      <c r="K745" t="str">
        <f t="shared" si="67"/>
        <v>Low</v>
      </c>
      <c r="L745" s="12">
        <f t="shared" si="68"/>
        <v>2023</v>
      </c>
      <c r="M745" s="12">
        <f t="shared" si="69"/>
        <v>2</v>
      </c>
      <c r="N745" s="5" t="str">
        <f t="shared" si="70"/>
        <v>Sunday</v>
      </c>
      <c r="O745" s="5" t="str">
        <f t="shared" si="71"/>
        <v>May</v>
      </c>
    </row>
    <row r="746" spans="1:15" x14ac:dyDescent="0.3">
      <c r="A746" s="8">
        <v>745</v>
      </c>
      <c r="B746" s="25">
        <v>45029</v>
      </c>
      <c r="C746" s="5" t="s">
        <v>753</v>
      </c>
      <c r="D746" s="5" t="s">
        <v>5</v>
      </c>
      <c r="E746" s="12">
        <v>54</v>
      </c>
      <c r="F746" s="2" t="str">
        <f t="shared" si="66"/>
        <v>Adult</v>
      </c>
      <c r="G746" s="5" t="s">
        <v>6</v>
      </c>
      <c r="H746" s="8">
        <v>2</v>
      </c>
      <c r="I746" s="2">
        <v>50</v>
      </c>
      <c r="J746" s="2">
        <v>100</v>
      </c>
      <c r="K746" t="str">
        <f t="shared" si="67"/>
        <v>Low</v>
      </c>
      <c r="L746" s="12">
        <f t="shared" si="68"/>
        <v>2023</v>
      </c>
      <c r="M746" s="12">
        <f t="shared" si="69"/>
        <v>2</v>
      </c>
      <c r="N746" s="5" t="str">
        <f t="shared" si="70"/>
        <v>Thursday</v>
      </c>
      <c r="O746" s="5" t="str">
        <f t="shared" si="71"/>
        <v>April</v>
      </c>
    </row>
    <row r="747" spans="1:15" x14ac:dyDescent="0.3">
      <c r="A747" s="8">
        <v>746</v>
      </c>
      <c r="B747" s="25">
        <v>44937</v>
      </c>
      <c r="C747" s="5" t="s">
        <v>754</v>
      </c>
      <c r="D747" s="5" t="s">
        <v>8</v>
      </c>
      <c r="E747" s="12">
        <v>33</v>
      </c>
      <c r="F747" s="2" t="str">
        <f t="shared" si="66"/>
        <v>Adult</v>
      </c>
      <c r="G747" s="5" t="s">
        <v>9</v>
      </c>
      <c r="H747" s="8">
        <v>3</v>
      </c>
      <c r="I747" s="2">
        <v>30</v>
      </c>
      <c r="J747" s="2">
        <v>90</v>
      </c>
      <c r="K747" t="str">
        <f t="shared" si="67"/>
        <v>Low</v>
      </c>
      <c r="L747" s="12">
        <f t="shared" si="68"/>
        <v>2023</v>
      </c>
      <c r="M747" s="12">
        <f t="shared" si="69"/>
        <v>1</v>
      </c>
      <c r="N747" s="5" t="str">
        <f t="shared" si="70"/>
        <v>Wednesday</v>
      </c>
      <c r="O747" s="5" t="str">
        <f t="shared" si="71"/>
        <v>January</v>
      </c>
    </row>
    <row r="748" spans="1:15" x14ac:dyDescent="0.3">
      <c r="A748" s="8">
        <v>747</v>
      </c>
      <c r="B748" s="25">
        <v>45245</v>
      </c>
      <c r="C748" s="5" t="s">
        <v>755</v>
      </c>
      <c r="D748" s="5" t="s">
        <v>5</v>
      </c>
      <c r="E748" s="12">
        <v>23</v>
      </c>
      <c r="F748" s="2" t="str">
        <f t="shared" si="66"/>
        <v>Young</v>
      </c>
      <c r="G748" s="5" t="s">
        <v>6</v>
      </c>
      <c r="H748" s="8">
        <v>1</v>
      </c>
      <c r="I748" s="2">
        <v>30</v>
      </c>
      <c r="J748" s="2">
        <v>30</v>
      </c>
      <c r="K748" t="str">
        <f t="shared" si="67"/>
        <v>Low</v>
      </c>
      <c r="L748" s="12">
        <f t="shared" si="68"/>
        <v>2023</v>
      </c>
      <c r="M748" s="12">
        <f t="shared" si="69"/>
        <v>4</v>
      </c>
      <c r="N748" s="5" t="str">
        <f t="shared" si="70"/>
        <v>Wednesday</v>
      </c>
      <c r="O748" s="5" t="str">
        <f t="shared" si="71"/>
        <v>November</v>
      </c>
    </row>
    <row r="749" spans="1:15" x14ac:dyDescent="0.3">
      <c r="A749" s="8">
        <v>748</v>
      </c>
      <c r="B749" s="25">
        <v>45005</v>
      </c>
      <c r="C749" s="5" t="s">
        <v>756</v>
      </c>
      <c r="D749" s="5" t="s">
        <v>5</v>
      </c>
      <c r="E749" s="12">
        <v>25</v>
      </c>
      <c r="F749" s="2" t="str">
        <f t="shared" si="66"/>
        <v>Young</v>
      </c>
      <c r="G749" s="5" t="s">
        <v>9</v>
      </c>
      <c r="H749" s="8">
        <v>3</v>
      </c>
      <c r="I749" s="2">
        <v>50</v>
      </c>
      <c r="J749" s="2">
        <v>150</v>
      </c>
      <c r="K749" t="str">
        <f t="shared" si="67"/>
        <v>Low</v>
      </c>
      <c r="L749" s="12">
        <f t="shared" si="68"/>
        <v>2023</v>
      </c>
      <c r="M749" s="12">
        <f t="shared" si="69"/>
        <v>1</v>
      </c>
      <c r="N749" s="5" t="str">
        <f t="shared" si="70"/>
        <v>Monday</v>
      </c>
      <c r="O749" s="5" t="str">
        <f t="shared" si="71"/>
        <v>March</v>
      </c>
    </row>
    <row r="750" spans="1:15" x14ac:dyDescent="0.3">
      <c r="A750" s="8">
        <v>749</v>
      </c>
      <c r="B750" s="25">
        <v>45049</v>
      </c>
      <c r="C750" s="5" t="s">
        <v>757</v>
      </c>
      <c r="D750" s="5" t="s">
        <v>5</v>
      </c>
      <c r="E750" s="12">
        <v>42</v>
      </c>
      <c r="F750" s="2" t="str">
        <f t="shared" si="66"/>
        <v>Adult</v>
      </c>
      <c r="G750" s="5" t="s">
        <v>6</v>
      </c>
      <c r="H750" s="8">
        <v>1</v>
      </c>
      <c r="I750" s="2">
        <v>30</v>
      </c>
      <c r="J750" s="2">
        <v>30</v>
      </c>
      <c r="K750" t="str">
        <f t="shared" si="67"/>
        <v>Low</v>
      </c>
      <c r="L750" s="12">
        <f t="shared" si="68"/>
        <v>2023</v>
      </c>
      <c r="M750" s="12">
        <f t="shared" si="69"/>
        <v>2</v>
      </c>
      <c r="N750" s="5" t="str">
        <f t="shared" si="70"/>
        <v>Wednesday</v>
      </c>
      <c r="O750" s="5" t="str">
        <f t="shared" si="71"/>
        <v>May</v>
      </c>
    </row>
    <row r="751" spans="1:15" x14ac:dyDescent="0.3">
      <c r="A751" s="8">
        <v>750</v>
      </c>
      <c r="B751" s="25">
        <v>44991</v>
      </c>
      <c r="C751" s="5" t="s">
        <v>758</v>
      </c>
      <c r="D751" s="5" t="s">
        <v>8</v>
      </c>
      <c r="E751" s="12">
        <v>35</v>
      </c>
      <c r="F751" s="2" t="str">
        <f t="shared" si="66"/>
        <v>Adult</v>
      </c>
      <c r="G751" s="5" t="s">
        <v>9</v>
      </c>
      <c r="H751" s="8">
        <v>3</v>
      </c>
      <c r="I751" s="2">
        <v>25</v>
      </c>
      <c r="J751" s="2">
        <v>75</v>
      </c>
      <c r="K751" t="str">
        <f t="shared" si="67"/>
        <v>Low</v>
      </c>
      <c r="L751" s="12">
        <f t="shared" si="68"/>
        <v>2023</v>
      </c>
      <c r="M751" s="12">
        <f t="shared" si="69"/>
        <v>1</v>
      </c>
      <c r="N751" s="5" t="str">
        <f t="shared" si="70"/>
        <v>Monday</v>
      </c>
      <c r="O751" s="5" t="str">
        <f t="shared" si="71"/>
        <v>March</v>
      </c>
    </row>
    <row r="752" spans="1:15" x14ac:dyDescent="0.3">
      <c r="A752" s="8">
        <v>751</v>
      </c>
      <c r="B752" s="25">
        <v>45169</v>
      </c>
      <c r="C752" s="5" t="s">
        <v>759</v>
      </c>
      <c r="D752" s="5" t="s">
        <v>8</v>
      </c>
      <c r="E752" s="12">
        <v>42</v>
      </c>
      <c r="F752" s="2" t="str">
        <f t="shared" si="66"/>
        <v>Adult</v>
      </c>
      <c r="G752" s="5" t="s">
        <v>9</v>
      </c>
      <c r="H752" s="8">
        <v>2</v>
      </c>
      <c r="I752" s="2">
        <v>25</v>
      </c>
      <c r="J752" s="2">
        <v>50</v>
      </c>
      <c r="K752" t="str">
        <f t="shared" si="67"/>
        <v>Low</v>
      </c>
      <c r="L752" s="12">
        <f t="shared" si="68"/>
        <v>2023</v>
      </c>
      <c r="M752" s="12">
        <f t="shared" si="69"/>
        <v>3</v>
      </c>
      <c r="N752" s="5" t="str">
        <f t="shared" si="70"/>
        <v>Thursday</v>
      </c>
      <c r="O752" s="5" t="str">
        <f t="shared" si="71"/>
        <v>August</v>
      </c>
    </row>
    <row r="753" spans="1:15" x14ac:dyDescent="0.3">
      <c r="A753" s="8">
        <v>752</v>
      </c>
      <c r="B753" s="25">
        <v>45269</v>
      </c>
      <c r="C753" s="5" t="s">
        <v>760</v>
      </c>
      <c r="D753" s="5" t="s">
        <v>5</v>
      </c>
      <c r="E753" s="12">
        <v>29</v>
      </c>
      <c r="F753" s="2" t="str">
        <f t="shared" si="66"/>
        <v>Young</v>
      </c>
      <c r="G753" s="5" t="s">
        <v>9</v>
      </c>
      <c r="H753" s="8">
        <v>2</v>
      </c>
      <c r="I753" s="2">
        <v>50</v>
      </c>
      <c r="J753" s="2">
        <v>100</v>
      </c>
      <c r="K753" t="str">
        <f t="shared" si="67"/>
        <v>Low</v>
      </c>
      <c r="L753" s="12">
        <f t="shared" si="68"/>
        <v>2023</v>
      </c>
      <c r="M753" s="12">
        <f t="shared" si="69"/>
        <v>4</v>
      </c>
      <c r="N753" s="5" t="str">
        <f t="shared" si="70"/>
        <v>Saturday</v>
      </c>
      <c r="O753" s="5" t="str">
        <f t="shared" si="71"/>
        <v>December</v>
      </c>
    </row>
    <row r="754" spans="1:15" x14ac:dyDescent="0.3">
      <c r="A754" s="8">
        <v>753</v>
      </c>
      <c r="B754" s="25">
        <v>44985</v>
      </c>
      <c r="C754" s="5" t="s">
        <v>761</v>
      </c>
      <c r="D754" s="5" t="s">
        <v>8</v>
      </c>
      <c r="E754" s="12">
        <v>32</v>
      </c>
      <c r="F754" s="2" t="str">
        <f t="shared" si="66"/>
        <v>Adult</v>
      </c>
      <c r="G754" s="5" t="s">
        <v>9</v>
      </c>
      <c r="H754" s="8">
        <v>1</v>
      </c>
      <c r="I754" s="2">
        <v>30</v>
      </c>
      <c r="J754" s="2">
        <v>30</v>
      </c>
      <c r="K754" t="str">
        <f t="shared" si="67"/>
        <v>Low</v>
      </c>
      <c r="L754" s="12">
        <f t="shared" si="68"/>
        <v>2023</v>
      </c>
      <c r="M754" s="12">
        <f t="shared" si="69"/>
        <v>1</v>
      </c>
      <c r="N754" s="5" t="str">
        <f t="shared" si="70"/>
        <v>Tuesday</v>
      </c>
      <c r="O754" s="5" t="str">
        <f t="shared" si="71"/>
        <v>February</v>
      </c>
    </row>
    <row r="755" spans="1:15" x14ac:dyDescent="0.3">
      <c r="A755" s="8">
        <v>754</v>
      </c>
      <c r="B755" s="25">
        <v>45215</v>
      </c>
      <c r="C755" s="5" t="s">
        <v>762</v>
      </c>
      <c r="D755" s="5" t="s">
        <v>8</v>
      </c>
      <c r="E755" s="12">
        <v>43</v>
      </c>
      <c r="F755" s="2" t="str">
        <f t="shared" si="66"/>
        <v>Adult</v>
      </c>
      <c r="G755" s="5" t="s">
        <v>11</v>
      </c>
      <c r="H755" s="8">
        <v>4</v>
      </c>
      <c r="I755" s="2">
        <v>25</v>
      </c>
      <c r="J755" s="2">
        <v>100</v>
      </c>
      <c r="K755" t="str">
        <f t="shared" si="67"/>
        <v>Low</v>
      </c>
      <c r="L755" s="12">
        <f t="shared" si="68"/>
        <v>2023</v>
      </c>
      <c r="M755" s="12">
        <f t="shared" si="69"/>
        <v>4</v>
      </c>
      <c r="N755" s="5" t="str">
        <f t="shared" si="70"/>
        <v>Monday</v>
      </c>
      <c r="O755" s="5" t="str">
        <f t="shared" si="71"/>
        <v>October</v>
      </c>
    </row>
    <row r="756" spans="1:15" x14ac:dyDescent="0.3">
      <c r="A756" s="8">
        <v>755</v>
      </c>
      <c r="B756" s="25">
        <v>45038</v>
      </c>
      <c r="C756" s="5" t="s">
        <v>763</v>
      </c>
      <c r="D756" s="5" t="s">
        <v>8</v>
      </c>
      <c r="E756" s="12">
        <v>58</v>
      </c>
      <c r="F756" s="2" t="str">
        <f t="shared" si="66"/>
        <v>Adult</v>
      </c>
      <c r="G756" s="5" t="s">
        <v>9</v>
      </c>
      <c r="H756" s="8">
        <v>3</v>
      </c>
      <c r="I756" s="2">
        <v>25</v>
      </c>
      <c r="J756" s="2">
        <v>75</v>
      </c>
      <c r="K756" t="str">
        <f t="shared" si="67"/>
        <v>Low</v>
      </c>
      <c r="L756" s="12">
        <f t="shared" si="68"/>
        <v>2023</v>
      </c>
      <c r="M756" s="12">
        <f t="shared" si="69"/>
        <v>2</v>
      </c>
      <c r="N756" s="5" t="str">
        <f t="shared" si="70"/>
        <v>Saturday</v>
      </c>
      <c r="O756" s="5" t="str">
        <f t="shared" si="71"/>
        <v>April</v>
      </c>
    </row>
    <row r="757" spans="1:15" x14ac:dyDescent="0.3">
      <c r="A757" s="8">
        <v>756</v>
      </c>
      <c r="B757" s="25">
        <v>45165</v>
      </c>
      <c r="C757" s="5" t="s">
        <v>764</v>
      </c>
      <c r="D757" s="5" t="s">
        <v>8</v>
      </c>
      <c r="E757" s="12">
        <v>62</v>
      </c>
      <c r="F757" s="2" t="str">
        <f t="shared" si="66"/>
        <v>Senior</v>
      </c>
      <c r="G757" s="5" t="s">
        <v>11</v>
      </c>
      <c r="H757" s="8">
        <v>4</v>
      </c>
      <c r="I757" s="2">
        <v>300</v>
      </c>
      <c r="J757" s="2">
        <v>1200</v>
      </c>
      <c r="K757" t="str">
        <f t="shared" si="67"/>
        <v>Medium</v>
      </c>
      <c r="L757" s="12">
        <f t="shared" si="68"/>
        <v>2023</v>
      </c>
      <c r="M757" s="12">
        <f t="shared" si="69"/>
        <v>3</v>
      </c>
      <c r="N757" s="5" t="str">
        <f t="shared" si="70"/>
        <v>Sunday</v>
      </c>
      <c r="O757" s="5" t="str">
        <f t="shared" si="71"/>
        <v>August</v>
      </c>
    </row>
    <row r="758" spans="1:15" x14ac:dyDescent="0.3">
      <c r="A758" s="8">
        <v>757</v>
      </c>
      <c r="B758" s="25">
        <v>45285</v>
      </c>
      <c r="C758" s="5" t="s">
        <v>765</v>
      </c>
      <c r="D758" s="5" t="s">
        <v>8</v>
      </c>
      <c r="E758" s="12">
        <v>43</v>
      </c>
      <c r="F758" s="2" t="str">
        <f t="shared" si="66"/>
        <v>Adult</v>
      </c>
      <c r="G758" s="5" t="s">
        <v>11</v>
      </c>
      <c r="H758" s="8">
        <v>4</v>
      </c>
      <c r="I758" s="2">
        <v>300</v>
      </c>
      <c r="J758" s="2">
        <v>1200</v>
      </c>
      <c r="K758" t="str">
        <f t="shared" si="67"/>
        <v>Medium</v>
      </c>
      <c r="L758" s="12">
        <f t="shared" si="68"/>
        <v>2023</v>
      </c>
      <c r="M758" s="12">
        <f t="shared" si="69"/>
        <v>4</v>
      </c>
      <c r="N758" s="5" t="str">
        <f t="shared" si="70"/>
        <v>Monday</v>
      </c>
      <c r="O758" s="5" t="str">
        <f t="shared" si="71"/>
        <v>December</v>
      </c>
    </row>
    <row r="759" spans="1:15" x14ac:dyDescent="0.3">
      <c r="A759" s="8">
        <v>758</v>
      </c>
      <c r="B759" s="25">
        <v>45058</v>
      </c>
      <c r="C759" s="5" t="s">
        <v>766</v>
      </c>
      <c r="D759" s="5" t="s">
        <v>5</v>
      </c>
      <c r="E759" s="12">
        <v>64</v>
      </c>
      <c r="F759" s="2" t="str">
        <f t="shared" si="66"/>
        <v>Senior</v>
      </c>
      <c r="G759" s="5" t="s">
        <v>9</v>
      </c>
      <c r="H759" s="8">
        <v>4</v>
      </c>
      <c r="I759" s="2">
        <v>25</v>
      </c>
      <c r="J759" s="2">
        <v>100</v>
      </c>
      <c r="K759" t="str">
        <f t="shared" si="67"/>
        <v>Low</v>
      </c>
      <c r="L759" s="12">
        <f t="shared" si="68"/>
        <v>2023</v>
      </c>
      <c r="M759" s="12">
        <f t="shared" si="69"/>
        <v>2</v>
      </c>
      <c r="N759" s="5" t="str">
        <f t="shared" si="70"/>
        <v>Friday</v>
      </c>
      <c r="O759" s="5" t="str">
        <f t="shared" si="71"/>
        <v>May</v>
      </c>
    </row>
    <row r="760" spans="1:15" x14ac:dyDescent="0.3">
      <c r="A760" s="8">
        <v>759</v>
      </c>
      <c r="B760" s="25">
        <v>45115</v>
      </c>
      <c r="C760" s="5" t="s">
        <v>767</v>
      </c>
      <c r="D760" s="5" t="s">
        <v>5</v>
      </c>
      <c r="E760" s="12">
        <v>49</v>
      </c>
      <c r="F760" s="2" t="str">
        <f t="shared" si="66"/>
        <v>Adult</v>
      </c>
      <c r="G760" s="5" t="s">
        <v>11</v>
      </c>
      <c r="H760" s="8">
        <v>2</v>
      </c>
      <c r="I760" s="2">
        <v>50</v>
      </c>
      <c r="J760" s="2">
        <v>100</v>
      </c>
      <c r="K760" t="str">
        <f t="shared" si="67"/>
        <v>Low</v>
      </c>
      <c r="L760" s="12">
        <f t="shared" si="68"/>
        <v>2023</v>
      </c>
      <c r="M760" s="12">
        <f t="shared" si="69"/>
        <v>3</v>
      </c>
      <c r="N760" s="5" t="str">
        <f t="shared" si="70"/>
        <v>Saturday</v>
      </c>
      <c r="O760" s="5" t="str">
        <f t="shared" si="71"/>
        <v>July</v>
      </c>
    </row>
    <row r="761" spans="1:15" x14ac:dyDescent="0.3">
      <c r="A761" s="8">
        <v>760</v>
      </c>
      <c r="B761" s="25">
        <v>45012</v>
      </c>
      <c r="C761" s="5" t="s">
        <v>768</v>
      </c>
      <c r="D761" s="5" t="s">
        <v>5</v>
      </c>
      <c r="E761" s="12">
        <v>27</v>
      </c>
      <c r="F761" s="2" t="str">
        <f t="shared" si="66"/>
        <v>Young</v>
      </c>
      <c r="G761" s="5" t="s">
        <v>6</v>
      </c>
      <c r="H761" s="8">
        <v>1</v>
      </c>
      <c r="I761" s="2">
        <v>500</v>
      </c>
      <c r="J761" s="2">
        <v>500</v>
      </c>
      <c r="K761" t="str">
        <f t="shared" si="67"/>
        <v>Low</v>
      </c>
      <c r="L761" s="12">
        <f t="shared" si="68"/>
        <v>2023</v>
      </c>
      <c r="M761" s="12">
        <f t="shared" si="69"/>
        <v>1</v>
      </c>
      <c r="N761" s="5" t="str">
        <f t="shared" si="70"/>
        <v>Monday</v>
      </c>
      <c r="O761" s="5" t="str">
        <f t="shared" si="71"/>
        <v>March</v>
      </c>
    </row>
    <row r="762" spans="1:15" x14ac:dyDescent="0.3">
      <c r="A762" s="8">
        <v>761</v>
      </c>
      <c r="B762" s="25">
        <v>45237</v>
      </c>
      <c r="C762" s="5" t="s">
        <v>769</v>
      </c>
      <c r="D762" s="5" t="s">
        <v>8</v>
      </c>
      <c r="E762" s="12">
        <v>33</v>
      </c>
      <c r="F762" s="2" t="str">
        <f t="shared" si="66"/>
        <v>Adult</v>
      </c>
      <c r="G762" s="5" t="s">
        <v>9</v>
      </c>
      <c r="H762" s="8">
        <v>1</v>
      </c>
      <c r="I762" s="2">
        <v>500</v>
      </c>
      <c r="J762" s="2">
        <v>500</v>
      </c>
      <c r="K762" t="str">
        <f t="shared" si="67"/>
        <v>Low</v>
      </c>
      <c r="L762" s="12">
        <f t="shared" si="68"/>
        <v>2023</v>
      </c>
      <c r="M762" s="12">
        <f t="shared" si="69"/>
        <v>4</v>
      </c>
      <c r="N762" s="5" t="str">
        <f t="shared" si="70"/>
        <v>Tuesday</v>
      </c>
      <c r="O762" s="5" t="str">
        <f t="shared" si="71"/>
        <v>November</v>
      </c>
    </row>
    <row r="763" spans="1:15" x14ac:dyDescent="0.3">
      <c r="A763" s="8">
        <v>762</v>
      </c>
      <c r="B763" s="25">
        <v>45237</v>
      </c>
      <c r="C763" s="5" t="s">
        <v>770</v>
      </c>
      <c r="D763" s="5" t="s">
        <v>8</v>
      </c>
      <c r="E763" s="12">
        <v>24</v>
      </c>
      <c r="F763" s="2" t="str">
        <f t="shared" si="66"/>
        <v>Young</v>
      </c>
      <c r="G763" s="5" t="s">
        <v>11</v>
      </c>
      <c r="H763" s="8">
        <v>2</v>
      </c>
      <c r="I763" s="2">
        <v>25</v>
      </c>
      <c r="J763" s="2">
        <v>50</v>
      </c>
      <c r="K763" t="str">
        <f t="shared" si="67"/>
        <v>Low</v>
      </c>
      <c r="L763" s="12">
        <f t="shared" si="68"/>
        <v>2023</v>
      </c>
      <c r="M763" s="12">
        <f t="shared" si="69"/>
        <v>4</v>
      </c>
      <c r="N763" s="5" t="str">
        <f t="shared" si="70"/>
        <v>Tuesday</v>
      </c>
      <c r="O763" s="5" t="str">
        <f t="shared" si="71"/>
        <v>November</v>
      </c>
    </row>
    <row r="764" spans="1:15" x14ac:dyDescent="0.3">
      <c r="A764" s="8">
        <v>763</v>
      </c>
      <c r="B764" s="25">
        <v>44985</v>
      </c>
      <c r="C764" s="5" t="s">
        <v>771</v>
      </c>
      <c r="D764" s="5" t="s">
        <v>5</v>
      </c>
      <c r="E764" s="12">
        <v>34</v>
      </c>
      <c r="F764" s="2" t="str">
        <f t="shared" si="66"/>
        <v>Adult</v>
      </c>
      <c r="G764" s="5" t="s">
        <v>9</v>
      </c>
      <c r="H764" s="8">
        <v>2</v>
      </c>
      <c r="I764" s="2">
        <v>25</v>
      </c>
      <c r="J764" s="2">
        <v>50</v>
      </c>
      <c r="K764" t="str">
        <f t="shared" si="67"/>
        <v>Low</v>
      </c>
      <c r="L764" s="12">
        <f t="shared" si="68"/>
        <v>2023</v>
      </c>
      <c r="M764" s="12">
        <f t="shared" si="69"/>
        <v>1</v>
      </c>
      <c r="N764" s="5" t="str">
        <f t="shared" si="70"/>
        <v>Tuesday</v>
      </c>
      <c r="O764" s="5" t="str">
        <f t="shared" si="71"/>
        <v>February</v>
      </c>
    </row>
    <row r="765" spans="1:15" x14ac:dyDescent="0.3">
      <c r="A765" s="8">
        <v>764</v>
      </c>
      <c r="B765" s="25">
        <v>45010</v>
      </c>
      <c r="C765" s="5" t="s">
        <v>772</v>
      </c>
      <c r="D765" s="5" t="s">
        <v>8</v>
      </c>
      <c r="E765" s="12">
        <v>40</v>
      </c>
      <c r="F765" s="2" t="str">
        <f t="shared" si="66"/>
        <v>Adult</v>
      </c>
      <c r="G765" s="5" t="s">
        <v>9</v>
      </c>
      <c r="H765" s="8">
        <v>1</v>
      </c>
      <c r="I765" s="2">
        <v>25</v>
      </c>
      <c r="J765" s="2">
        <v>25</v>
      </c>
      <c r="K765" t="str">
        <f t="shared" si="67"/>
        <v>Low</v>
      </c>
      <c r="L765" s="12">
        <f t="shared" si="68"/>
        <v>2023</v>
      </c>
      <c r="M765" s="12">
        <f t="shared" si="69"/>
        <v>1</v>
      </c>
      <c r="N765" s="5" t="str">
        <f t="shared" si="70"/>
        <v>Saturday</v>
      </c>
      <c r="O765" s="5" t="str">
        <f t="shared" si="71"/>
        <v>March</v>
      </c>
    </row>
    <row r="766" spans="1:15" x14ac:dyDescent="0.3">
      <c r="A766" s="8">
        <v>765</v>
      </c>
      <c r="B766" s="25">
        <v>45086</v>
      </c>
      <c r="C766" s="5" t="s">
        <v>773</v>
      </c>
      <c r="D766" s="5" t="s">
        <v>5</v>
      </c>
      <c r="E766" s="12">
        <v>43</v>
      </c>
      <c r="F766" s="2" t="str">
        <f t="shared" si="66"/>
        <v>Adult</v>
      </c>
      <c r="G766" s="5" t="s">
        <v>9</v>
      </c>
      <c r="H766" s="8">
        <v>4</v>
      </c>
      <c r="I766" s="2">
        <v>50</v>
      </c>
      <c r="J766" s="2">
        <v>200</v>
      </c>
      <c r="K766" t="str">
        <f t="shared" si="67"/>
        <v>Low</v>
      </c>
      <c r="L766" s="12">
        <f t="shared" si="68"/>
        <v>2023</v>
      </c>
      <c r="M766" s="12">
        <f t="shared" si="69"/>
        <v>2</v>
      </c>
      <c r="N766" s="5" t="str">
        <f t="shared" si="70"/>
        <v>Friday</v>
      </c>
      <c r="O766" s="5" t="str">
        <f t="shared" si="71"/>
        <v>June</v>
      </c>
    </row>
    <row r="767" spans="1:15" x14ac:dyDescent="0.3">
      <c r="A767" s="8">
        <v>766</v>
      </c>
      <c r="B767" s="25">
        <v>44982</v>
      </c>
      <c r="C767" s="5" t="s">
        <v>774</v>
      </c>
      <c r="D767" s="5" t="s">
        <v>5</v>
      </c>
      <c r="E767" s="12">
        <v>38</v>
      </c>
      <c r="F767" s="2" t="str">
        <f t="shared" si="66"/>
        <v>Adult</v>
      </c>
      <c r="G767" s="5" t="s">
        <v>11</v>
      </c>
      <c r="H767" s="8">
        <v>3</v>
      </c>
      <c r="I767" s="2">
        <v>300</v>
      </c>
      <c r="J767" s="2">
        <v>900</v>
      </c>
      <c r="K767" t="str">
        <f t="shared" si="67"/>
        <v>Medium</v>
      </c>
      <c r="L767" s="12">
        <f t="shared" si="68"/>
        <v>2023</v>
      </c>
      <c r="M767" s="12">
        <f t="shared" si="69"/>
        <v>1</v>
      </c>
      <c r="N767" s="5" t="str">
        <f t="shared" si="70"/>
        <v>Saturday</v>
      </c>
      <c r="O767" s="5" t="str">
        <f t="shared" si="71"/>
        <v>February</v>
      </c>
    </row>
    <row r="768" spans="1:15" x14ac:dyDescent="0.3">
      <c r="A768" s="8">
        <v>767</v>
      </c>
      <c r="B768" s="25">
        <v>45223</v>
      </c>
      <c r="C768" s="5" t="s">
        <v>775</v>
      </c>
      <c r="D768" s="5" t="s">
        <v>5</v>
      </c>
      <c r="E768" s="12">
        <v>39</v>
      </c>
      <c r="F768" s="2" t="str">
        <f t="shared" si="66"/>
        <v>Adult</v>
      </c>
      <c r="G768" s="5" t="s">
        <v>6</v>
      </c>
      <c r="H768" s="8">
        <v>3</v>
      </c>
      <c r="I768" s="2">
        <v>25</v>
      </c>
      <c r="J768" s="2">
        <v>75</v>
      </c>
      <c r="K768" t="str">
        <f t="shared" si="67"/>
        <v>Low</v>
      </c>
      <c r="L768" s="12">
        <f t="shared" si="68"/>
        <v>2023</v>
      </c>
      <c r="M768" s="12">
        <f t="shared" si="69"/>
        <v>4</v>
      </c>
      <c r="N768" s="5" t="str">
        <f t="shared" si="70"/>
        <v>Tuesday</v>
      </c>
      <c r="O768" s="5" t="str">
        <f t="shared" si="71"/>
        <v>October</v>
      </c>
    </row>
    <row r="769" spans="1:15" x14ac:dyDescent="0.3">
      <c r="A769" s="8">
        <v>768</v>
      </c>
      <c r="B769" s="25">
        <v>44940</v>
      </c>
      <c r="C769" s="5" t="s">
        <v>776</v>
      </c>
      <c r="D769" s="5" t="s">
        <v>8</v>
      </c>
      <c r="E769" s="12">
        <v>24</v>
      </c>
      <c r="F769" s="2" t="str">
        <f t="shared" si="66"/>
        <v>Young</v>
      </c>
      <c r="G769" s="5" t="s">
        <v>6</v>
      </c>
      <c r="H769" s="8">
        <v>3</v>
      </c>
      <c r="I769" s="2">
        <v>25</v>
      </c>
      <c r="J769" s="2">
        <v>75</v>
      </c>
      <c r="K769" t="str">
        <f t="shared" si="67"/>
        <v>Low</v>
      </c>
      <c r="L769" s="12">
        <f t="shared" si="68"/>
        <v>2023</v>
      </c>
      <c r="M769" s="12">
        <f t="shared" si="69"/>
        <v>1</v>
      </c>
      <c r="N769" s="5" t="str">
        <f t="shared" si="70"/>
        <v>Saturday</v>
      </c>
      <c r="O769" s="5" t="str">
        <f t="shared" si="71"/>
        <v>January</v>
      </c>
    </row>
    <row r="770" spans="1:15" x14ac:dyDescent="0.3">
      <c r="A770" s="8">
        <v>769</v>
      </c>
      <c r="B770" s="25">
        <v>45086</v>
      </c>
      <c r="C770" s="5" t="s">
        <v>777</v>
      </c>
      <c r="D770" s="5" t="s">
        <v>8</v>
      </c>
      <c r="E770" s="12">
        <v>31</v>
      </c>
      <c r="F770" s="2" t="str">
        <f t="shared" si="66"/>
        <v>Adult</v>
      </c>
      <c r="G770" s="5" t="s">
        <v>11</v>
      </c>
      <c r="H770" s="8">
        <v>4</v>
      </c>
      <c r="I770" s="2">
        <v>30</v>
      </c>
      <c r="J770" s="2">
        <v>120</v>
      </c>
      <c r="K770" t="str">
        <f t="shared" si="67"/>
        <v>Low</v>
      </c>
      <c r="L770" s="12">
        <f t="shared" si="68"/>
        <v>2023</v>
      </c>
      <c r="M770" s="12">
        <f t="shared" si="69"/>
        <v>2</v>
      </c>
      <c r="N770" s="5" t="str">
        <f t="shared" si="70"/>
        <v>Friday</v>
      </c>
      <c r="O770" s="5" t="str">
        <f t="shared" si="71"/>
        <v>June</v>
      </c>
    </row>
    <row r="771" spans="1:15" x14ac:dyDescent="0.3">
      <c r="A771" s="8">
        <v>770</v>
      </c>
      <c r="B771" s="25">
        <v>45221</v>
      </c>
      <c r="C771" s="5" t="s">
        <v>778</v>
      </c>
      <c r="D771" s="5" t="s">
        <v>5</v>
      </c>
      <c r="E771" s="12">
        <v>32</v>
      </c>
      <c r="F771" s="2" t="str">
        <f t="shared" ref="F771:F834" si="72">IF(E771&gt;60,"Senior",IF(E771&gt;30,"Adult","Young"))</f>
        <v>Adult</v>
      </c>
      <c r="G771" s="5" t="s">
        <v>9</v>
      </c>
      <c r="H771" s="8">
        <v>1</v>
      </c>
      <c r="I771" s="2">
        <v>50</v>
      </c>
      <c r="J771" s="2">
        <v>50</v>
      </c>
      <c r="K771" t="str">
        <f t="shared" ref="K771:K834" si="73">IF(J771&gt;1500,"High",IF(J771&gt;500,"Medium","Low"))</f>
        <v>Low</v>
      </c>
      <c r="L771" s="12">
        <f t="shared" ref="L771:L834" si="74">YEAR(B771)</f>
        <v>2023</v>
      </c>
      <c r="M771" s="12">
        <f t="shared" ref="M771:M834" si="75">ROUNDUP(MONTH(B771)/3,0)</f>
        <v>4</v>
      </c>
      <c r="N771" s="5" t="str">
        <f t="shared" ref="N771:N834" si="76">TEXT(B771,"dddd")</f>
        <v>Sunday</v>
      </c>
      <c r="O771" s="5" t="str">
        <f t="shared" ref="O771:O834" si="77">TEXT(B771,"mmmm")</f>
        <v>October</v>
      </c>
    </row>
    <row r="772" spans="1:15" x14ac:dyDescent="0.3">
      <c r="A772" s="8">
        <v>771</v>
      </c>
      <c r="B772" s="25">
        <v>45273</v>
      </c>
      <c r="C772" s="5" t="s">
        <v>779</v>
      </c>
      <c r="D772" s="5" t="s">
        <v>5</v>
      </c>
      <c r="E772" s="12">
        <v>24</v>
      </c>
      <c r="F772" s="2" t="str">
        <f t="shared" si="72"/>
        <v>Young</v>
      </c>
      <c r="G772" s="5" t="s">
        <v>11</v>
      </c>
      <c r="H772" s="8">
        <v>2</v>
      </c>
      <c r="I772" s="2">
        <v>25</v>
      </c>
      <c r="J772" s="2">
        <v>50</v>
      </c>
      <c r="K772" t="str">
        <f t="shared" si="73"/>
        <v>Low</v>
      </c>
      <c r="L772" s="12">
        <f t="shared" si="74"/>
        <v>2023</v>
      </c>
      <c r="M772" s="12">
        <f t="shared" si="75"/>
        <v>4</v>
      </c>
      <c r="N772" s="5" t="str">
        <f t="shared" si="76"/>
        <v>Wednesday</v>
      </c>
      <c r="O772" s="5" t="str">
        <f t="shared" si="77"/>
        <v>December</v>
      </c>
    </row>
    <row r="773" spans="1:15" x14ac:dyDescent="0.3">
      <c r="A773" s="8">
        <v>772</v>
      </c>
      <c r="B773" s="25">
        <v>45119</v>
      </c>
      <c r="C773" s="5" t="s">
        <v>780</v>
      </c>
      <c r="D773" s="5" t="s">
        <v>5</v>
      </c>
      <c r="E773" s="12">
        <v>26</v>
      </c>
      <c r="F773" s="2" t="str">
        <f t="shared" si="72"/>
        <v>Young</v>
      </c>
      <c r="G773" s="5" t="s">
        <v>11</v>
      </c>
      <c r="H773" s="8">
        <v>1</v>
      </c>
      <c r="I773" s="2">
        <v>30</v>
      </c>
      <c r="J773" s="2">
        <v>30</v>
      </c>
      <c r="K773" t="str">
        <f t="shared" si="73"/>
        <v>Low</v>
      </c>
      <c r="L773" s="12">
        <f t="shared" si="74"/>
        <v>2023</v>
      </c>
      <c r="M773" s="12">
        <f t="shared" si="75"/>
        <v>3</v>
      </c>
      <c r="N773" s="5" t="str">
        <f t="shared" si="76"/>
        <v>Wednesday</v>
      </c>
      <c r="O773" s="5" t="str">
        <f t="shared" si="77"/>
        <v>July</v>
      </c>
    </row>
    <row r="774" spans="1:15" x14ac:dyDescent="0.3">
      <c r="A774" s="8">
        <v>773</v>
      </c>
      <c r="B774" s="25">
        <v>45130</v>
      </c>
      <c r="C774" s="5" t="s">
        <v>781</v>
      </c>
      <c r="D774" s="5" t="s">
        <v>5</v>
      </c>
      <c r="E774" s="12">
        <v>25</v>
      </c>
      <c r="F774" s="2" t="str">
        <f t="shared" si="72"/>
        <v>Young</v>
      </c>
      <c r="G774" s="5" t="s">
        <v>11</v>
      </c>
      <c r="H774" s="8">
        <v>4</v>
      </c>
      <c r="I774" s="2">
        <v>500</v>
      </c>
      <c r="J774" s="2">
        <v>2000</v>
      </c>
      <c r="K774" t="str">
        <f t="shared" si="73"/>
        <v>High</v>
      </c>
      <c r="L774" s="12">
        <f t="shared" si="74"/>
        <v>2023</v>
      </c>
      <c r="M774" s="12">
        <f t="shared" si="75"/>
        <v>3</v>
      </c>
      <c r="N774" s="5" t="str">
        <f t="shared" si="76"/>
        <v>Sunday</v>
      </c>
      <c r="O774" s="5" t="str">
        <f t="shared" si="77"/>
        <v>July</v>
      </c>
    </row>
    <row r="775" spans="1:15" x14ac:dyDescent="0.3">
      <c r="A775" s="8">
        <v>774</v>
      </c>
      <c r="B775" s="25">
        <v>45028</v>
      </c>
      <c r="C775" s="5" t="s">
        <v>782</v>
      </c>
      <c r="D775" s="5" t="s">
        <v>8</v>
      </c>
      <c r="E775" s="12">
        <v>40</v>
      </c>
      <c r="F775" s="2" t="str">
        <f t="shared" si="72"/>
        <v>Adult</v>
      </c>
      <c r="G775" s="5" t="s">
        <v>9</v>
      </c>
      <c r="H775" s="8">
        <v>2</v>
      </c>
      <c r="I775" s="2">
        <v>25</v>
      </c>
      <c r="J775" s="2">
        <v>50</v>
      </c>
      <c r="K775" t="str">
        <f t="shared" si="73"/>
        <v>Low</v>
      </c>
      <c r="L775" s="12">
        <f t="shared" si="74"/>
        <v>2023</v>
      </c>
      <c r="M775" s="12">
        <f t="shared" si="75"/>
        <v>2</v>
      </c>
      <c r="N775" s="5" t="str">
        <f t="shared" si="76"/>
        <v>Wednesday</v>
      </c>
      <c r="O775" s="5" t="str">
        <f t="shared" si="77"/>
        <v>April</v>
      </c>
    </row>
    <row r="776" spans="1:15" x14ac:dyDescent="0.3">
      <c r="A776" s="8">
        <v>775</v>
      </c>
      <c r="B776" s="25">
        <v>44965</v>
      </c>
      <c r="C776" s="5" t="s">
        <v>783</v>
      </c>
      <c r="D776" s="5" t="s">
        <v>8</v>
      </c>
      <c r="E776" s="12">
        <v>46</v>
      </c>
      <c r="F776" s="2" t="str">
        <f t="shared" si="72"/>
        <v>Adult</v>
      </c>
      <c r="G776" s="5" t="s">
        <v>11</v>
      </c>
      <c r="H776" s="8">
        <v>4</v>
      </c>
      <c r="I776" s="2">
        <v>25</v>
      </c>
      <c r="J776" s="2">
        <v>100</v>
      </c>
      <c r="K776" t="str">
        <f t="shared" si="73"/>
        <v>Low</v>
      </c>
      <c r="L776" s="12">
        <f t="shared" si="74"/>
        <v>2023</v>
      </c>
      <c r="M776" s="12">
        <f t="shared" si="75"/>
        <v>1</v>
      </c>
      <c r="N776" s="5" t="str">
        <f t="shared" si="76"/>
        <v>Wednesday</v>
      </c>
      <c r="O776" s="5" t="str">
        <f t="shared" si="77"/>
        <v>February</v>
      </c>
    </row>
    <row r="777" spans="1:15" x14ac:dyDescent="0.3">
      <c r="A777" s="8">
        <v>776</v>
      </c>
      <c r="B777" s="25">
        <v>45230</v>
      </c>
      <c r="C777" s="5" t="s">
        <v>784</v>
      </c>
      <c r="D777" s="5" t="s">
        <v>5</v>
      </c>
      <c r="E777" s="12">
        <v>35</v>
      </c>
      <c r="F777" s="2" t="str">
        <f t="shared" si="72"/>
        <v>Adult</v>
      </c>
      <c r="G777" s="5" t="s">
        <v>9</v>
      </c>
      <c r="H777" s="8">
        <v>3</v>
      </c>
      <c r="I777" s="2">
        <v>30</v>
      </c>
      <c r="J777" s="2">
        <v>90</v>
      </c>
      <c r="K777" t="str">
        <f t="shared" si="73"/>
        <v>Low</v>
      </c>
      <c r="L777" s="12">
        <f t="shared" si="74"/>
        <v>2023</v>
      </c>
      <c r="M777" s="12">
        <f t="shared" si="75"/>
        <v>4</v>
      </c>
      <c r="N777" s="5" t="str">
        <f t="shared" si="76"/>
        <v>Tuesday</v>
      </c>
      <c r="O777" s="5" t="str">
        <f t="shared" si="77"/>
        <v>October</v>
      </c>
    </row>
    <row r="778" spans="1:15" x14ac:dyDescent="0.3">
      <c r="A778" s="8">
        <v>777</v>
      </c>
      <c r="B778" s="25">
        <v>45280</v>
      </c>
      <c r="C778" s="5" t="s">
        <v>785</v>
      </c>
      <c r="D778" s="5" t="s">
        <v>5</v>
      </c>
      <c r="E778" s="12">
        <v>48</v>
      </c>
      <c r="F778" s="2" t="str">
        <f t="shared" si="72"/>
        <v>Adult</v>
      </c>
      <c r="G778" s="5" t="s">
        <v>11</v>
      </c>
      <c r="H778" s="8">
        <v>3</v>
      </c>
      <c r="I778" s="2">
        <v>50</v>
      </c>
      <c r="J778" s="2">
        <v>150</v>
      </c>
      <c r="K778" t="str">
        <f t="shared" si="73"/>
        <v>Low</v>
      </c>
      <c r="L778" s="12">
        <f t="shared" si="74"/>
        <v>2023</v>
      </c>
      <c r="M778" s="12">
        <f t="shared" si="75"/>
        <v>4</v>
      </c>
      <c r="N778" s="5" t="str">
        <f t="shared" si="76"/>
        <v>Wednesday</v>
      </c>
      <c r="O778" s="5" t="str">
        <f t="shared" si="77"/>
        <v>December</v>
      </c>
    </row>
    <row r="779" spans="1:15" x14ac:dyDescent="0.3">
      <c r="A779" s="8">
        <v>778</v>
      </c>
      <c r="B779" s="25">
        <v>45248</v>
      </c>
      <c r="C779" s="5" t="s">
        <v>786</v>
      </c>
      <c r="D779" s="5" t="s">
        <v>8</v>
      </c>
      <c r="E779" s="12">
        <v>47</v>
      </c>
      <c r="F779" s="2" t="str">
        <f t="shared" si="72"/>
        <v>Adult</v>
      </c>
      <c r="G779" s="5" t="s">
        <v>6</v>
      </c>
      <c r="H779" s="8">
        <v>4</v>
      </c>
      <c r="I779" s="2">
        <v>25</v>
      </c>
      <c r="J779" s="2">
        <v>100</v>
      </c>
      <c r="K779" t="str">
        <f t="shared" si="73"/>
        <v>Low</v>
      </c>
      <c r="L779" s="12">
        <f t="shared" si="74"/>
        <v>2023</v>
      </c>
      <c r="M779" s="12">
        <f t="shared" si="75"/>
        <v>4</v>
      </c>
      <c r="N779" s="5" t="str">
        <f t="shared" si="76"/>
        <v>Saturday</v>
      </c>
      <c r="O779" s="5" t="str">
        <f t="shared" si="77"/>
        <v>November</v>
      </c>
    </row>
    <row r="780" spans="1:15" x14ac:dyDescent="0.3">
      <c r="A780" s="8">
        <v>779</v>
      </c>
      <c r="B780" s="25">
        <v>45051</v>
      </c>
      <c r="C780" s="5" t="s">
        <v>787</v>
      </c>
      <c r="D780" s="5" t="s">
        <v>8</v>
      </c>
      <c r="E780" s="12">
        <v>56</v>
      </c>
      <c r="F780" s="2" t="str">
        <f t="shared" si="72"/>
        <v>Adult</v>
      </c>
      <c r="G780" s="5" t="s">
        <v>11</v>
      </c>
      <c r="H780" s="8">
        <v>2</v>
      </c>
      <c r="I780" s="2">
        <v>500</v>
      </c>
      <c r="J780" s="2">
        <v>1000</v>
      </c>
      <c r="K780" t="str">
        <f t="shared" si="73"/>
        <v>Medium</v>
      </c>
      <c r="L780" s="12">
        <f t="shared" si="74"/>
        <v>2023</v>
      </c>
      <c r="M780" s="12">
        <f t="shared" si="75"/>
        <v>2</v>
      </c>
      <c r="N780" s="5" t="str">
        <f t="shared" si="76"/>
        <v>Friday</v>
      </c>
      <c r="O780" s="5" t="str">
        <f t="shared" si="77"/>
        <v>May</v>
      </c>
    </row>
    <row r="781" spans="1:15" x14ac:dyDescent="0.3">
      <c r="A781" s="8">
        <v>780</v>
      </c>
      <c r="B781" s="25">
        <v>44979</v>
      </c>
      <c r="C781" s="5" t="s">
        <v>788</v>
      </c>
      <c r="D781" s="5" t="s">
        <v>5</v>
      </c>
      <c r="E781" s="12">
        <v>52</v>
      </c>
      <c r="F781" s="2" t="str">
        <f t="shared" si="72"/>
        <v>Adult</v>
      </c>
      <c r="G781" s="5" t="s">
        <v>11</v>
      </c>
      <c r="H781" s="8">
        <v>2</v>
      </c>
      <c r="I781" s="2">
        <v>25</v>
      </c>
      <c r="J781" s="2">
        <v>50</v>
      </c>
      <c r="K781" t="str">
        <f t="shared" si="73"/>
        <v>Low</v>
      </c>
      <c r="L781" s="12">
        <f t="shared" si="74"/>
        <v>2023</v>
      </c>
      <c r="M781" s="12">
        <f t="shared" si="75"/>
        <v>1</v>
      </c>
      <c r="N781" s="5" t="str">
        <f t="shared" si="76"/>
        <v>Wednesday</v>
      </c>
      <c r="O781" s="5" t="str">
        <f t="shared" si="77"/>
        <v>February</v>
      </c>
    </row>
    <row r="782" spans="1:15" x14ac:dyDescent="0.3">
      <c r="A782" s="8">
        <v>781</v>
      </c>
      <c r="B782" s="25">
        <v>45283</v>
      </c>
      <c r="C782" s="5" t="s">
        <v>789</v>
      </c>
      <c r="D782" s="5" t="s">
        <v>5</v>
      </c>
      <c r="E782" s="12">
        <v>35</v>
      </c>
      <c r="F782" s="2" t="str">
        <f t="shared" si="72"/>
        <v>Adult</v>
      </c>
      <c r="G782" s="5" t="s">
        <v>6</v>
      </c>
      <c r="H782" s="8">
        <v>1</v>
      </c>
      <c r="I782" s="2">
        <v>500</v>
      </c>
      <c r="J782" s="2">
        <v>500</v>
      </c>
      <c r="K782" t="str">
        <f t="shared" si="73"/>
        <v>Low</v>
      </c>
      <c r="L782" s="12">
        <f t="shared" si="74"/>
        <v>2023</v>
      </c>
      <c r="M782" s="12">
        <f t="shared" si="75"/>
        <v>4</v>
      </c>
      <c r="N782" s="5" t="str">
        <f t="shared" si="76"/>
        <v>Saturday</v>
      </c>
      <c r="O782" s="5" t="str">
        <f t="shared" si="77"/>
        <v>December</v>
      </c>
    </row>
    <row r="783" spans="1:15" x14ac:dyDescent="0.3">
      <c r="A783" s="8">
        <v>782</v>
      </c>
      <c r="B783" s="25">
        <v>45081</v>
      </c>
      <c r="C783" s="5" t="s">
        <v>790</v>
      </c>
      <c r="D783" s="5" t="s">
        <v>5</v>
      </c>
      <c r="E783" s="12">
        <v>59</v>
      </c>
      <c r="F783" s="2" t="str">
        <f t="shared" si="72"/>
        <v>Adult</v>
      </c>
      <c r="G783" s="5" t="s">
        <v>9</v>
      </c>
      <c r="H783" s="8">
        <v>3</v>
      </c>
      <c r="I783" s="2">
        <v>300</v>
      </c>
      <c r="J783" s="2">
        <v>900</v>
      </c>
      <c r="K783" t="str">
        <f t="shared" si="73"/>
        <v>Medium</v>
      </c>
      <c r="L783" s="12">
        <f t="shared" si="74"/>
        <v>2023</v>
      </c>
      <c r="M783" s="12">
        <f t="shared" si="75"/>
        <v>2</v>
      </c>
      <c r="N783" s="5" t="str">
        <f t="shared" si="76"/>
        <v>Sunday</v>
      </c>
      <c r="O783" s="5" t="str">
        <f t="shared" si="77"/>
        <v>June</v>
      </c>
    </row>
    <row r="784" spans="1:15" x14ac:dyDescent="0.3">
      <c r="A784" s="8">
        <v>783</v>
      </c>
      <c r="B784" s="25">
        <v>45277</v>
      </c>
      <c r="C784" s="5" t="s">
        <v>791</v>
      </c>
      <c r="D784" s="5" t="s">
        <v>8</v>
      </c>
      <c r="E784" s="12">
        <v>56</v>
      </c>
      <c r="F784" s="2" t="str">
        <f t="shared" si="72"/>
        <v>Adult</v>
      </c>
      <c r="G784" s="5" t="s">
        <v>9</v>
      </c>
      <c r="H784" s="8">
        <v>1</v>
      </c>
      <c r="I784" s="2">
        <v>300</v>
      </c>
      <c r="J784" s="2">
        <v>300</v>
      </c>
      <c r="K784" t="str">
        <f t="shared" si="73"/>
        <v>Low</v>
      </c>
      <c r="L784" s="12">
        <f t="shared" si="74"/>
        <v>2023</v>
      </c>
      <c r="M784" s="12">
        <f t="shared" si="75"/>
        <v>4</v>
      </c>
      <c r="N784" s="5" t="str">
        <f t="shared" si="76"/>
        <v>Sunday</v>
      </c>
      <c r="O784" s="5" t="str">
        <f t="shared" si="77"/>
        <v>December</v>
      </c>
    </row>
    <row r="785" spans="1:15" x14ac:dyDescent="0.3">
      <c r="A785" s="8">
        <v>784</v>
      </c>
      <c r="B785" s="25">
        <v>45234</v>
      </c>
      <c r="C785" s="5" t="s">
        <v>792</v>
      </c>
      <c r="D785" s="5" t="s">
        <v>8</v>
      </c>
      <c r="E785" s="12">
        <v>34</v>
      </c>
      <c r="F785" s="2" t="str">
        <f t="shared" si="72"/>
        <v>Adult</v>
      </c>
      <c r="G785" s="5" t="s">
        <v>11</v>
      </c>
      <c r="H785" s="8">
        <v>1</v>
      </c>
      <c r="I785" s="2">
        <v>500</v>
      </c>
      <c r="J785" s="2">
        <v>500</v>
      </c>
      <c r="K785" t="str">
        <f t="shared" si="73"/>
        <v>Low</v>
      </c>
      <c r="L785" s="12">
        <f t="shared" si="74"/>
        <v>2023</v>
      </c>
      <c r="M785" s="12">
        <f t="shared" si="75"/>
        <v>4</v>
      </c>
      <c r="N785" s="5" t="str">
        <f t="shared" si="76"/>
        <v>Saturday</v>
      </c>
      <c r="O785" s="5" t="str">
        <f t="shared" si="77"/>
        <v>November</v>
      </c>
    </row>
    <row r="786" spans="1:15" x14ac:dyDescent="0.3">
      <c r="A786" s="8">
        <v>785</v>
      </c>
      <c r="B786" s="25">
        <v>44988</v>
      </c>
      <c r="C786" s="5" t="s">
        <v>793</v>
      </c>
      <c r="D786" s="5" t="s">
        <v>8</v>
      </c>
      <c r="E786" s="12">
        <v>31</v>
      </c>
      <c r="F786" s="2" t="str">
        <f t="shared" si="72"/>
        <v>Adult</v>
      </c>
      <c r="G786" s="5" t="s">
        <v>6</v>
      </c>
      <c r="H786" s="8">
        <v>4</v>
      </c>
      <c r="I786" s="2">
        <v>50</v>
      </c>
      <c r="J786" s="2">
        <v>200</v>
      </c>
      <c r="K786" t="str">
        <f t="shared" si="73"/>
        <v>Low</v>
      </c>
      <c r="L786" s="12">
        <f t="shared" si="74"/>
        <v>2023</v>
      </c>
      <c r="M786" s="12">
        <f t="shared" si="75"/>
        <v>1</v>
      </c>
      <c r="N786" s="5" t="str">
        <f t="shared" si="76"/>
        <v>Friday</v>
      </c>
      <c r="O786" s="5" t="str">
        <f t="shared" si="77"/>
        <v>March</v>
      </c>
    </row>
    <row r="787" spans="1:15" x14ac:dyDescent="0.3">
      <c r="A787" s="8">
        <v>786</v>
      </c>
      <c r="B787" s="25">
        <v>45216</v>
      </c>
      <c r="C787" s="5" t="s">
        <v>794</v>
      </c>
      <c r="D787" s="5" t="s">
        <v>5</v>
      </c>
      <c r="E787" s="12">
        <v>48</v>
      </c>
      <c r="F787" s="2" t="str">
        <f t="shared" si="72"/>
        <v>Adult</v>
      </c>
      <c r="G787" s="5" t="s">
        <v>9</v>
      </c>
      <c r="H787" s="8">
        <v>4</v>
      </c>
      <c r="I787" s="2">
        <v>25</v>
      </c>
      <c r="J787" s="2">
        <v>100</v>
      </c>
      <c r="K787" t="str">
        <f t="shared" si="73"/>
        <v>Low</v>
      </c>
      <c r="L787" s="12">
        <f t="shared" si="74"/>
        <v>2023</v>
      </c>
      <c r="M787" s="12">
        <f t="shared" si="75"/>
        <v>4</v>
      </c>
      <c r="N787" s="5" t="str">
        <f t="shared" si="76"/>
        <v>Tuesday</v>
      </c>
      <c r="O787" s="5" t="str">
        <f t="shared" si="77"/>
        <v>October</v>
      </c>
    </row>
    <row r="788" spans="1:15" x14ac:dyDescent="0.3">
      <c r="A788" s="8">
        <v>787</v>
      </c>
      <c r="B788" s="25">
        <v>44948</v>
      </c>
      <c r="C788" s="5" t="s">
        <v>795</v>
      </c>
      <c r="D788" s="5" t="s">
        <v>5</v>
      </c>
      <c r="E788" s="12">
        <v>41</v>
      </c>
      <c r="F788" s="2" t="str">
        <f t="shared" si="72"/>
        <v>Adult</v>
      </c>
      <c r="G788" s="5" t="s">
        <v>11</v>
      </c>
      <c r="H788" s="8">
        <v>1</v>
      </c>
      <c r="I788" s="2">
        <v>25</v>
      </c>
      <c r="J788" s="2">
        <v>25</v>
      </c>
      <c r="K788" t="str">
        <f t="shared" si="73"/>
        <v>Low</v>
      </c>
      <c r="L788" s="12">
        <f t="shared" si="74"/>
        <v>2023</v>
      </c>
      <c r="M788" s="12">
        <f t="shared" si="75"/>
        <v>1</v>
      </c>
      <c r="N788" s="5" t="str">
        <f t="shared" si="76"/>
        <v>Sunday</v>
      </c>
      <c r="O788" s="5" t="str">
        <f t="shared" si="77"/>
        <v>January</v>
      </c>
    </row>
    <row r="789" spans="1:15" x14ac:dyDescent="0.3">
      <c r="A789" s="8">
        <v>788</v>
      </c>
      <c r="B789" s="25">
        <v>45104</v>
      </c>
      <c r="C789" s="5" t="s">
        <v>796</v>
      </c>
      <c r="D789" s="5" t="s">
        <v>8</v>
      </c>
      <c r="E789" s="12">
        <v>52</v>
      </c>
      <c r="F789" s="2" t="str">
        <f t="shared" si="72"/>
        <v>Adult</v>
      </c>
      <c r="G789" s="5" t="s">
        <v>6</v>
      </c>
      <c r="H789" s="8">
        <v>3</v>
      </c>
      <c r="I789" s="2">
        <v>300</v>
      </c>
      <c r="J789" s="2">
        <v>900</v>
      </c>
      <c r="K789" t="str">
        <f t="shared" si="73"/>
        <v>Medium</v>
      </c>
      <c r="L789" s="12">
        <f t="shared" si="74"/>
        <v>2023</v>
      </c>
      <c r="M789" s="12">
        <f t="shared" si="75"/>
        <v>2</v>
      </c>
      <c r="N789" s="5" t="str">
        <f t="shared" si="76"/>
        <v>Tuesday</v>
      </c>
      <c r="O789" s="5" t="str">
        <f t="shared" si="77"/>
        <v>June</v>
      </c>
    </row>
    <row r="790" spans="1:15" x14ac:dyDescent="0.3">
      <c r="A790" s="8">
        <v>789</v>
      </c>
      <c r="B790" s="25">
        <v>45199</v>
      </c>
      <c r="C790" s="5" t="s">
        <v>797</v>
      </c>
      <c r="D790" s="5" t="s">
        <v>8</v>
      </c>
      <c r="E790" s="12">
        <v>61</v>
      </c>
      <c r="F790" s="2" t="str">
        <f t="shared" si="72"/>
        <v>Senior</v>
      </c>
      <c r="G790" s="5" t="s">
        <v>9</v>
      </c>
      <c r="H790" s="8">
        <v>4</v>
      </c>
      <c r="I790" s="2">
        <v>500</v>
      </c>
      <c r="J790" s="2">
        <v>2000</v>
      </c>
      <c r="K790" t="str">
        <f t="shared" si="73"/>
        <v>High</v>
      </c>
      <c r="L790" s="12">
        <f t="shared" si="74"/>
        <v>2023</v>
      </c>
      <c r="M790" s="12">
        <f t="shared" si="75"/>
        <v>3</v>
      </c>
      <c r="N790" s="5" t="str">
        <f t="shared" si="76"/>
        <v>Saturday</v>
      </c>
      <c r="O790" s="5" t="str">
        <f t="shared" si="77"/>
        <v>September</v>
      </c>
    </row>
    <row r="791" spans="1:15" x14ac:dyDescent="0.3">
      <c r="A791" s="8">
        <v>790</v>
      </c>
      <c r="B791" s="25">
        <v>45146</v>
      </c>
      <c r="C791" s="5" t="s">
        <v>798</v>
      </c>
      <c r="D791" s="5" t="s">
        <v>5</v>
      </c>
      <c r="E791" s="12">
        <v>62</v>
      </c>
      <c r="F791" s="2" t="str">
        <f t="shared" si="72"/>
        <v>Senior</v>
      </c>
      <c r="G791" s="5" t="s">
        <v>9</v>
      </c>
      <c r="H791" s="8">
        <v>1</v>
      </c>
      <c r="I791" s="2">
        <v>25</v>
      </c>
      <c r="J791" s="2">
        <v>25</v>
      </c>
      <c r="K791" t="str">
        <f t="shared" si="73"/>
        <v>Low</v>
      </c>
      <c r="L791" s="12">
        <f t="shared" si="74"/>
        <v>2023</v>
      </c>
      <c r="M791" s="12">
        <f t="shared" si="75"/>
        <v>3</v>
      </c>
      <c r="N791" s="5" t="str">
        <f t="shared" si="76"/>
        <v>Tuesday</v>
      </c>
      <c r="O791" s="5" t="str">
        <f t="shared" si="77"/>
        <v>August</v>
      </c>
    </row>
    <row r="792" spans="1:15" x14ac:dyDescent="0.3">
      <c r="A792" s="8">
        <v>791</v>
      </c>
      <c r="B792" s="25">
        <v>45265</v>
      </c>
      <c r="C792" s="5" t="s">
        <v>799</v>
      </c>
      <c r="D792" s="5" t="s">
        <v>8</v>
      </c>
      <c r="E792" s="12">
        <v>51</v>
      </c>
      <c r="F792" s="2" t="str">
        <f t="shared" si="72"/>
        <v>Adult</v>
      </c>
      <c r="G792" s="5" t="s">
        <v>6</v>
      </c>
      <c r="H792" s="8">
        <v>1</v>
      </c>
      <c r="I792" s="2">
        <v>25</v>
      </c>
      <c r="J792" s="2">
        <v>25</v>
      </c>
      <c r="K792" t="str">
        <f t="shared" si="73"/>
        <v>Low</v>
      </c>
      <c r="L792" s="12">
        <f t="shared" si="74"/>
        <v>2023</v>
      </c>
      <c r="M792" s="12">
        <f t="shared" si="75"/>
        <v>4</v>
      </c>
      <c r="N792" s="5" t="str">
        <f t="shared" si="76"/>
        <v>Tuesday</v>
      </c>
      <c r="O792" s="5" t="str">
        <f t="shared" si="77"/>
        <v>December</v>
      </c>
    </row>
    <row r="793" spans="1:15" x14ac:dyDescent="0.3">
      <c r="A793" s="8">
        <v>792</v>
      </c>
      <c r="B793" s="25">
        <v>45116</v>
      </c>
      <c r="C793" s="5" t="s">
        <v>800</v>
      </c>
      <c r="D793" s="5" t="s">
        <v>8</v>
      </c>
      <c r="E793" s="12">
        <v>20</v>
      </c>
      <c r="F793" s="2" t="str">
        <f t="shared" si="72"/>
        <v>Young</v>
      </c>
      <c r="G793" s="5" t="s">
        <v>6</v>
      </c>
      <c r="H793" s="8">
        <v>1</v>
      </c>
      <c r="I793" s="2">
        <v>50</v>
      </c>
      <c r="J793" s="2">
        <v>50</v>
      </c>
      <c r="K793" t="str">
        <f t="shared" si="73"/>
        <v>Low</v>
      </c>
      <c r="L793" s="12">
        <f t="shared" si="74"/>
        <v>2023</v>
      </c>
      <c r="M793" s="12">
        <f t="shared" si="75"/>
        <v>3</v>
      </c>
      <c r="N793" s="5" t="str">
        <f t="shared" si="76"/>
        <v>Sunday</v>
      </c>
      <c r="O793" s="5" t="str">
        <f t="shared" si="77"/>
        <v>July</v>
      </c>
    </row>
    <row r="794" spans="1:15" x14ac:dyDescent="0.3">
      <c r="A794" s="8">
        <v>793</v>
      </c>
      <c r="B794" s="25">
        <v>44962</v>
      </c>
      <c r="C794" s="5" t="s">
        <v>801</v>
      </c>
      <c r="D794" s="5" t="s">
        <v>5</v>
      </c>
      <c r="E794" s="12">
        <v>54</v>
      </c>
      <c r="F794" s="2" t="str">
        <f t="shared" si="72"/>
        <v>Adult</v>
      </c>
      <c r="G794" s="5" t="s">
        <v>6</v>
      </c>
      <c r="H794" s="8">
        <v>1</v>
      </c>
      <c r="I794" s="2">
        <v>30</v>
      </c>
      <c r="J794" s="2">
        <v>30</v>
      </c>
      <c r="K794" t="str">
        <f t="shared" si="73"/>
        <v>Low</v>
      </c>
      <c r="L794" s="12">
        <f t="shared" si="74"/>
        <v>2023</v>
      </c>
      <c r="M794" s="12">
        <f t="shared" si="75"/>
        <v>1</v>
      </c>
      <c r="N794" s="5" t="str">
        <f t="shared" si="76"/>
        <v>Sunday</v>
      </c>
      <c r="O794" s="5" t="str">
        <f t="shared" si="77"/>
        <v>February</v>
      </c>
    </row>
    <row r="795" spans="1:15" x14ac:dyDescent="0.3">
      <c r="A795" s="8">
        <v>794</v>
      </c>
      <c r="B795" s="25">
        <v>45186</v>
      </c>
      <c r="C795" s="5" t="s">
        <v>802</v>
      </c>
      <c r="D795" s="5" t="s">
        <v>8</v>
      </c>
      <c r="E795" s="12">
        <v>60</v>
      </c>
      <c r="F795" s="2" t="str">
        <f t="shared" si="72"/>
        <v>Adult</v>
      </c>
      <c r="G795" s="5" t="s">
        <v>6</v>
      </c>
      <c r="H795" s="8">
        <v>1</v>
      </c>
      <c r="I795" s="2">
        <v>300</v>
      </c>
      <c r="J795" s="2">
        <v>300</v>
      </c>
      <c r="K795" t="str">
        <f t="shared" si="73"/>
        <v>Low</v>
      </c>
      <c r="L795" s="12">
        <f t="shared" si="74"/>
        <v>2023</v>
      </c>
      <c r="M795" s="12">
        <f t="shared" si="75"/>
        <v>3</v>
      </c>
      <c r="N795" s="5" t="str">
        <f t="shared" si="76"/>
        <v>Sunday</v>
      </c>
      <c r="O795" s="5" t="str">
        <f t="shared" si="77"/>
        <v>September</v>
      </c>
    </row>
    <row r="796" spans="1:15" x14ac:dyDescent="0.3">
      <c r="A796" s="8">
        <v>795</v>
      </c>
      <c r="B796" s="25">
        <v>45258</v>
      </c>
      <c r="C796" s="5" t="s">
        <v>803</v>
      </c>
      <c r="D796" s="5" t="s">
        <v>5</v>
      </c>
      <c r="E796" s="12">
        <v>57</v>
      </c>
      <c r="F796" s="2" t="str">
        <f t="shared" si="72"/>
        <v>Adult</v>
      </c>
      <c r="G796" s="5" t="s">
        <v>11</v>
      </c>
      <c r="H796" s="8">
        <v>1</v>
      </c>
      <c r="I796" s="2">
        <v>300</v>
      </c>
      <c r="J796" s="2">
        <v>300</v>
      </c>
      <c r="K796" t="str">
        <f t="shared" si="73"/>
        <v>Low</v>
      </c>
      <c r="L796" s="12">
        <f t="shared" si="74"/>
        <v>2023</v>
      </c>
      <c r="M796" s="12">
        <f t="shared" si="75"/>
        <v>4</v>
      </c>
      <c r="N796" s="5" t="str">
        <f t="shared" si="76"/>
        <v>Tuesday</v>
      </c>
      <c r="O796" s="5" t="str">
        <f t="shared" si="77"/>
        <v>November</v>
      </c>
    </row>
    <row r="797" spans="1:15" x14ac:dyDescent="0.3">
      <c r="A797" s="8">
        <v>796</v>
      </c>
      <c r="B797" s="25">
        <v>45101</v>
      </c>
      <c r="C797" s="5" t="s">
        <v>804</v>
      </c>
      <c r="D797" s="5" t="s">
        <v>5</v>
      </c>
      <c r="E797" s="12">
        <v>43</v>
      </c>
      <c r="F797" s="2" t="str">
        <f t="shared" si="72"/>
        <v>Adult</v>
      </c>
      <c r="G797" s="5" t="s">
        <v>6</v>
      </c>
      <c r="H797" s="8">
        <v>4</v>
      </c>
      <c r="I797" s="2">
        <v>30</v>
      </c>
      <c r="J797" s="2">
        <v>120</v>
      </c>
      <c r="K797" t="str">
        <f t="shared" si="73"/>
        <v>Low</v>
      </c>
      <c r="L797" s="12">
        <f t="shared" si="74"/>
        <v>2023</v>
      </c>
      <c r="M797" s="12">
        <f t="shared" si="75"/>
        <v>2</v>
      </c>
      <c r="N797" s="5" t="str">
        <f t="shared" si="76"/>
        <v>Saturday</v>
      </c>
      <c r="O797" s="5" t="str">
        <f t="shared" si="77"/>
        <v>June</v>
      </c>
    </row>
    <row r="798" spans="1:15" x14ac:dyDescent="0.3">
      <c r="A798" s="8">
        <v>797</v>
      </c>
      <c r="B798" s="25">
        <v>44933</v>
      </c>
      <c r="C798" s="5" t="s">
        <v>805</v>
      </c>
      <c r="D798" s="5" t="s">
        <v>5</v>
      </c>
      <c r="E798" s="12">
        <v>40</v>
      </c>
      <c r="F798" s="2" t="str">
        <f t="shared" si="72"/>
        <v>Adult</v>
      </c>
      <c r="G798" s="5" t="s">
        <v>9</v>
      </c>
      <c r="H798" s="8">
        <v>3</v>
      </c>
      <c r="I798" s="2">
        <v>25</v>
      </c>
      <c r="J798" s="2">
        <v>75</v>
      </c>
      <c r="K798" t="str">
        <f t="shared" si="73"/>
        <v>Low</v>
      </c>
      <c r="L798" s="12">
        <f t="shared" si="74"/>
        <v>2023</v>
      </c>
      <c r="M798" s="12">
        <f t="shared" si="75"/>
        <v>1</v>
      </c>
      <c r="N798" s="5" t="str">
        <f t="shared" si="76"/>
        <v>Saturday</v>
      </c>
      <c r="O798" s="5" t="str">
        <f t="shared" si="77"/>
        <v>January</v>
      </c>
    </row>
    <row r="799" spans="1:15" x14ac:dyDescent="0.3">
      <c r="A799" s="8">
        <v>798</v>
      </c>
      <c r="B799" s="25">
        <v>45142</v>
      </c>
      <c r="C799" s="5" t="s">
        <v>806</v>
      </c>
      <c r="D799" s="5" t="s">
        <v>5</v>
      </c>
      <c r="E799" s="12">
        <v>61</v>
      </c>
      <c r="F799" s="2" t="str">
        <f t="shared" si="72"/>
        <v>Senior</v>
      </c>
      <c r="G799" s="5" t="s">
        <v>9</v>
      </c>
      <c r="H799" s="8">
        <v>1</v>
      </c>
      <c r="I799" s="2">
        <v>50</v>
      </c>
      <c r="J799" s="2">
        <v>50</v>
      </c>
      <c r="K799" t="str">
        <f t="shared" si="73"/>
        <v>Low</v>
      </c>
      <c r="L799" s="12">
        <f t="shared" si="74"/>
        <v>2023</v>
      </c>
      <c r="M799" s="12">
        <f t="shared" si="75"/>
        <v>3</v>
      </c>
      <c r="N799" s="5" t="str">
        <f t="shared" si="76"/>
        <v>Friday</v>
      </c>
      <c r="O799" s="5" t="str">
        <f t="shared" si="77"/>
        <v>August</v>
      </c>
    </row>
    <row r="800" spans="1:15" x14ac:dyDescent="0.3">
      <c r="A800" s="8">
        <v>799</v>
      </c>
      <c r="B800" s="25">
        <v>45177</v>
      </c>
      <c r="C800" s="5" t="s">
        <v>807</v>
      </c>
      <c r="D800" s="5" t="s">
        <v>5</v>
      </c>
      <c r="E800" s="12">
        <v>56</v>
      </c>
      <c r="F800" s="2" t="str">
        <f t="shared" si="72"/>
        <v>Adult</v>
      </c>
      <c r="G800" s="5" t="s">
        <v>11</v>
      </c>
      <c r="H800" s="8">
        <v>2</v>
      </c>
      <c r="I800" s="2">
        <v>50</v>
      </c>
      <c r="J800" s="2">
        <v>100</v>
      </c>
      <c r="K800" t="str">
        <f t="shared" si="73"/>
        <v>Low</v>
      </c>
      <c r="L800" s="12">
        <f t="shared" si="74"/>
        <v>2023</v>
      </c>
      <c r="M800" s="12">
        <f t="shared" si="75"/>
        <v>3</v>
      </c>
      <c r="N800" s="5" t="str">
        <f t="shared" si="76"/>
        <v>Friday</v>
      </c>
      <c r="O800" s="5" t="str">
        <f t="shared" si="77"/>
        <v>September</v>
      </c>
    </row>
    <row r="801" spans="1:15" x14ac:dyDescent="0.3">
      <c r="A801" s="8">
        <v>800</v>
      </c>
      <c r="B801" s="25">
        <v>44981</v>
      </c>
      <c r="C801" s="5" t="s">
        <v>808</v>
      </c>
      <c r="D801" s="5" t="s">
        <v>5</v>
      </c>
      <c r="E801" s="12">
        <v>32</v>
      </c>
      <c r="F801" s="2" t="str">
        <f t="shared" si="72"/>
        <v>Adult</v>
      </c>
      <c r="G801" s="5" t="s">
        <v>9</v>
      </c>
      <c r="H801" s="8">
        <v>4</v>
      </c>
      <c r="I801" s="2">
        <v>300</v>
      </c>
      <c r="J801" s="2">
        <v>1200</v>
      </c>
      <c r="K801" t="str">
        <f t="shared" si="73"/>
        <v>Medium</v>
      </c>
      <c r="L801" s="12">
        <f t="shared" si="74"/>
        <v>2023</v>
      </c>
      <c r="M801" s="12">
        <f t="shared" si="75"/>
        <v>1</v>
      </c>
      <c r="N801" s="5" t="str">
        <f t="shared" si="76"/>
        <v>Friday</v>
      </c>
      <c r="O801" s="5" t="str">
        <f t="shared" si="77"/>
        <v>February</v>
      </c>
    </row>
    <row r="802" spans="1:15" x14ac:dyDescent="0.3">
      <c r="A802" s="8">
        <v>801</v>
      </c>
      <c r="B802" s="25">
        <v>45148</v>
      </c>
      <c r="C802" s="5" t="s">
        <v>809</v>
      </c>
      <c r="D802" s="5" t="s">
        <v>5</v>
      </c>
      <c r="E802" s="12">
        <v>21</v>
      </c>
      <c r="F802" s="2" t="str">
        <f t="shared" si="72"/>
        <v>Young</v>
      </c>
      <c r="G802" s="5" t="s">
        <v>9</v>
      </c>
      <c r="H802" s="8">
        <v>4</v>
      </c>
      <c r="I802" s="2">
        <v>50</v>
      </c>
      <c r="J802" s="2">
        <v>200</v>
      </c>
      <c r="K802" t="str">
        <f t="shared" si="73"/>
        <v>Low</v>
      </c>
      <c r="L802" s="12">
        <f t="shared" si="74"/>
        <v>2023</v>
      </c>
      <c r="M802" s="12">
        <f t="shared" si="75"/>
        <v>3</v>
      </c>
      <c r="N802" s="5" t="str">
        <f t="shared" si="76"/>
        <v>Thursday</v>
      </c>
      <c r="O802" s="5" t="str">
        <f t="shared" si="77"/>
        <v>August</v>
      </c>
    </row>
    <row r="803" spans="1:15" x14ac:dyDescent="0.3">
      <c r="A803" s="8">
        <v>802</v>
      </c>
      <c r="B803" s="25">
        <v>45112</v>
      </c>
      <c r="C803" s="5" t="s">
        <v>810</v>
      </c>
      <c r="D803" s="5" t="s">
        <v>8</v>
      </c>
      <c r="E803" s="12">
        <v>46</v>
      </c>
      <c r="F803" s="2" t="str">
        <f t="shared" si="72"/>
        <v>Adult</v>
      </c>
      <c r="G803" s="5" t="s">
        <v>6</v>
      </c>
      <c r="H803" s="8">
        <v>1</v>
      </c>
      <c r="I803" s="2">
        <v>30</v>
      </c>
      <c r="J803" s="2">
        <v>30</v>
      </c>
      <c r="K803" t="str">
        <f t="shared" si="73"/>
        <v>Low</v>
      </c>
      <c r="L803" s="12">
        <f t="shared" si="74"/>
        <v>2023</v>
      </c>
      <c r="M803" s="12">
        <f t="shared" si="75"/>
        <v>3</v>
      </c>
      <c r="N803" s="5" t="str">
        <f t="shared" si="76"/>
        <v>Wednesday</v>
      </c>
      <c r="O803" s="5" t="str">
        <f t="shared" si="77"/>
        <v>July</v>
      </c>
    </row>
    <row r="804" spans="1:15" x14ac:dyDescent="0.3">
      <c r="A804" s="8">
        <v>803</v>
      </c>
      <c r="B804" s="25">
        <v>45252</v>
      </c>
      <c r="C804" s="5" t="s">
        <v>811</v>
      </c>
      <c r="D804" s="5" t="s">
        <v>5</v>
      </c>
      <c r="E804" s="12">
        <v>39</v>
      </c>
      <c r="F804" s="2" t="str">
        <f t="shared" si="72"/>
        <v>Adult</v>
      </c>
      <c r="G804" s="5" t="s">
        <v>9</v>
      </c>
      <c r="H804" s="8">
        <v>4</v>
      </c>
      <c r="I804" s="2">
        <v>25</v>
      </c>
      <c r="J804" s="2">
        <v>100</v>
      </c>
      <c r="K804" t="str">
        <f t="shared" si="73"/>
        <v>Low</v>
      </c>
      <c r="L804" s="12">
        <f t="shared" si="74"/>
        <v>2023</v>
      </c>
      <c r="M804" s="12">
        <f t="shared" si="75"/>
        <v>4</v>
      </c>
      <c r="N804" s="5" t="str">
        <f t="shared" si="76"/>
        <v>Wednesday</v>
      </c>
      <c r="O804" s="5" t="str">
        <f t="shared" si="77"/>
        <v>November</v>
      </c>
    </row>
    <row r="805" spans="1:15" x14ac:dyDescent="0.3">
      <c r="A805" s="8">
        <v>804</v>
      </c>
      <c r="B805" s="25">
        <v>45162</v>
      </c>
      <c r="C805" s="5" t="s">
        <v>812</v>
      </c>
      <c r="D805" s="5" t="s">
        <v>5</v>
      </c>
      <c r="E805" s="12">
        <v>42</v>
      </c>
      <c r="F805" s="2" t="str">
        <f t="shared" si="72"/>
        <v>Adult</v>
      </c>
      <c r="G805" s="5" t="s">
        <v>11</v>
      </c>
      <c r="H805" s="8">
        <v>1</v>
      </c>
      <c r="I805" s="2">
        <v>30</v>
      </c>
      <c r="J805" s="2">
        <v>30</v>
      </c>
      <c r="K805" t="str">
        <f t="shared" si="73"/>
        <v>Low</v>
      </c>
      <c r="L805" s="12">
        <f t="shared" si="74"/>
        <v>2023</v>
      </c>
      <c r="M805" s="12">
        <f t="shared" si="75"/>
        <v>3</v>
      </c>
      <c r="N805" s="5" t="str">
        <f t="shared" si="76"/>
        <v>Thursday</v>
      </c>
      <c r="O805" s="5" t="str">
        <f t="shared" si="77"/>
        <v>August</v>
      </c>
    </row>
    <row r="806" spans="1:15" x14ac:dyDescent="0.3">
      <c r="A806" s="8">
        <v>805</v>
      </c>
      <c r="B806" s="25">
        <v>45289</v>
      </c>
      <c r="C806" s="5" t="s">
        <v>813</v>
      </c>
      <c r="D806" s="5" t="s">
        <v>8</v>
      </c>
      <c r="E806" s="12">
        <v>30</v>
      </c>
      <c r="F806" s="2" t="str">
        <f t="shared" si="72"/>
        <v>Young</v>
      </c>
      <c r="G806" s="5" t="s">
        <v>6</v>
      </c>
      <c r="H806" s="8">
        <v>3</v>
      </c>
      <c r="I806" s="2">
        <v>500</v>
      </c>
      <c r="J806" s="2">
        <v>1500</v>
      </c>
      <c r="K806" t="str">
        <f t="shared" si="73"/>
        <v>Medium</v>
      </c>
      <c r="L806" s="12">
        <f t="shared" si="74"/>
        <v>2023</v>
      </c>
      <c r="M806" s="12">
        <f t="shared" si="75"/>
        <v>4</v>
      </c>
      <c r="N806" s="5" t="str">
        <f t="shared" si="76"/>
        <v>Friday</v>
      </c>
      <c r="O806" s="5" t="str">
        <f t="shared" si="77"/>
        <v>December</v>
      </c>
    </row>
    <row r="807" spans="1:15" x14ac:dyDescent="0.3">
      <c r="A807" s="8">
        <v>806</v>
      </c>
      <c r="B807" s="25">
        <v>45005</v>
      </c>
      <c r="C807" s="5" t="s">
        <v>814</v>
      </c>
      <c r="D807" s="5" t="s">
        <v>8</v>
      </c>
      <c r="E807" s="12">
        <v>35</v>
      </c>
      <c r="F807" s="2" t="str">
        <f t="shared" si="72"/>
        <v>Adult</v>
      </c>
      <c r="G807" s="5" t="s">
        <v>6</v>
      </c>
      <c r="H807" s="8">
        <v>3</v>
      </c>
      <c r="I807" s="2">
        <v>300</v>
      </c>
      <c r="J807" s="2">
        <v>900</v>
      </c>
      <c r="K807" t="str">
        <f t="shared" si="73"/>
        <v>Medium</v>
      </c>
      <c r="L807" s="12">
        <f t="shared" si="74"/>
        <v>2023</v>
      </c>
      <c r="M807" s="12">
        <f t="shared" si="75"/>
        <v>1</v>
      </c>
      <c r="N807" s="5" t="str">
        <f t="shared" si="76"/>
        <v>Monday</v>
      </c>
      <c r="O807" s="5" t="str">
        <f t="shared" si="77"/>
        <v>March</v>
      </c>
    </row>
    <row r="808" spans="1:15" x14ac:dyDescent="0.3">
      <c r="A808" s="8">
        <v>807</v>
      </c>
      <c r="B808" s="25">
        <v>45149</v>
      </c>
      <c r="C808" s="5" t="s">
        <v>815</v>
      </c>
      <c r="D808" s="5" t="s">
        <v>8</v>
      </c>
      <c r="E808" s="12">
        <v>50</v>
      </c>
      <c r="F808" s="2" t="str">
        <f t="shared" si="72"/>
        <v>Adult</v>
      </c>
      <c r="G808" s="5" t="s">
        <v>11</v>
      </c>
      <c r="H808" s="8">
        <v>4</v>
      </c>
      <c r="I808" s="2">
        <v>50</v>
      </c>
      <c r="J808" s="2">
        <v>200</v>
      </c>
      <c r="K808" t="str">
        <f t="shared" si="73"/>
        <v>Low</v>
      </c>
      <c r="L808" s="12">
        <f t="shared" si="74"/>
        <v>2023</v>
      </c>
      <c r="M808" s="12">
        <f t="shared" si="75"/>
        <v>3</v>
      </c>
      <c r="N808" s="5" t="str">
        <f t="shared" si="76"/>
        <v>Friday</v>
      </c>
      <c r="O808" s="5" t="str">
        <f t="shared" si="77"/>
        <v>August</v>
      </c>
    </row>
    <row r="809" spans="1:15" x14ac:dyDescent="0.3">
      <c r="A809" s="8">
        <v>808</v>
      </c>
      <c r="B809" s="25">
        <v>45017</v>
      </c>
      <c r="C809" s="5" t="s">
        <v>816</v>
      </c>
      <c r="D809" s="5" t="s">
        <v>5</v>
      </c>
      <c r="E809" s="12">
        <v>33</v>
      </c>
      <c r="F809" s="2" t="str">
        <f t="shared" si="72"/>
        <v>Adult</v>
      </c>
      <c r="G809" s="5" t="s">
        <v>6</v>
      </c>
      <c r="H809" s="8">
        <v>4</v>
      </c>
      <c r="I809" s="2">
        <v>500</v>
      </c>
      <c r="J809" s="2">
        <v>2000</v>
      </c>
      <c r="K809" t="str">
        <f t="shared" si="73"/>
        <v>High</v>
      </c>
      <c r="L809" s="12">
        <f t="shared" si="74"/>
        <v>2023</v>
      </c>
      <c r="M809" s="12">
        <f t="shared" si="75"/>
        <v>2</v>
      </c>
      <c r="N809" s="5" t="str">
        <f t="shared" si="76"/>
        <v>Saturday</v>
      </c>
      <c r="O809" s="5" t="str">
        <f t="shared" si="77"/>
        <v>April</v>
      </c>
    </row>
    <row r="810" spans="1:15" x14ac:dyDescent="0.3">
      <c r="A810" s="8">
        <v>809</v>
      </c>
      <c r="B810" s="25">
        <v>45194</v>
      </c>
      <c r="C810" s="5" t="s">
        <v>817</v>
      </c>
      <c r="D810" s="5" t="s">
        <v>8</v>
      </c>
      <c r="E810" s="12">
        <v>62</v>
      </c>
      <c r="F810" s="2" t="str">
        <f t="shared" si="72"/>
        <v>Senior</v>
      </c>
      <c r="G810" s="5" t="s">
        <v>6</v>
      </c>
      <c r="H810" s="8">
        <v>2</v>
      </c>
      <c r="I810" s="2">
        <v>50</v>
      </c>
      <c r="J810" s="2">
        <v>100</v>
      </c>
      <c r="K810" t="str">
        <f t="shared" si="73"/>
        <v>Low</v>
      </c>
      <c r="L810" s="12">
        <f t="shared" si="74"/>
        <v>2023</v>
      </c>
      <c r="M810" s="12">
        <f t="shared" si="75"/>
        <v>3</v>
      </c>
      <c r="N810" s="5" t="str">
        <f t="shared" si="76"/>
        <v>Monday</v>
      </c>
      <c r="O810" s="5" t="str">
        <f t="shared" si="77"/>
        <v>September</v>
      </c>
    </row>
    <row r="811" spans="1:15" x14ac:dyDescent="0.3">
      <c r="A811" s="8">
        <v>810</v>
      </c>
      <c r="B811" s="25">
        <v>45260</v>
      </c>
      <c r="C811" s="5" t="s">
        <v>818</v>
      </c>
      <c r="D811" s="5" t="s">
        <v>5</v>
      </c>
      <c r="E811" s="12">
        <v>59</v>
      </c>
      <c r="F811" s="2" t="str">
        <f t="shared" si="72"/>
        <v>Adult</v>
      </c>
      <c r="G811" s="5" t="s">
        <v>11</v>
      </c>
      <c r="H811" s="8">
        <v>4</v>
      </c>
      <c r="I811" s="2">
        <v>25</v>
      </c>
      <c r="J811" s="2">
        <v>100</v>
      </c>
      <c r="K811" t="str">
        <f t="shared" si="73"/>
        <v>Low</v>
      </c>
      <c r="L811" s="12">
        <f t="shared" si="74"/>
        <v>2023</v>
      </c>
      <c r="M811" s="12">
        <f t="shared" si="75"/>
        <v>4</v>
      </c>
      <c r="N811" s="5" t="str">
        <f t="shared" si="76"/>
        <v>Thursday</v>
      </c>
      <c r="O811" s="5" t="str">
        <f t="shared" si="77"/>
        <v>November</v>
      </c>
    </row>
    <row r="812" spans="1:15" x14ac:dyDescent="0.3">
      <c r="A812" s="8">
        <v>811</v>
      </c>
      <c r="B812" s="25">
        <v>45065</v>
      </c>
      <c r="C812" s="5" t="s">
        <v>819</v>
      </c>
      <c r="D812" s="5" t="s">
        <v>5</v>
      </c>
      <c r="E812" s="12">
        <v>61</v>
      </c>
      <c r="F812" s="2" t="str">
        <f t="shared" si="72"/>
        <v>Senior</v>
      </c>
      <c r="G812" s="5" t="s">
        <v>6</v>
      </c>
      <c r="H812" s="8">
        <v>2</v>
      </c>
      <c r="I812" s="2">
        <v>25</v>
      </c>
      <c r="J812" s="2">
        <v>50</v>
      </c>
      <c r="K812" t="str">
        <f t="shared" si="73"/>
        <v>Low</v>
      </c>
      <c r="L812" s="12">
        <f t="shared" si="74"/>
        <v>2023</v>
      </c>
      <c r="M812" s="12">
        <f t="shared" si="75"/>
        <v>2</v>
      </c>
      <c r="N812" s="5" t="str">
        <f t="shared" si="76"/>
        <v>Friday</v>
      </c>
      <c r="O812" s="5" t="str">
        <f t="shared" si="77"/>
        <v>May</v>
      </c>
    </row>
    <row r="813" spans="1:15" x14ac:dyDescent="0.3">
      <c r="A813" s="8">
        <v>812</v>
      </c>
      <c r="B813" s="25">
        <v>45242</v>
      </c>
      <c r="C813" s="5" t="s">
        <v>820</v>
      </c>
      <c r="D813" s="5" t="s">
        <v>5</v>
      </c>
      <c r="E813" s="12">
        <v>19</v>
      </c>
      <c r="F813" s="2" t="str">
        <f t="shared" si="72"/>
        <v>Young</v>
      </c>
      <c r="G813" s="5" t="s">
        <v>11</v>
      </c>
      <c r="H813" s="8">
        <v>3</v>
      </c>
      <c r="I813" s="2">
        <v>25</v>
      </c>
      <c r="J813" s="2">
        <v>75</v>
      </c>
      <c r="K813" t="str">
        <f t="shared" si="73"/>
        <v>Low</v>
      </c>
      <c r="L813" s="12">
        <f t="shared" si="74"/>
        <v>2023</v>
      </c>
      <c r="M813" s="12">
        <f t="shared" si="75"/>
        <v>4</v>
      </c>
      <c r="N813" s="5" t="str">
        <f t="shared" si="76"/>
        <v>Sunday</v>
      </c>
      <c r="O813" s="5" t="str">
        <f t="shared" si="77"/>
        <v>November</v>
      </c>
    </row>
    <row r="814" spans="1:15" x14ac:dyDescent="0.3">
      <c r="A814" s="8">
        <v>813</v>
      </c>
      <c r="B814" s="25">
        <v>45202</v>
      </c>
      <c r="C814" s="5" t="s">
        <v>821</v>
      </c>
      <c r="D814" s="5" t="s">
        <v>5</v>
      </c>
      <c r="E814" s="12">
        <v>52</v>
      </c>
      <c r="F814" s="2" t="str">
        <f t="shared" si="72"/>
        <v>Adult</v>
      </c>
      <c r="G814" s="5" t="s">
        <v>11</v>
      </c>
      <c r="H814" s="8">
        <v>3</v>
      </c>
      <c r="I814" s="2">
        <v>50</v>
      </c>
      <c r="J814" s="2">
        <v>150</v>
      </c>
      <c r="K814" t="str">
        <f t="shared" si="73"/>
        <v>Low</v>
      </c>
      <c r="L814" s="12">
        <f t="shared" si="74"/>
        <v>2023</v>
      </c>
      <c r="M814" s="12">
        <f t="shared" si="75"/>
        <v>4</v>
      </c>
      <c r="N814" s="5" t="str">
        <f t="shared" si="76"/>
        <v>Tuesday</v>
      </c>
      <c r="O814" s="5" t="str">
        <f t="shared" si="77"/>
        <v>October</v>
      </c>
    </row>
    <row r="815" spans="1:15" x14ac:dyDescent="0.3">
      <c r="A815" s="8">
        <v>814</v>
      </c>
      <c r="B815" s="25">
        <v>45174</v>
      </c>
      <c r="C815" s="5" t="s">
        <v>822</v>
      </c>
      <c r="D815" s="5" t="s">
        <v>8</v>
      </c>
      <c r="E815" s="12">
        <v>59</v>
      </c>
      <c r="F815" s="2" t="str">
        <f t="shared" si="72"/>
        <v>Adult</v>
      </c>
      <c r="G815" s="5" t="s">
        <v>9</v>
      </c>
      <c r="H815" s="8">
        <v>1</v>
      </c>
      <c r="I815" s="2">
        <v>500</v>
      </c>
      <c r="J815" s="2">
        <v>500</v>
      </c>
      <c r="K815" t="str">
        <f t="shared" si="73"/>
        <v>Low</v>
      </c>
      <c r="L815" s="12">
        <f t="shared" si="74"/>
        <v>2023</v>
      </c>
      <c r="M815" s="12">
        <f t="shared" si="75"/>
        <v>3</v>
      </c>
      <c r="N815" s="5" t="str">
        <f t="shared" si="76"/>
        <v>Tuesday</v>
      </c>
      <c r="O815" s="5" t="str">
        <f t="shared" si="77"/>
        <v>September</v>
      </c>
    </row>
    <row r="816" spans="1:15" x14ac:dyDescent="0.3">
      <c r="A816" s="8">
        <v>815</v>
      </c>
      <c r="B816" s="25">
        <v>45165</v>
      </c>
      <c r="C816" s="5" t="s">
        <v>823</v>
      </c>
      <c r="D816" s="5" t="s">
        <v>8</v>
      </c>
      <c r="E816" s="12">
        <v>51</v>
      </c>
      <c r="F816" s="2" t="str">
        <f t="shared" si="72"/>
        <v>Adult</v>
      </c>
      <c r="G816" s="5" t="s">
        <v>9</v>
      </c>
      <c r="H816" s="8">
        <v>3</v>
      </c>
      <c r="I816" s="2">
        <v>25</v>
      </c>
      <c r="J816" s="2">
        <v>75</v>
      </c>
      <c r="K816" t="str">
        <f t="shared" si="73"/>
        <v>Low</v>
      </c>
      <c r="L816" s="12">
        <f t="shared" si="74"/>
        <v>2023</v>
      </c>
      <c r="M816" s="12">
        <f t="shared" si="75"/>
        <v>3</v>
      </c>
      <c r="N816" s="5" t="str">
        <f t="shared" si="76"/>
        <v>Sunday</v>
      </c>
      <c r="O816" s="5" t="str">
        <f t="shared" si="77"/>
        <v>August</v>
      </c>
    </row>
    <row r="817" spans="1:15" x14ac:dyDescent="0.3">
      <c r="A817" s="8">
        <v>816</v>
      </c>
      <c r="B817" s="25">
        <v>45150</v>
      </c>
      <c r="C817" s="5" t="s">
        <v>824</v>
      </c>
      <c r="D817" s="5" t="s">
        <v>5</v>
      </c>
      <c r="E817" s="12">
        <v>47</v>
      </c>
      <c r="F817" s="2" t="str">
        <f t="shared" si="72"/>
        <v>Adult</v>
      </c>
      <c r="G817" s="5" t="s">
        <v>6</v>
      </c>
      <c r="H817" s="8">
        <v>2</v>
      </c>
      <c r="I817" s="2">
        <v>500</v>
      </c>
      <c r="J817" s="2">
        <v>1000</v>
      </c>
      <c r="K817" t="str">
        <f t="shared" si="73"/>
        <v>Medium</v>
      </c>
      <c r="L817" s="12">
        <f t="shared" si="74"/>
        <v>2023</v>
      </c>
      <c r="M817" s="12">
        <f t="shared" si="75"/>
        <v>3</v>
      </c>
      <c r="N817" s="5" t="str">
        <f t="shared" si="76"/>
        <v>Saturday</v>
      </c>
      <c r="O817" s="5" t="str">
        <f t="shared" si="77"/>
        <v>August</v>
      </c>
    </row>
    <row r="818" spans="1:15" x14ac:dyDescent="0.3">
      <c r="A818" s="8">
        <v>817</v>
      </c>
      <c r="B818" s="25">
        <v>45230</v>
      </c>
      <c r="C818" s="5" t="s">
        <v>825</v>
      </c>
      <c r="D818" s="5" t="s">
        <v>5</v>
      </c>
      <c r="E818" s="12">
        <v>30</v>
      </c>
      <c r="F818" s="2" t="str">
        <f t="shared" si="72"/>
        <v>Young</v>
      </c>
      <c r="G818" s="5" t="s">
        <v>6</v>
      </c>
      <c r="H818" s="8">
        <v>4</v>
      </c>
      <c r="I818" s="2">
        <v>50</v>
      </c>
      <c r="J818" s="2">
        <v>200</v>
      </c>
      <c r="K818" t="str">
        <f t="shared" si="73"/>
        <v>Low</v>
      </c>
      <c r="L818" s="12">
        <f t="shared" si="74"/>
        <v>2023</v>
      </c>
      <c r="M818" s="12">
        <f t="shared" si="75"/>
        <v>4</v>
      </c>
      <c r="N818" s="5" t="str">
        <f t="shared" si="76"/>
        <v>Tuesday</v>
      </c>
      <c r="O818" s="5" t="str">
        <f t="shared" si="77"/>
        <v>October</v>
      </c>
    </row>
    <row r="819" spans="1:15" x14ac:dyDescent="0.3">
      <c r="A819" s="8">
        <v>818</v>
      </c>
      <c r="B819" s="25">
        <v>45064</v>
      </c>
      <c r="C819" s="5" t="s">
        <v>826</v>
      </c>
      <c r="D819" s="5" t="s">
        <v>5</v>
      </c>
      <c r="E819" s="12">
        <v>30</v>
      </c>
      <c r="F819" s="2" t="str">
        <f t="shared" si="72"/>
        <v>Young</v>
      </c>
      <c r="G819" s="5" t="s">
        <v>11</v>
      </c>
      <c r="H819" s="8">
        <v>1</v>
      </c>
      <c r="I819" s="2">
        <v>500</v>
      </c>
      <c r="J819" s="2">
        <v>500</v>
      </c>
      <c r="K819" t="str">
        <f t="shared" si="73"/>
        <v>Low</v>
      </c>
      <c r="L819" s="12">
        <f t="shared" si="74"/>
        <v>2023</v>
      </c>
      <c r="M819" s="12">
        <f t="shared" si="75"/>
        <v>2</v>
      </c>
      <c r="N819" s="5" t="str">
        <f t="shared" si="76"/>
        <v>Thursday</v>
      </c>
      <c r="O819" s="5" t="str">
        <f t="shared" si="77"/>
        <v>May</v>
      </c>
    </row>
    <row r="820" spans="1:15" x14ac:dyDescent="0.3">
      <c r="A820" s="8">
        <v>819</v>
      </c>
      <c r="B820" s="25">
        <v>45092</v>
      </c>
      <c r="C820" s="5" t="s">
        <v>827</v>
      </c>
      <c r="D820" s="5" t="s">
        <v>8</v>
      </c>
      <c r="E820" s="12">
        <v>35</v>
      </c>
      <c r="F820" s="2" t="str">
        <f t="shared" si="72"/>
        <v>Adult</v>
      </c>
      <c r="G820" s="5" t="s">
        <v>6</v>
      </c>
      <c r="H820" s="8">
        <v>2</v>
      </c>
      <c r="I820" s="2">
        <v>50</v>
      </c>
      <c r="J820" s="2">
        <v>100</v>
      </c>
      <c r="K820" t="str">
        <f t="shared" si="73"/>
        <v>Low</v>
      </c>
      <c r="L820" s="12">
        <f t="shared" si="74"/>
        <v>2023</v>
      </c>
      <c r="M820" s="12">
        <f t="shared" si="75"/>
        <v>2</v>
      </c>
      <c r="N820" s="5" t="str">
        <f t="shared" si="76"/>
        <v>Thursday</v>
      </c>
      <c r="O820" s="5" t="str">
        <f t="shared" si="77"/>
        <v>June</v>
      </c>
    </row>
    <row r="821" spans="1:15" x14ac:dyDescent="0.3">
      <c r="A821" s="8">
        <v>820</v>
      </c>
      <c r="B821" s="25">
        <v>45052</v>
      </c>
      <c r="C821" s="5" t="s">
        <v>828</v>
      </c>
      <c r="D821" s="5" t="s">
        <v>5</v>
      </c>
      <c r="E821" s="12">
        <v>49</v>
      </c>
      <c r="F821" s="2" t="str">
        <f t="shared" si="72"/>
        <v>Adult</v>
      </c>
      <c r="G821" s="5" t="s">
        <v>11</v>
      </c>
      <c r="H821" s="8">
        <v>4</v>
      </c>
      <c r="I821" s="2">
        <v>50</v>
      </c>
      <c r="J821" s="2">
        <v>200</v>
      </c>
      <c r="K821" t="str">
        <f t="shared" si="73"/>
        <v>Low</v>
      </c>
      <c r="L821" s="12">
        <f t="shared" si="74"/>
        <v>2023</v>
      </c>
      <c r="M821" s="12">
        <f t="shared" si="75"/>
        <v>2</v>
      </c>
      <c r="N821" s="5" t="str">
        <f t="shared" si="76"/>
        <v>Saturday</v>
      </c>
      <c r="O821" s="5" t="str">
        <f t="shared" si="77"/>
        <v>May</v>
      </c>
    </row>
    <row r="822" spans="1:15" x14ac:dyDescent="0.3">
      <c r="A822" s="8">
        <v>821</v>
      </c>
      <c r="B822" s="25">
        <v>44971</v>
      </c>
      <c r="C822" s="5" t="s">
        <v>829</v>
      </c>
      <c r="D822" s="5" t="s">
        <v>5</v>
      </c>
      <c r="E822" s="12">
        <v>49</v>
      </c>
      <c r="F822" s="2" t="str">
        <f t="shared" si="72"/>
        <v>Adult</v>
      </c>
      <c r="G822" s="5" t="s">
        <v>11</v>
      </c>
      <c r="H822" s="8">
        <v>1</v>
      </c>
      <c r="I822" s="2">
        <v>300</v>
      </c>
      <c r="J822" s="2">
        <v>300</v>
      </c>
      <c r="K822" t="str">
        <f t="shared" si="73"/>
        <v>Low</v>
      </c>
      <c r="L822" s="12">
        <f t="shared" si="74"/>
        <v>2023</v>
      </c>
      <c r="M822" s="12">
        <f t="shared" si="75"/>
        <v>1</v>
      </c>
      <c r="N822" s="5" t="str">
        <f t="shared" si="76"/>
        <v>Tuesday</v>
      </c>
      <c r="O822" s="5" t="str">
        <f t="shared" si="77"/>
        <v>February</v>
      </c>
    </row>
    <row r="823" spans="1:15" x14ac:dyDescent="0.3">
      <c r="A823" s="8">
        <v>822</v>
      </c>
      <c r="B823" s="25">
        <v>45069</v>
      </c>
      <c r="C823" s="5" t="s">
        <v>830</v>
      </c>
      <c r="D823" s="5" t="s">
        <v>8</v>
      </c>
      <c r="E823" s="12">
        <v>52</v>
      </c>
      <c r="F823" s="2" t="str">
        <f t="shared" si="72"/>
        <v>Adult</v>
      </c>
      <c r="G823" s="5" t="s">
        <v>6</v>
      </c>
      <c r="H823" s="8">
        <v>3</v>
      </c>
      <c r="I823" s="2">
        <v>50</v>
      </c>
      <c r="J823" s="2">
        <v>150</v>
      </c>
      <c r="K823" t="str">
        <f t="shared" si="73"/>
        <v>Low</v>
      </c>
      <c r="L823" s="12">
        <f t="shared" si="74"/>
        <v>2023</v>
      </c>
      <c r="M823" s="12">
        <f t="shared" si="75"/>
        <v>2</v>
      </c>
      <c r="N823" s="5" t="str">
        <f t="shared" si="76"/>
        <v>Tuesday</v>
      </c>
      <c r="O823" s="5" t="str">
        <f t="shared" si="77"/>
        <v>May</v>
      </c>
    </row>
    <row r="824" spans="1:15" x14ac:dyDescent="0.3">
      <c r="A824" s="8">
        <v>823</v>
      </c>
      <c r="B824" s="25">
        <v>45157</v>
      </c>
      <c r="C824" s="5" t="s">
        <v>831</v>
      </c>
      <c r="D824" s="5" t="s">
        <v>8</v>
      </c>
      <c r="E824" s="12">
        <v>56</v>
      </c>
      <c r="F824" s="2" t="str">
        <f t="shared" si="72"/>
        <v>Adult</v>
      </c>
      <c r="G824" s="5" t="s">
        <v>11</v>
      </c>
      <c r="H824" s="8">
        <v>2</v>
      </c>
      <c r="I824" s="2">
        <v>50</v>
      </c>
      <c r="J824" s="2">
        <v>100</v>
      </c>
      <c r="K824" t="str">
        <f t="shared" si="73"/>
        <v>Low</v>
      </c>
      <c r="L824" s="12">
        <f t="shared" si="74"/>
        <v>2023</v>
      </c>
      <c r="M824" s="12">
        <f t="shared" si="75"/>
        <v>3</v>
      </c>
      <c r="N824" s="5" t="str">
        <f t="shared" si="76"/>
        <v>Saturday</v>
      </c>
      <c r="O824" s="5" t="str">
        <f t="shared" si="77"/>
        <v>August</v>
      </c>
    </row>
    <row r="825" spans="1:15" x14ac:dyDescent="0.3">
      <c r="A825" s="8">
        <v>824</v>
      </c>
      <c r="B825" s="25">
        <v>45051</v>
      </c>
      <c r="C825" s="5" t="s">
        <v>832</v>
      </c>
      <c r="D825" s="5" t="s">
        <v>5</v>
      </c>
      <c r="E825" s="12">
        <v>63</v>
      </c>
      <c r="F825" s="2" t="str">
        <f t="shared" si="72"/>
        <v>Senior</v>
      </c>
      <c r="G825" s="5" t="s">
        <v>9</v>
      </c>
      <c r="H825" s="8">
        <v>4</v>
      </c>
      <c r="I825" s="2">
        <v>30</v>
      </c>
      <c r="J825" s="2">
        <v>120</v>
      </c>
      <c r="K825" t="str">
        <f t="shared" si="73"/>
        <v>Low</v>
      </c>
      <c r="L825" s="12">
        <f t="shared" si="74"/>
        <v>2023</v>
      </c>
      <c r="M825" s="12">
        <f t="shared" si="75"/>
        <v>2</v>
      </c>
      <c r="N825" s="5" t="str">
        <f t="shared" si="76"/>
        <v>Friday</v>
      </c>
      <c r="O825" s="5" t="str">
        <f t="shared" si="77"/>
        <v>May</v>
      </c>
    </row>
    <row r="826" spans="1:15" x14ac:dyDescent="0.3">
      <c r="A826" s="8">
        <v>825</v>
      </c>
      <c r="B826" s="25">
        <v>45164</v>
      </c>
      <c r="C826" s="5" t="s">
        <v>833</v>
      </c>
      <c r="D826" s="5" t="s">
        <v>8</v>
      </c>
      <c r="E826" s="12">
        <v>46</v>
      </c>
      <c r="F826" s="2" t="str">
        <f t="shared" si="72"/>
        <v>Adult</v>
      </c>
      <c r="G826" s="5" t="s">
        <v>6</v>
      </c>
      <c r="H826" s="8">
        <v>1</v>
      </c>
      <c r="I826" s="2">
        <v>25</v>
      </c>
      <c r="J826" s="2">
        <v>25</v>
      </c>
      <c r="K826" t="str">
        <f t="shared" si="73"/>
        <v>Low</v>
      </c>
      <c r="L826" s="12">
        <f t="shared" si="74"/>
        <v>2023</v>
      </c>
      <c r="M826" s="12">
        <f t="shared" si="75"/>
        <v>3</v>
      </c>
      <c r="N826" s="5" t="str">
        <f t="shared" si="76"/>
        <v>Saturday</v>
      </c>
      <c r="O826" s="5" t="str">
        <f t="shared" si="77"/>
        <v>August</v>
      </c>
    </row>
    <row r="827" spans="1:15" x14ac:dyDescent="0.3">
      <c r="A827" s="8">
        <v>826</v>
      </c>
      <c r="B827" s="25">
        <v>45218</v>
      </c>
      <c r="C827" s="5" t="s">
        <v>834</v>
      </c>
      <c r="D827" s="5" t="s">
        <v>8</v>
      </c>
      <c r="E827" s="12">
        <v>46</v>
      </c>
      <c r="F827" s="2" t="str">
        <f t="shared" si="72"/>
        <v>Adult</v>
      </c>
      <c r="G827" s="5" t="s">
        <v>9</v>
      </c>
      <c r="H827" s="8">
        <v>1</v>
      </c>
      <c r="I827" s="2">
        <v>300</v>
      </c>
      <c r="J827" s="2">
        <v>300</v>
      </c>
      <c r="K827" t="str">
        <f t="shared" si="73"/>
        <v>Low</v>
      </c>
      <c r="L827" s="12">
        <f t="shared" si="74"/>
        <v>2023</v>
      </c>
      <c r="M827" s="12">
        <f t="shared" si="75"/>
        <v>4</v>
      </c>
      <c r="N827" s="5" t="str">
        <f t="shared" si="76"/>
        <v>Thursday</v>
      </c>
      <c r="O827" s="5" t="str">
        <f t="shared" si="77"/>
        <v>October</v>
      </c>
    </row>
    <row r="828" spans="1:15" x14ac:dyDescent="0.3">
      <c r="A828" s="8">
        <v>827</v>
      </c>
      <c r="B828" s="25">
        <v>45239</v>
      </c>
      <c r="C828" s="5" t="s">
        <v>835</v>
      </c>
      <c r="D828" s="5" t="s">
        <v>5</v>
      </c>
      <c r="E828" s="12">
        <v>61</v>
      </c>
      <c r="F828" s="2" t="str">
        <f t="shared" si="72"/>
        <v>Senior</v>
      </c>
      <c r="G828" s="5" t="s">
        <v>6</v>
      </c>
      <c r="H828" s="8">
        <v>3</v>
      </c>
      <c r="I828" s="2">
        <v>300</v>
      </c>
      <c r="J828" s="2">
        <v>900</v>
      </c>
      <c r="K828" t="str">
        <f t="shared" si="73"/>
        <v>Medium</v>
      </c>
      <c r="L828" s="12">
        <f t="shared" si="74"/>
        <v>2023</v>
      </c>
      <c r="M828" s="12">
        <f t="shared" si="75"/>
        <v>4</v>
      </c>
      <c r="N828" s="5" t="str">
        <f t="shared" si="76"/>
        <v>Thursday</v>
      </c>
      <c r="O828" s="5" t="str">
        <f t="shared" si="77"/>
        <v>November</v>
      </c>
    </row>
    <row r="829" spans="1:15" x14ac:dyDescent="0.3">
      <c r="A829" s="8">
        <v>828</v>
      </c>
      <c r="B829" s="25">
        <v>45269</v>
      </c>
      <c r="C829" s="5" t="s">
        <v>836</v>
      </c>
      <c r="D829" s="5" t="s">
        <v>8</v>
      </c>
      <c r="E829" s="12">
        <v>33</v>
      </c>
      <c r="F829" s="2" t="str">
        <f t="shared" si="72"/>
        <v>Adult</v>
      </c>
      <c r="G829" s="5" t="s">
        <v>11</v>
      </c>
      <c r="H829" s="8">
        <v>4</v>
      </c>
      <c r="I829" s="2">
        <v>300</v>
      </c>
      <c r="J829" s="2">
        <v>1200</v>
      </c>
      <c r="K829" t="str">
        <f t="shared" si="73"/>
        <v>Medium</v>
      </c>
      <c r="L829" s="12">
        <f t="shared" si="74"/>
        <v>2023</v>
      </c>
      <c r="M829" s="12">
        <f t="shared" si="75"/>
        <v>4</v>
      </c>
      <c r="N829" s="5" t="str">
        <f t="shared" si="76"/>
        <v>Saturday</v>
      </c>
      <c r="O829" s="5" t="str">
        <f t="shared" si="77"/>
        <v>December</v>
      </c>
    </row>
    <row r="830" spans="1:15" x14ac:dyDescent="0.3">
      <c r="A830" s="8">
        <v>829</v>
      </c>
      <c r="B830" s="25">
        <v>45121</v>
      </c>
      <c r="C830" s="5" t="s">
        <v>837</v>
      </c>
      <c r="D830" s="5" t="s">
        <v>5</v>
      </c>
      <c r="E830" s="12">
        <v>61</v>
      </c>
      <c r="F830" s="2" t="str">
        <f t="shared" si="72"/>
        <v>Senior</v>
      </c>
      <c r="G830" s="5" t="s">
        <v>6</v>
      </c>
      <c r="H830" s="8">
        <v>3</v>
      </c>
      <c r="I830" s="2">
        <v>30</v>
      </c>
      <c r="J830" s="2">
        <v>90</v>
      </c>
      <c r="K830" t="str">
        <f t="shared" si="73"/>
        <v>Low</v>
      </c>
      <c r="L830" s="12">
        <f t="shared" si="74"/>
        <v>2023</v>
      </c>
      <c r="M830" s="12">
        <f t="shared" si="75"/>
        <v>3</v>
      </c>
      <c r="N830" s="5" t="str">
        <f t="shared" si="76"/>
        <v>Friday</v>
      </c>
      <c r="O830" s="5" t="str">
        <f t="shared" si="77"/>
        <v>July</v>
      </c>
    </row>
    <row r="831" spans="1:15" x14ac:dyDescent="0.3">
      <c r="A831" s="8">
        <v>830</v>
      </c>
      <c r="B831" s="25">
        <v>45099</v>
      </c>
      <c r="C831" s="5" t="s">
        <v>838</v>
      </c>
      <c r="D831" s="5" t="s">
        <v>8</v>
      </c>
      <c r="E831" s="12">
        <v>64</v>
      </c>
      <c r="F831" s="2" t="str">
        <f t="shared" si="72"/>
        <v>Senior</v>
      </c>
      <c r="G831" s="5" t="s">
        <v>9</v>
      </c>
      <c r="H831" s="8">
        <v>3</v>
      </c>
      <c r="I831" s="2">
        <v>50</v>
      </c>
      <c r="J831" s="2">
        <v>150</v>
      </c>
      <c r="K831" t="str">
        <f t="shared" si="73"/>
        <v>Low</v>
      </c>
      <c r="L831" s="12">
        <f t="shared" si="74"/>
        <v>2023</v>
      </c>
      <c r="M831" s="12">
        <f t="shared" si="75"/>
        <v>2</v>
      </c>
      <c r="N831" s="5" t="str">
        <f t="shared" si="76"/>
        <v>Thursday</v>
      </c>
      <c r="O831" s="5" t="str">
        <f t="shared" si="77"/>
        <v>June</v>
      </c>
    </row>
    <row r="832" spans="1:15" x14ac:dyDescent="0.3">
      <c r="A832" s="8">
        <v>831</v>
      </c>
      <c r="B832" s="25">
        <v>44941</v>
      </c>
      <c r="C832" s="5" t="s">
        <v>839</v>
      </c>
      <c r="D832" s="5" t="s">
        <v>5</v>
      </c>
      <c r="E832" s="12">
        <v>27</v>
      </c>
      <c r="F832" s="2" t="str">
        <f t="shared" si="72"/>
        <v>Young</v>
      </c>
      <c r="G832" s="5" t="s">
        <v>11</v>
      </c>
      <c r="H832" s="8">
        <v>4</v>
      </c>
      <c r="I832" s="2">
        <v>25</v>
      </c>
      <c r="J832" s="2">
        <v>100</v>
      </c>
      <c r="K832" t="str">
        <f t="shared" si="73"/>
        <v>Low</v>
      </c>
      <c r="L832" s="12">
        <f t="shared" si="74"/>
        <v>2023</v>
      </c>
      <c r="M832" s="12">
        <f t="shared" si="75"/>
        <v>1</v>
      </c>
      <c r="N832" s="5" t="str">
        <f t="shared" si="76"/>
        <v>Sunday</v>
      </c>
      <c r="O832" s="5" t="str">
        <f t="shared" si="77"/>
        <v>January</v>
      </c>
    </row>
    <row r="833" spans="1:15" x14ac:dyDescent="0.3">
      <c r="A833" s="8">
        <v>832</v>
      </c>
      <c r="B833" s="25">
        <v>45180</v>
      </c>
      <c r="C833" s="5" t="s">
        <v>840</v>
      </c>
      <c r="D833" s="5" t="s">
        <v>5</v>
      </c>
      <c r="E833" s="12">
        <v>47</v>
      </c>
      <c r="F833" s="2" t="str">
        <f t="shared" si="72"/>
        <v>Adult</v>
      </c>
      <c r="G833" s="5" t="s">
        <v>6</v>
      </c>
      <c r="H833" s="8">
        <v>4</v>
      </c>
      <c r="I833" s="2">
        <v>500</v>
      </c>
      <c r="J833" s="2">
        <v>2000</v>
      </c>
      <c r="K833" t="str">
        <f t="shared" si="73"/>
        <v>High</v>
      </c>
      <c r="L833" s="12">
        <f t="shared" si="74"/>
        <v>2023</v>
      </c>
      <c r="M833" s="12">
        <f t="shared" si="75"/>
        <v>3</v>
      </c>
      <c r="N833" s="5" t="str">
        <f t="shared" si="76"/>
        <v>Monday</v>
      </c>
      <c r="O833" s="5" t="str">
        <f t="shared" si="77"/>
        <v>September</v>
      </c>
    </row>
    <row r="834" spans="1:15" x14ac:dyDescent="0.3">
      <c r="A834" s="8">
        <v>833</v>
      </c>
      <c r="B834" s="25">
        <v>45093</v>
      </c>
      <c r="C834" s="5" t="s">
        <v>841</v>
      </c>
      <c r="D834" s="5" t="s">
        <v>5</v>
      </c>
      <c r="E834" s="12">
        <v>42</v>
      </c>
      <c r="F834" s="2" t="str">
        <f t="shared" si="72"/>
        <v>Adult</v>
      </c>
      <c r="G834" s="5" t="s">
        <v>6</v>
      </c>
      <c r="H834" s="8">
        <v>4</v>
      </c>
      <c r="I834" s="2">
        <v>50</v>
      </c>
      <c r="J834" s="2">
        <v>200</v>
      </c>
      <c r="K834" t="str">
        <f t="shared" si="73"/>
        <v>Low</v>
      </c>
      <c r="L834" s="12">
        <f t="shared" si="74"/>
        <v>2023</v>
      </c>
      <c r="M834" s="12">
        <f t="shared" si="75"/>
        <v>2</v>
      </c>
      <c r="N834" s="5" t="str">
        <f t="shared" si="76"/>
        <v>Friday</v>
      </c>
      <c r="O834" s="5" t="str">
        <f t="shared" si="77"/>
        <v>June</v>
      </c>
    </row>
    <row r="835" spans="1:15" x14ac:dyDescent="0.3">
      <c r="A835" s="8">
        <v>834</v>
      </c>
      <c r="B835" s="25">
        <v>45020</v>
      </c>
      <c r="C835" s="5" t="s">
        <v>842</v>
      </c>
      <c r="D835" s="5" t="s">
        <v>8</v>
      </c>
      <c r="E835" s="12">
        <v>56</v>
      </c>
      <c r="F835" s="2" t="str">
        <f t="shared" ref="F835:F898" si="78">IF(E835&gt;60,"Senior",IF(E835&gt;30,"Adult","Young"))</f>
        <v>Adult</v>
      </c>
      <c r="G835" s="5" t="s">
        <v>6</v>
      </c>
      <c r="H835" s="8">
        <v>2</v>
      </c>
      <c r="I835" s="2">
        <v>30</v>
      </c>
      <c r="J835" s="2">
        <v>60</v>
      </c>
      <c r="K835" t="str">
        <f t="shared" ref="K835:K898" si="79">IF(J835&gt;1500,"High",IF(J835&gt;500,"Medium","Low"))</f>
        <v>Low</v>
      </c>
      <c r="L835" s="12">
        <f t="shared" ref="L835:L898" si="80">YEAR(B835)</f>
        <v>2023</v>
      </c>
      <c r="M835" s="12">
        <f t="shared" ref="M835:M898" si="81">ROUNDUP(MONTH(B835)/3,0)</f>
        <v>2</v>
      </c>
      <c r="N835" s="5" t="str">
        <f t="shared" ref="N835:N898" si="82">TEXT(B835,"dddd")</f>
        <v>Tuesday</v>
      </c>
      <c r="O835" s="5" t="str">
        <f t="shared" ref="O835:O898" si="83">TEXT(B835,"mmmm")</f>
        <v>April</v>
      </c>
    </row>
    <row r="836" spans="1:15" x14ac:dyDescent="0.3">
      <c r="A836" s="8">
        <v>835</v>
      </c>
      <c r="B836" s="25">
        <v>45176</v>
      </c>
      <c r="C836" s="5" t="s">
        <v>843</v>
      </c>
      <c r="D836" s="5" t="s">
        <v>5</v>
      </c>
      <c r="E836" s="12">
        <v>37</v>
      </c>
      <c r="F836" s="2" t="str">
        <f t="shared" si="78"/>
        <v>Adult</v>
      </c>
      <c r="G836" s="5" t="s">
        <v>9</v>
      </c>
      <c r="H836" s="8">
        <v>4</v>
      </c>
      <c r="I836" s="2">
        <v>50</v>
      </c>
      <c r="J836" s="2">
        <v>200</v>
      </c>
      <c r="K836" t="str">
        <f t="shared" si="79"/>
        <v>Low</v>
      </c>
      <c r="L836" s="12">
        <f t="shared" si="80"/>
        <v>2023</v>
      </c>
      <c r="M836" s="12">
        <f t="shared" si="81"/>
        <v>3</v>
      </c>
      <c r="N836" s="5" t="str">
        <f t="shared" si="82"/>
        <v>Thursday</v>
      </c>
      <c r="O836" s="5" t="str">
        <f t="shared" si="83"/>
        <v>September</v>
      </c>
    </row>
    <row r="837" spans="1:15" x14ac:dyDescent="0.3">
      <c r="A837" s="8">
        <v>836</v>
      </c>
      <c r="B837" s="25">
        <v>45035</v>
      </c>
      <c r="C837" s="5" t="s">
        <v>844</v>
      </c>
      <c r="D837" s="5" t="s">
        <v>8</v>
      </c>
      <c r="E837" s="12">
        <v>22</v>
      </c>
      <c r="F837" s="2" t="str">
        <f t="shared" si="78"/>
        <v>Young</v>
      </c>
      <c r="G837" s="5" t="s">
        <v>9</v>
      </c>
      <c r="H837" s="8">
        <v>1</v>
      </c>
      <c r="I837" s="2">
        <v>50</v>
      </c>
      <c r="J837" s="2">
        <v>50</v>
      </c>
      <c r="K837" t="str">
        <f t="shared" si="79"/>
        <v>Low</v>
      </c>
      <c r="L837" s="12">
        <f t="shared" si="80"/>
        <v>2023</v>
      </c>
      <c r="M837" s="12">
        <f t="shared" si="81"/>
        <v>2</v>
      </c>
      <c r="N837" s="5" t="str">
        <f t="shared" si="82"/>
        <v>Wednesday</v>
      </c>
      <c r="O837" s="5" t="str">
        <f t="shared" si="83"/>
        <v>April</v>
      </c>
    </row>
    <row r="838" spans="1:15" x14ac:dyDescent="0.3">
      <c r="A838" s="8">
        <v>837</v>
      </c>
      <c r="B838" s="25">
        <v>45108</v>
      </c>
      <c r="C838" s="5" t="s">
        <v>845</v>
      </c>
      <c r="D838" s="5" t="s">
        <v>5</v>
      </c>
      <c r="E838" s="12">
        <v>18</v>
      </c>
      <c r="F838" s="2" t="str">
        <f t="shared" si="78"/>
        <v>Young</v>
      </c>
      <c r="G838" s="5" t="s">
        <v>6</v>
      </c>
      <c r="H838" s="8">
        <v>3</v>
      </c>
      <c r="I838" s="2">
        <v>30</v>
      </c>
      <c r="J838" s="2">
        <v>90</v>
      </c>
      <c r="K838" t="str">
        <f t="shared" si="79"/>
        <v>Low</v>
      </c>
      <c r="L838" s="12">
        <f t="shared" si="80"/>
        <v>2023</v>
      </c>
      <c r="M838" s="12">
        <f t="shared" si="81"/>
        <v>3</v>
      </c>
      <c r="N838" s="5" t="str">
        <f t="shared" si="82"/>
        <v>Saturday</v>
      </c>
      <c r="O838" s="5" t="str">
        <f t="shared" si="83"/>
        <v>July</v>
      </c>
    </row>
    <row r="839" spans="1:15" x14ac:dyDescent="0.3">
      <c r="A839" s="8">
        <v>838</v>
      </c>
      <c r="B839" s="25">
        <v>45059</v>
      </c>
      <c r="C839" s="5" t="s">
        <v>846</v>
      </c>
      <c r="D839" s="5" t="s">
        <v>5</v>
      </c>
      <c r="E839" s="12">
        <v>47</v>
      </c>
      <c r="F839" s="2" t="str">
        <f t="shared" si="78"/>
        <v>Adult</v>
      </c>
      <c r="G839" s="5" t="s">
        <v>11</v>
      </c>
      <c r="H839" s="8">
        <v>2</v>
      </c>
      <c r="I839" s="2">
        <v>300</v>
      </c>
      <c r="J839" s="2">
        <v>600</v>
      </c>
      <c r="K839" t="str">
        <f t="shared" si="79"/>
        <v>Medium</v>
      </c>
      <c r="L839" s="12">
        <f t="shared" si="80"/>
        <v>2023</v>
      </c>
      <c r="M839" s="12">
        <f t="shared" si="81"/>
        <v>2</v>
      </c>
      <c r="N839" s="5" t="str">
        <f t="shared" si="82"/>
        <v>Saturday</v>
      </c>
      <c r="O839" s="5" t="str">
        <f t="shared" si="83"/>
        <v>May</v>
      </c>
    </row>
    <row r="840" spans="1:15" x14ac:dyDescent="0.3">
      <c r="A840" s="8">
        <v>839</v>
      </c>
      <c r="B840" s="25">
        <v>45101</v>
      </c>
      <c r="C840" s="5" t="s">
        <v>847</v>
      </c>
      <c r="D840" s="5" t="s">
        <v>8</v>
      </c>
      <c r="E840" s="12">
        <v>20</v>
      </c>
      <c r="F840" s="2" t="str">
        <f t="shared" si="78"/>
        <v>Young</v>
      </c>
      <c r="G840" s="5" t="s">
        <v>11</v>
      </c>
      <c r="H840" s="8">
        <v>4</v>
      </c>
      <c r="I840" s="2">
        <v>300</v>
      </c>
      <c r="J840" s="2">
        <v>1200</v>
      </c>
      <c r="K840" t="str">
        <f t="shared" si="79"/>
        <v>Medium</v>
      </c>
      <c r="L840" s="12">
        <f t="shared" si="80"/>
        <v>2023</v>
      </c>
      <c r="M840" s="12">
        <f t="shared" si="81"/>
        <v>2</v>
      </c>
      <c r="N840" s="5" t="str">
        <f t="shared" si="82"/>
        <v>Saturday</v>
      </c>
      <c r="O840" s="5" t="str">
        <f t="shared" si="83"/>
        <v>June</v>
      </c>
    </row>
    <row r="841" spans="1:15" x14ac:dyDescent="0.3">
      <c r="A841" s="8">
        <v>840</v>
      </c>
      <c r="B841" s="25">
        <v>45070</v>
      </c>
      <c r="C841" s="5" t="s">
        <v>848</v>
      </c>
      <c r="D841" s="5" t="s">
        <v>5</v>
      </c>
      <c r="E841" s="12">
        <v>62</v>
      </c>
      <c r="F841" s="2" t="str">
        <f t="shared" si="78"/>
        <v>Senior</v>
      </c>
      <c r="G841" s="5" t="s">
        <v>9</v>
      </c>
      <c r="H841" s="8">
        <v>2</v>
      </c>
      <c r="I841" s="2">
        <v>25</v>
      </c>
      <c r="J841" s="2">
        <v>50</v>
      </c>
      <c r="K841" t="str">
        <f t="shared" si="79"/>
        <v>Low</v>
      </c>
      <c r="L841" s="12">
        <f t="shared" si="80"/>
        <v>2023</v>
      </c>
      <c r="M841" s="12">
        <f t="shared" si="81"/>
        <v>2</v>
      </c>
      <c r="N841" s="5" t="str">
        <f t="shared" si="82"/>
        <v>Wednesday</v>
      </c>
      <c r="O841" s="5" t="str">
        <f t="shared" si="83"/>
        <v>May</v>
      </c>
    </row>
    <row r="842" spans="1:15" x14ac:dyDescent="0.3">
      <c r="A842" s="8">
        <v>841</v>
      </c>
      <c r="B842" s="25">
        <v>45232</v>
      </c>
      <c r="C842" s="5" t="s">
        <v>849</v>
      </c>
      <c r="D842" s="5" t="s">
        <v>5</v>
      </c>
      <c r="E842" s="12">
        <v>31</v>
      </c>
      <c r="F842" s="2" t="str">
        <f t="shared" si="78"/>
        <v>Adult</v>
      </c>
      <c r="G842" s="5" t="s">
        <v>11</v>
      </c>
      <c r="H842" s="8">
        <v>4</v>
      </c>
      <c r="I842" s="2">
        <v>25</v>
      </c>
      <c r="J842" s="2">
        <v>100</v>
      </c>
      <c r="K842" t="str">
        <f t="shared" si="79"/>
        <v>Low</v>
      </c>
      <c r="L842" s="12">
        <f t="shared" si="80"/>
        <v>2023</v>
      </c>
      <c r="M842" s="12">
        <f t="shared" si="81"/>
        <v>4</v>
      </c>
      <c r="N842" s="5" t="str">
        <f t="shared" si="82"/>
        <v>Thursday</v>
      </c>
      <c r="O842" s="5" t="str">
        <f t="shared" si="83"/>
        <v>November</v>
      </c>
    </row>
    <row r="843" spans="1:15" x14ac:dyDescent="0.3">
      <c r="A843" s="8">
        <v>842</v>
      </c>
      <c r="B843" s="25">
        <v>45286</v>
      </c>
      <c r="C843" s="5" t="s">
        <v>850</v>
      </c>
      <c r="D843" s="5" t="s">
        <v>8</v>
      </c>
      <c r="E843" s="12">
        <v>47</v>
      </c>
      <c r="F843" s="2" t="str">
        <f t="shared" si="78"/>
        <v>Adult</v>
      </c>
      <c r="G843" s="5" t="s">
        <v>9</v>
      </c>
      <c r="H843" s="8">
        <v>2</v>
      </c>
      <c r="I843" s="2">
        <v>300</v>
      </c>
      <c r="J843" s="2">
        <v>600</v>
      </c>
      <c r="K843" t="str">
        <f t="shared" si="79"/>
        <v>Medium</v>
      </c>
      <c r="L843" s="12">
        <f t="shared" si="80"/>
        <v>2023</v>
      </c>
      <c r="M843" s="12">
        <f t="shared" si="81"/>
        <v>4</v>
      </c>
      <c r="N843" s="5" t="str">
        <f t="shared" si="82"/>
        <v>Tuesday</v>
      </c>
      <c r="O843" s="5" t="str">
        <f t="shared" si="83"/>
        <v>December</v>
      </c>
    </row>
    <row r="844" spans="1:15" x14ac:dyDescent="0.3">
      <c r="A844" s="8">
        <v>843</v>
      </c>
      <c r="B844" s="25">
        <v>45068</v>
      </c>
      <c r="C844" s="5" t="s">
        <v>851</v>
      </c>
      <c r="D844" s="5" t="s">
        <v>5</v>
      </c>
      <c r="E844" s="12">
        <v>21</v>
      </c>
      <c r="F844" s="2" t="str">
        <f t="shared" si="78"/>
        <v>Young</v>
      </c>
      <c r="G844" s="5" t="s">
        <v>6</v>
      </c>
      <c r="H844" s="8">
        <v>3</v>
      </c>
      <c r="I844" s="2">
        <v>500</v>
      </c>
      <c r="J844" s="2">
        <v>1500</v>
      </c>
      <c r="K844" t="str">
        <f t="shared" si="79"/>
        <v>Medium</v>
      </c>
      <c r="L844" s="12">
        <f t="shared" si="80"/>
        <v>2023</v>
      </c>
      <c r="M844" s="12">
        <f t="shared" si="81"/>
        <v>2</v>
      </c>
      <c r="N844" s="5" t="str">
        <f t="shared" si="82"/>
        <v>Monday</v>
      </c>
      <c r="O844" s="5" t="str">
        <f t="shared" si="83"/>
        <v>May</v>
      </c>
    </row>
    <row r="845" spans="1:15" x14ac:dyDescent="0.3">
      <c r="A845" s="8">
        <v>844</v>
      </c>
      <c r="B845" s="25">
        <v>45211</v>
      </c>
      <c r="C845" s="5" t="s">
        <v>852</v>
      </c>
      <c r="D845" s="5" t="s">
        <v>5</v>
      </c>
      <c r="E845" s="12">
        <v>35</v>
      </c>
      <c r="F845" s="2" t="str">
        <f t="shared" si="78"/>
        <v>Adult</v>
      </c>
      <c r="G845" s="5" t="s">
        <v>9</v>
      </c>
      <c r="H845" s="8">
        <v>3</v>
      </c>
      <c r="I845" s="2">
        <v>50</v>
      </c>
      <c r="J845" s="2">
        <v>150</v>
      </c>
      <c r="K845" t="str">
        <f t="shared" si="79"/>
        <v>Low</v>
      </c>
      <c r="L845" s="12">
        <f t="shared" si="80"/>
        <v>2023</v>
      </c>
      <c r="M845" s="12">
        <f t="shared" si="81"/>
        <v>4</v>
      </c>
      <c r="N845" s="5" t="str">
        <f t="shared" si="82"/>
        <v>Thursday</v>
      </c>
      <c r="O845" s="5" t="str">
        <f t="shared" si="83"/>
        <v>October</v>
      </c>
    </row>
    <row r="846" spans="1:15" x14ac:dyDescent="0.3">
      <c r="A846" s="8">
        <v>845</v>
      </c>
      <c r="B846" s="25">
        <v>44932</v>
      </c>
      <c r="C846" s="5" t="s">
        <v>853</v>
      </c>
      <c r="D846" s="5" t="s">
        <v>5</v>
      </c>
      <c r="E846" s="12">
        <v>54</v>
      </c>
      <c r="F846" s="2" t="str">
        <f t="shared" si="78"/>
        <v>Adult</v>
      </c>
      <c r="G846" s="5" t="s">
        <v>9</v>
      </c>
      <c r="H846" s="8">
        <v>1</v>
      </c>
      <c r="I846" s="2">
        <v>500</v>
      </c>
      <c r="J846" s="2">
        <v>500</v>
      </c>
      <c r="K846" t="str">
        <f t="shared" si="79"/>
        <v>Low</v>
      </c>
      <c r="L846" s="12">
        <f t="shared" si="80"/>
        <v>2023</v>
      </c>
      <c r="M846" s="12">
        <f t="shared" si="81"/>
        <v>1</v>
      </c>
      <c r="N846" s="5" t="str">
        <f t="shared" si="82"/>
        <v>Friday</v>
      </c>
      <c r="O846" s="5" t="str">
        <f t="shared" si="83"/>
        <v>January</v>
      </c>
    </row>
    <row r="847" spans="1:15" x14ac:dyDescent="0.3">
      <c r="A847" s="8">
        <v>846</v>
      </c>
      <c r="B847" s="25">
        <v>45191</v>
      </c>
      <c r="C847" s="5" t="s">
        <v>854</v>
      </c>
      <c r="D847" s="5" t="s">
        <v>5</v>
      </c>
      <c r="E847" s="12">
        <v>42</v>
      </c>
      <c r="F847" s="2" t="str">
        <f t="shared" si="78"/>
        <v>Adult</v>
      </c>
      <c r="G847" s="5" t="s">
        <v>6</v>
      </c>
      <c r="H847" s="8">
        <v>1</v>
      </c>
      <c r="I847" s="2">
        <v>50</v>
      </c>
      <c r="J847" s="2">
        <v>50</v>
      </c>
      <c r="K847" t="str">
        <f t="shared" si="79"/>
        <v>Low</v>
      </c>
      <c r="L847" s="12">
        <f t="shared" si="80"/>
        <v>2023</v>
      </c>
      <c r="M847" s="12">
        <f t="shared" si="81"/>
        <v>3</v>
      </c>
      <c r="N847" s="5" t="str">
        <f t="shared" si="82"/>
        <v>Friday</v>
      </c>
      <c r="O847" s="5" t="str">
        <f t="shared" si="83"/>
        <v>September</v>
      </c>
    </row>
    <row r="848" spans="1:15" x14ac:dyDescent="0.3">
      <c r="A848" s="8">
        <v>847</v>
      </c>
      <c r="B848" s="25">
        <v>45024</v>
      </c>
      <c r="C848" s="5" t="s">
        <v>855</v>
      </c>
      <c r="D848" s="5" t="s">
        <v>8</v>
      </c>
      <c r="E848" s="12">
        <v>18</v>
      </c>
      <c r="F848" s="2" t="str">
        <f t="shared" si="78"/>
        <v>Young</v>
      </c>
      <c r="G848" s="5" t="s">
        <v>11</v>
      </c>
      <c r="H848" s="8">
        <v>4</v>
      </c>
      <c r="I848" s="2">
        <v>300</v>
      </c>
      <c r="J848" s="2">
        <v>1200</v>
      </c>
      <c r="K848" t="str">
        <f t="shared" si="79"/>
        <v>Medium</v>
      </c>
      <c r="L848" s="12">
        <f t="shared" si="80"/>
        <v>2023</v>
      </c>
      <c r="M848" s="12">
        <f t="shared" si="81"/>
        <v>2</v>
      </c>
      <c r="N848" s="5" t="str">
        <f t="shared" si="82"/>
        <v>Saturday</v>
      </c>
      <c r="O848" s="5" t="str">
        <f t="shared" si="83"/>
        <v>April</v>
      </c>
    </row>
    <row r="849" spans="1:15" x14ac:dyDescent="0.3">
      <c r="A849" s="8">
        <v>848</v>
      </c>
      <c r="B849" s="25">
        <v>44970</v>
      </c>
      <c r="C849" s="5" t="s">
        <v>856</v>
      </c>
      <c r="D849" s="5" t="s">
        <v>8</v>
      </c>
      <c r="E849" s="12">
        <v>63</v>
      </c>
      <c r="F849" s="2" t="str">
        <f t="shared" si="78"/>
        <v>Senior</v>
      </c>
      <c r="G849" s="5" t="s">
        <v>9</v>
      </c>
      <c r="H849" s="8">
        <v>3</v>
      </c>
      <c r="I849" s="2">
        <v>25</v>
      </c>
      <c r="J849" s="2">
        <v>75</v>
      </c>
      <c r="K849" t="str">
        <f t="shared" si="79"/>
        <v>Low</v>
      </c>
      <c r="L849" s="12">
        <f t="shared" si="80"/>
        <v>2023</v>
      </c>
      <c r="M849" s="12">
        <f t="shared" si="81"/>
        <v>1</v>
      </c>
      <c r="N849" s="5" t="str">
        <f t="shared" si="82"/>
        <v>Monday</v>
      </c>
      <c r="O849" s="5" t="str">
        <f t="shared" si="83"/>
        <v>February</v>
      </c>
    </row>
    <row r="850" spans="1:15" x14ac:dyDescent="0.3">
      <c r="A850" s="8">
        <v>849</v>
      </c>
      <c r="B850" s="25">
        <v>45050</v>
      </c>
      <c r="C850" s="5" t="s">
        <v>857</v>
      </c>
      <c r="D850" s="5" t="s">
        <v>5</v>
      </c>
      <c r="E850" s="12">
        <v>32</v>
      </c>
      <c r="F850" s="2" t="str">
        <f t="shared" si="78"/>
        <v>Adult</v>
      </c>
      <c r="G850" s="5" t="s">
        <v>9</v>
      </c>
      <c r="H850" s="8">
        <v>2</v>
      </c>
      <c r="I850" s="2">
        <v>25</v>
      </c>
      <c r="J850" s="2">
        <v>50</v>
      </c>
      <c r="K850" t="str">
        <f t="shared" si="79"/>
        <v>Low</v>
      </c>
      <c r="L850" s="12">
        <f t="shared" si="80"/>
        <v>2023</v>
      </c>
      <c r="M850" s="12">
        <f t="shared" si="81"/>
        <v>2</v>
      </c>
      <c r="N850" s="5" t="str">
        <f t="shared" si="82"/>
        <v>Thursday</v>
      </c>
      <c r="O850" s="5" t="str">
        <f t="shared" si="83"/>
        <v>May</v>
      </c>
    </row>
    <row r="851" spans="1:15" x14ac:dyDescent="0.3">
      <c r="A851" s="8">
        <v>850</v>
      </c>
      <c r="B851" s="25">
        <v>45135</v>
      </c>
      <c r="C851" s="5" t="s">
        <v>858</v>
      </c>
      <c r="D851" s="5" t="s">
        <v>8</v>
      </c>
      <c r="E851" s="12">
        <v>26</v>
      </c>
      <c r="F851" s="2" t="str">
        <f t="shared" si="78"/>
        <v>Young</v>
      </c>
      <c r="G851" s="5" t="s">
        <v>6</v>
      </c>
      <c r="H851" s="8">
        <v>2</v>
      </c>
      <c r="I851" s="2">
        <v>500</v>
      </c>
      <c r="J851" s="2">
        <v>1000</v>
      </c>
      <c r="K851" t="str">
        <f t="shared" si="79"/>
        <v>Medium</v>
      </c>
      <c r="L851" s="12">
        <f t="shared" si="80"/>
        <v>2023</v>
      </c>
      <c r="M851" s="12">
        <f t="shared" si="81"/>
        <v>3</v>
      </c>
      <c r="N851" s="5" t="str">
        <f t="shared" si="82"/>
        <v>Friday</v>
      </c>
      <c r="O851" s="5" t="str">
        <f t="shared" si="83"/>
        <v>July</v>
      </c>
    </row>
    <row r="852" spans="1:15" x14ac:dyDescent="0.3">
      <c r="A852" s="8">
        <v>851</v>
      </c>
      <c r="B852" s="25">
        <v>45177</v>
      </c>
      <c r="C852" s="5" t="s">
        <v>859</v>
      </c>
      <c r="D852" s="5" t="s">
        <v>5</v>
      </c>
      <c r="E852" s="12">
        <v>32</v>
      </c>
      <c r="F852" s="2" t="str">
        <f t="shared" si="78"/>
        <v>Adult</v>
      </c>
      <c r="G852" s="5" t="s">
        <v>11</v>
      </c>
      <c r="H852" s="8">
        <v>2</v>
      </c>
      <c r="I852" s="2">
        <v>25</v>
      </c>
      <c r="J852" s="2">
        <v>50</v>
      </c>
      <c r="K852" t="str">
        <f t="shared" si="79"/>
        <v>Low</v>
      </c>
      <c r="L852" s="12">
        <f t="shared" si="80"/>
        <v>2023</v>
      </c>
      <c r="M852" s="12">
        <f t="shared" si="81"/>
        <v>3</v>
      </c>
      <c r="N852" s="5" t="str">
        <f t="shared" si="82"/>
        <v>Friday</v>
      </c>
      <c r="O852" s="5" t="str">
        <f t="shared" si="83"/>
        <v>September</v>
      </c>
    </row>
    <row r="853" spans="1:15" x14ac:dyDescent="0.3">
      <c r="A853" s="8">
        <v>852</v>
      </c>
      <c r="B853" s="25">
        <v>45211</v>
      </c>
      <c r="C853" s="5" t="s">
        <v>860</v>
      </c>
      <c r="D853" s="5" t="s">
        <v>8</v>
      </c>
      <c r="E853" s="12">
        <v>41</v>
      </c>
      <c r="F853" s="2" t="str">
        <f t="shared" si="78"/>
        <v>Adult</v>
      </c>
      <c r="G853" s="5" t="s">
        <v>9</v>
      </c>
      <c r="H853" s="8">
        <v>1</v>
      </c>
      <c r="I853" s="2">
        <v>300</v>
      </c>
      <c r="J853" s="2">
        <v>300</v>
      </c>
      <c r="K853" t="str">
        <f t="shared" si="79"/>
        <v>Low</v>
      </c>
      <c r="L853" s="12">
        <f t="shared" si="80"/>
        <v>2023</v>
      </c>
      <c r="M853" s="12">
        <f t="shared" si="81"/>
        <v>4</v>
      </c>
      <c r="N853" s="5" t="str">
        <f t="shared" si="82"/>
        <v>Thursday</v>
      </c>
      <c r="O853" s="5" t="str">
        <f t="shared" si="83"/>
        <v>October</v>
      </c>
    </row>
    <row r="854" spans="1:15" x14ac:dyDescent="0.3">
      <c r="A854" s="8">
        <v>853</v>
      </c>
      <c r="B854" s="25">
        <v>45050</v>
      </c>
      <c r="C854" s="5" t="s">
        <v>861</v>
      </c>
      <c r="D854" s="5" t="s">
        <v>5</v>
      </c>
      <c r="E854" s="12">
        <v>21</v>
      </c>
      <c r="F854" s="2" t="str">
        <f t="shared" si="78"/>
        <v>Young</v>
      </c>
      <c r="G854" s="5" t="s">
        <v>6</v>
      </c>
      <c r="H854" s="8">
        <v>2</v>
      </c>
      <c r="I854" s="2">
        <v>500</v>
      </c>
      <c r="J854" s="2">
        <v>1000</v>
      </c>
      <c r="K854" t="str">
        <f t="shared" si="79"/>
        <v>Medium</v>
      </c>
      <c r="L854" s="12">
        <f t="shared" si="80"/>
        <v>2023</v>
      </c>
      <c r="M854" s="12">
        <f t="shared" si="81"/>
        <v>2</v>
      </c>
      <c r="N854" s="5" t="str">
        <f t="shared" si="82"/>
        <v>Thursday</v>
      </c>
      <c r="O854" s="5" t="str">
        <f t="shared" si="83"/>
        <v>May</v>
      </c>
    </row>
    <row r="855" spans="1:15" x14ac:dyDescent="0.3">
      <c r="A855" s="8">
        <v>854</v>
      </c>
      <c r="B855" s="25">
        <v>45280</v>
      </c>
      <c r="C855" s="5" t="s">
        <v>862</v>
      </c>
      <c r="D855" s="5" t="s">
        <v>5</v>
      </c>
      <c r="E855" s="12">
        <v>29</v>
      </c>
      <c r="F855" s="2" t="str">
        <f t="shared" si="78"/>
        <v>Young</v>
      </c>
      <c r="G855" s="5" t="s">
        <v>9</v>
      </c>
      <c r="H855" s="8">
        <v>1</v>
      </c>
      <c r="I855" s="2">
        <v>50</v>
      </c>
      <c r="J855" s="2">
        <v>50</v>
      </c>
      <c r="K855" t="str">
        <f t="shared" si="79"/>
        <v>Low</v>
      </c>
      <c r="L855" s="12">
        <f t="shared" si="80"/>
        <v>2023</v>
      </c>
      <c r="M855" s="12">
        <f t="shared" si="81"/>
        <v>4</v>
      </c>
      <c r="N855" s="5" t="str">
        <f t="shared" si="82"/>
        <v>Wednesday</v>
      </c>
      <c r="O855" s="5" t="str">
        <f t="shared" si="83"/>
        <v>December</v>
      </c>
    </row>
    <row r="856" spans="1:15" x14ac:dyDescent="0.3">
      <c r="A856" s="8">
        <v>855</v>
      </c>
      <c r="B856" s="25">
        <v>45170</v>
      </c>
      <c r="C856" s="5" t="s">
        <v>863</v>
      </c>
      <c r="D856" s="5" t="s">
        <v>5</v>
      </c>
      <c r="E856" s="12">
        <v>54</v>
      </c>
      <c r="F856" s="2" t="str">
        <f t="shared" si="78"/>
        <v>Adult</v>
      </c>
      <c r="G856" s="5" t="s">
        <v>6</v>
      </c>
      <c r="H856" s="8">
        <v>1</v>
      </c>
      <c r="I856" s="2">
        <v>25</v>
      </c>
      <c r="J856" s="2">
        <v>25</v>
      </c>
      <c r="K856" t="str">
        <f t="shared" si="79"/>
        <v>Low</v>
      </c>
      <c r="L856" s="12">
        <f t="shared" si="80"/>
        <v>2023</v>
      </c>
      <c r="M856" s="12">
        <f t="shared" si="81"/>
        <v>3</v>
      </c>
      <c r="N856" s="5" t="str">
        <f t="shared" si="82"/>
        <v>Friday</v>
      </c>
      <c r="O856" s="5" t="str">
        <f t="shared" si="83"/>
        <v>September</v>
      </c>
    </row>
    <row r="857" spans="1:15" x14ac:dyDescent="0.3">
      <c r="A857" s="8">
        <v>856</v>
      </c>
      <c r="B857" s="25">
        <v>45257</v>
      </c>
      <c r="C857" s="5" t="s">
        <v>864</v>
      </c>
      <c r="D857" s="5" t="s">
        <v>5</v>
      </c>
      <c r="E857" s="12">
        <v>54</v>
      </c>
      <c r="F857" s="2" t="str">
        <f t="shared" si="78"/>
        <v>Adult</v>
      </c>
      <c r="G857" s="5" t="s">
        <v>11</v>
      </c>
      <c r="H857" s="8">
        <v>4</v>
      </c>
      <c r="I857" s="2">
        <v>30</v>
      </c>
      <c r="J857" s="2">
        <v>120</v>
      </c>
      <c r="K857" t="str">
        <f t="shared" si="79"/>
        <v>Low</v>
      </c>
      <c r="L857" s="12">
        <f t="shared" si="80"/>
        <v>2023</v>
      </c>
      <c r="M857" s="12">
        <f t="shared" si="81"/>
        <v>4</v>
      </c>
      <c r="N857" s="5" t="str">
        <f t="shared" si="82"/>
        <v>Monday</v>
      </c>
      <c r="O857" s="5" t="str">
        <f t="shared" si="83"/>
        <v>November</v>
      </c>
    </row>
    <row r="858" spans="1:15" x14ac:dyDescent="0.3">
      <c r="A858" s="8">
        <v>857</v>
      </c>
      <c r="B858" s="25">
        <v>45291</v>
      </c>
      <c r="C858" s="5" t="s">
        <v>865</v>
      </c>
      <c r="D858" s="5" t="s">
        <v>5</v>
      </c>
      <c r="E858" s="12">
        <v>60</v>
      </c>
      <c r="F858" s="2" t="str">
        <f t="shared" si="78"/>
        <v>Adult</v>
      </c>
      <c r="G858" s="5" t="s">
        <v>11</v>
      </c>
      <c r="H858" s="8">
        <v>2</v>
      </c>
      <c r="I858" s="2">
        <v>25</v>
      </c>
      <c r="J858" s="2">
        <v>50</v>
      </c>
      <c r="K858" t="str">
        <f t="shared" si="79"/>
        <v>Low</v>
      </c>
      <c r="L858" s="12">
        <f t="shared" si="80"/>
        <v>2023</v>
      </c>
      <c r="M858" s="12">
        <f t="shared" si="81"/>
        <v>4</v>
      </c>
      <c r="N858" s="5" t="str">
        <f t="shared" si="82"/>
        <v>Sunday</v>
      </c>
      <c r="O858" s="5" t="str">
        <f t="shared" si="83"/>
        <v>December</v>
      </c>
    </row>
    <row r="859" spans="1:15" x14ac:dyDescent="0.3">
      <c r="A859" s="8">
        <v>858</v>
      </c>
      <c r="B859" s="25">
        <v>45178</v>
      </c>
      <c r="C859" s="5" t="s">
        <v>866</v>
      </c>
      <c r="D859" s="5" t="s">
        <v>5</v>
      </c>
      <c r="E859" s="12">
        <v>23</v>
      </c>
      <c r="F859" s="2" t="str">
        <f t="shared" si="78"/>
        <v>Young</v>
      </c>
      <c r="G859" s="5" t="s">
        <v>11</v>
      </c>
      <c r="H859" s="8">
        <v>2</v>
      </c>
      <c r="I859" s="2">
        <v>50</v>
      </c>
      <c r="J859" s="2">
        <v>100</v>
      </c>
      <c r="K859" t="str">
        <f t="shared" si="79"/>
        <v>Low</v>
      </c>
      <c r="L859" s="12">
        <f t="shared" si="80"/>
        <v>2023</v>
      </c>
      <c r="M859" s="12">
        <f t="shared" si="81"/>
        <v>3</v>
      </c>
      <c r="N859" s="5" t="str">
        <f t="shared" si="82"/>
        <v>Saturday</v>
      </c>
      <c r="O859" s="5" t="str">
        <f t="shared" si="83"/>
        <v>September</v>
      </c>
    </row>
    <row r="860" spans="1:15" x14ac:dyDescent="0.3">
      <c r="A860" s="8">
        <v>859</v>
      </c>
      <c r="B860" s="25">
        <v>45156</v>
      </c>
      <c r="C860" s="5" t="s">
        <v>867</v>
      </c>
      <c r="D860" s="5" t="s">
        <v>8</v>
      </c>
      <c r="E860" s="12">
        <v>56</v>
      </c>
      <c r="F860" s="2" t="str">
        <f t="shared" si="78"/>
        <v>Adult</v>
      </c>
      <c r="G860" s="5" t="s">
        <v>11</v>
      </c>
      <c r="H860" s="8">
        <v>3</v>
      </c>
      <c r="I860" s="2">
        <v>500</v>
      </c>
      <c r="J860" s="2">
        <v>1500</v>
      </c>
      <c r="K860" t="str">
        <f t="shared" si="79"/>
        <v>Medium</v>
      </c>
      <c r="L860" s="12">
        <f t="shared" si="80"/>
        <v>2023</v>
      </c>
      <c r="M860" s="12">
        <f t="shared" si="81"/>
        <v>3</v>
      </c>
      <c r="N860" s="5" t="str">
        <f t="shared" si="82"/>
        <v>Friday</v>
      </c>
      <c r="O860" s="5" t="str">
        <f t="shared" si="83"/>
        <v>August</v>
      </c>
    </row>
    <row r="861" spans="1:15" x14ac:dyDescent="0.3">
      <c r="A861" s="8">
        <v>860</v>
      </c>
      <c r="B861" s="25">
        <v>44935</v>
      </c>
      <c r="C861" s="5" t="s">
        <v>868</v>
      </c>
      <c r="D861" s="5" t="s">
        <v>5</v>
      </c>
      <c r="E861" s="12">
        <v>63</v>
      </c>
      <c r="F861" s="2" t="str">
        <f t="shared" si="78"/>
        <v>Senior</v>
      </c>
      <c r="G861" s="5" t="s">
        <v>9</v>
      </c>
      <c r="H861" s="8">
        <v>4</v>
      </c>
      <c r="I861" s="2">
        <v>50</v>
      </c>
      <c r="J861" s="2">
        <v>200</v>
      </c>
      <c r="K861" t="str">
        <f t="shared" si="79"/>
        <v>Low</v>
      </c>
      <c r="L861" s="12">
        <f t="shared" si="80"/>
        <v>2023</v>
      </c>
      <c r="M861" s="12">
        <f t="shared" si="81"/>
        <v>1</v>
      </c>
      <c r="N861" s="5" t="str">
        <f t="shared" si="82"/>
        <v>Monday</v>
      </c>
      <c r="O861" s="5" t="str">
        <f t="shared" si="83"/>
        <v>January</v>
      </c>
    </row>
    <row r="862" spans="1:15" x14ac:dyDescent="0.3">
      <c r="A862" s="8">
        <v>861</v>
      </c>
      <c r="B862" s="25">
        <v>44974</v>
      </c>
      <c r="C862" s="5" t="s">
        <v>869</v>
      </c>
      <c r="D862" s="5" t="s">
        <v>8</v>
      </c>
      <c r="E862" s="12">
        <v>41</v>
      </c>
      <c r="F862" s="2" t="str">
        <f t="shared" si="78"/>
        <v>Adult</v>
      </c>
      <c r="G862" s="5" t="s">
        <v>9</v>
      </c>
      <c r="H862" s="8">
        <v>3</v>
      </c>
      <c r="I862" s="2">
        <v>30</v>
      </c>
      <c r="J862" s="2">
        <v>90</v>
      </c>
      <c r="K862" t="str">
        <f t="shared" si="79"/>
        <v>Low</v>
      </c>
      <c r="L862" s="12">
        <f t="shared" si="80"/>
        <v>2023</v>
      </c>
      <c r="M862" s="12">
        <f t="shared" si="81"/>
        <v>1</v>
      </c>
      <c r="N862" s="5" t="str">
        <f t="shared" si="82"/>
        <v>Friday</v>
      </c>
      <c r="O862" s="5" t="str">
        <f t="shared" si="83"/>
        <v>February</v>
      </c>
    </row>
    <row r="863" spans="1:15" x14ac:dyDescent="0.3">
      <c r="A863" s="8">
        <v>862</v>
      </c>
      <c r="B863" s="25">
        <v>45077</v>
      </c>
      <c r="C863" s="5" t="s">
        <v>870</v>
      </c>
      <c r="D863" s="5" t="s">
        <v>5</v>
      </c>
      <c r="E863" s="12">
        <v>28</v>
      </c>
      <c r="F863" s="2" t="str">
        <f t="shared" si="78"/>
        <v>Young</v>
      </c>
      <c r="G863" s="5" t="s">
        <v>11</v>
      </c>
      <c r="H863" s="8">
        <v>4</v>
      </c>
      <c r="I863" s="2">
        <v>300</v>
      </c>
      <c r="J863" s="2">
        <v>1200</v>
      </c>
      <c r="K863" t="str">
        <f t="shared" si="79"/>
        <v>Medium</v>
      </c>
      <c r="L863" s="12">
        <f t="shared" si="80"/>
        <v>2023</v>
      </c>
      <c r="M863" s="12">
        <f t="shared" si="81"/>
        <v>2</v>
      </c>
      <c r="N863" s="5" t="str">
        <f t="shared" si="82"/>
        <v>Wednesday</v>
      </c>
      <c r="O863" s="5" t="str">
        <f t="shared" si="83"/>
        <v>May</v>
      </c>
    </row>
    <row r="864" spans="1:15" x14ac:dyDescent="0.3">
      <c r="A864" s="8">
        <v>863</v>
      </c>
      <c r="B864" s="25">
        <v>45040</v>
      </c>
      <c r="C864" s="5" t="s">
        <v>871</v>
      </c>
      <c r="D864" s="5" t="s">
        <v>8</v>
      </c>
      <c r="E864" s="12">
        <v>30</v>
      </c>
      <c r="F864" s="2" t="str">
        <f t="shared" si="78"/>
        <v>Young</v>
      </c>
      <c r="G864" s="5" t="s">
        <v>11</v>
      </c>
      <c r="H864" s="8">
        <v>2</v>
      </c>
      <c r="I864" s="2">
        <v>25</v>
      </c>
      <c r="J864" s="2">
        <v>50</v>
      </c>
      <c r="K864" t="str">
        <f t="shared" si="79"/>
        <v>Low</v>
      </c>
      <c r="L864" s="12">
        <f t="shared" si="80"/>
        <v>2023</v>
      </c>
      <c r="M864" s="12">
        <f t="shared" si="81"/>
        <v>2</v>
      </c>
      <c r="N864" s="5" t="str">
        <f t="shared" si="82"/>
        <v>Monday</v>
      </c>
      <c r="O864" s="5" t="str">
        <f t="shared" si="83"/>
        <v>April</v>
      </c>
    </row>
    <row r="865" spans="1:15" x14ac:dyDescent="0.3">
      <c r="A865" s="8">
        <v>864</v>
      </c>
      <c r="B865" s="25">
        <v>45134</v>
      </c>
      <c r="C865" s="5" t="s">
        <v>872</v>
      </c>
      <c r="D865" s="5" t="s">
        <v>8</v>
      </c>
      <c r="E865" s="12">
        <v>51</v>
      </c>
      <c r="F865" s="2" t="str">
        <f t="shared" si="78"/>
        <v>Adult</v>
      </c>
      <c r="G865" s="5" t="s">
        <v>11</v>
      </c>
      <c r="H865" s="8">
        <v>1</v>
      </c>
      <c r="I865" s="2">
        <v>500</v>
      </c>
      <c r="J865" s="2">
        <v>500</v>
      </c>
      <c r="K865" t="str">
        <f t="shared" si="79"/>
        <v>Low</v>
      </c>
      <c r="L865" s="12">
        <f t="shared" si="80"/>
        <v>2023</v>
      </c>
      <c r="M865" s="12">
        <f t="shared" si="81"/>
        <v>3</v>
      </c>
      <c r="N865" s="5" t="str">
        <f t="shared" si="82"/>
        <v>Thursday</v>
      </c>
      <c r="O865" s="5" t="str">
        <f t="shared" si="83"/>
        <v>July</v>
      </c>
    </row>
    <row r="866" spans="1:15" x14ac:dyDescent="0.3">
      <c r="A866" s="8">
        <v>865</v>
      </c>
      <c r="B866" s="25">
        <v>45281</v>
      </c>
      <c r="C866" s="5" t="s">
        <v>873</v>
      </c>
      <c r="D866" s="5" t="s">
        <v>8</v>
      </c>
      <c r="E866" s="12">
        <v>42</v>
      </c>
      <c r="F866" s="2" t="str">
        <f t="shared" si="78"/>
        <v>Adult</v>
      </c>
      <c r="G866" s="5" t="s">
        <v>9</v>
      </c>
      <c r="H866" s="8">
        <v>1</v>
      </c>
      <c r="I866" s="2">
        <v>300</v>
      </c>
      <c r="J866" s="2">
        <v>300</v>
      </c>
      <c r="K866" t="str">
        <f t="shared" si="79"/>
        <v>Low</v>
      </c>
      <c r="L866" s="12">
        <f t="shared" si="80"/>
        <v>2023</v>
      </c>
      <c r="M866" s="12">
        <f t="shared" si="81"/>
        <v>4</v>
      </c>
      <c r="N866" s="5" t="str">
        <f t="shared" si="82"/>
        <v>Thursday</v>
      </c>
      <c r="O866" s="5" t="str">
        <f t="shared" si="83"/>
        <v>December</v>
      </c>
    </row>
    <row r="867" spans="1:15" x14ac:dyDescent="0.3">
      <c r="A867" s="8">
        <v>866</v>
      </c>
      <c r="B867" s="25">
        <v>45051</v>
      </c>
      <c r="C867" s="5" t="s">
        <v>874</v>
      </c>
      <c r="D867" s="5" t="s">
        <v>5</v>
      </c>
      <c r="E867" s="12">
        <v>24</v>
      </c>
      <c r="F867" s="2" t="str">
        <f t="shared" si="78"/>
        <v>Young</v>
      </c>
      <c r="G867" s="5" t="s">
        <v>11</v>
      </c>
      <c r="H867" s="8">
        <v>1</v>
      </c>
      <c r="I867" s="2">
        <v>50</v>
      </c>
      <c r="J867" s="2">
        <v>50</v>
      </c>
      <c r="K867" t="str">
        <f t="shared" si="79"/>
        <v>Low</v>
      </c>
      <c r="L867" s="12">
        <f t="shared" si="80"/>
        <v>2023</v>
      </c>
      <c r="M867" s="12">
        <f t="shared" si="81"/>
        <v>2</v>
      </c>
      <c r="N867" s="5" t="str">
        <f t="shared" si="82"/>
        <v>Friday</v>
      </c>
      <c r="O867" s="5" t="str">
        <f t="shared" si="83"/>
        <v>May</v>
      </c>
    </row>
    <row r="868" spans="1:15" x14ac:dyDescent="0.3">
      <c r="A868" s="8">
        <v>867</v>
      </c>
      <c r="B868" s="25">
        <v>45083</v>
      </c>
      <c r="C868" s="5" t="s">
        <v>875</v>
      </c>
      <c r="D868" s="5" t="s">
        <v>5</v>
      </c>
      <c r="E868" s="12">
        <v>21</v>
      </c>
      <c r="F868" s="2" t="str">
        <f t="shared" si="78"/>
        <v>Young</v>
      </c>
      <c r="G868" s="5" t="s">
        <v>11</v>
      </c>
      <c r="H868" s="8">
        <v>1</v>
      </c>
      <c r="I868" s="2">
        <v>500</v>
      </c>
      <c r="J868" s="2">
        <v>500</v>
      </c>
      <c r="K868" t="str">
        <f t="shared" si="79"/>
        <v>Low</v>
      </c>
      <c r="L868" s="12">
        <f t="shared" si="80"/>
        <v>2023</v>
      </c>
      <c r="M868" s="12">
        <f t="shared" si="81"/>
        <v>2</v>
      </c>
      <c r="N868" s="5" t="str">
        <f t="shared" si="82"/>
        <v>Tuesday</v>
      </c>
      <c r="O868" s="5" t="str">
        <f t="shared" si="83"/>
        <v>June</v>
      </c>
    </row>
    <row r="869" spans="1:15" x14ac:dyDescent="0.3">
      <c r="A869" s="8">
        <v>868</v>
      </c>
      <c r="B869" s="25">
        <v>45266</v>
      </c>
      <c r="C869" s="5" t="s">
        <v>876</v>
      </c>
      <c r="D869" s="5" t="s">
        <v>8</v>
      </c>
      <c r="E869" s="12">
        <v>25</v>
      </c>
      <c r="F869" s="2" t="str">
        <f t="shared" si="78"/>
        <v>Young</v>
      </c>
      <c r="G869" s="5" t="s">
        <v>11</v>
      </c>
      <c r="H869" s="8">
        <v>1</v>
      </c>
      <c r="I869" s="2">
        <v>300</v>
      </c>
      <c r="J869" s="2">
        <v>300</v>
      </c>
      <c r="K869" t="str">
        <f t="shared" si="79"/>
        <v>Low</v>
      </c>
      <c r="L869" s="12">
        <f t="shared" si="80"/>
        <v>2023</v>
      </c>
      <c r="M869" s="12">
        <f t="shared" si="81"/>
        <v>4</v>
      </c>
      <c r="N869" s="5" t="str">
        <f t="shared" si="82"/>
        <v>Wednesday</v>
      </c>
      <c r="O869" s="5" t="str">
        <f t="shared" si="83"/>
        <v>December</v>
      </c>
    </row>
    <row r="870" spans="1:15" x14ac:dyDescent="0.3">
      <c r="A870" s="8">
        <v>869</v>
      </c>
      <c r="B870" s="25">
        <v>45224</v>
      </c>
      <c r="C870" s="5" t="s">
        <v>877</v>
      </c>
      <c r="D870" s="5" t="s">
        <v>5</v>
      </c>
      <c r="E870" s="12">
        <v>37</v>
      </c>
      <c r="F870" s="2" t="str">
        <f t="shared" si="78"/>
        <v>Adult</v>
      </c>
      <c r="G870" s="5" t="s">
        <v>6</v>
      </c>
      <c r="H870" s="8">
        <v>3</v>
      </c>
      <c r="I870" s="2">
        <v>500</v>
      </c>
      <c r="J870" s="2">
        <v>1500</v>
      </c>
      <c r="K870" t="str">
        <f t="shared" si="79"/>
        <v>Medium</v>
      </c>
      <c r="L870" s="12">
        <f t="shared" si="80"/>
        <v>2023</v>
      </c>
      <c r="M870" s="12">
        <f t="shared" si="81"/>
        <v>4</v>
      </c>
      <c r="N870" s="5" t="str">
        <f t="shared" si="82"/>
        <v>Wednesday</v>
      </c>
      <c r="O870" s="5" t="str">
        <f t="shared" si="83"/>
        <v>October</v>
      </c>
    </row>
    <row r="871" spans="1:15" x14ac:dyDescent="0.3">
      <c r="A871" s="8">
        <v>870</v>
      </c>
      <c r="B871" s="25">
        <v>45115</v>
      </c>
      <c r="C871" s="5" t="s">
        <v>878</v>
      </c>
      <c r="D871" s="5" t="s">
        <v>8</v>
      </c>
      <c r="E871" s="12">
        <v>46</v>
      </c>
      <c r="F871" s="2" t="str">
        <f t="shared" si="78"/>
        <v>Adult</v>
      </c>
      <c r="G871" s="5" t="s">
        <v>11</v>
      </c>
      <c r="H871" s="8">
        <v>4</v>
      </c>
      <c r="I871" s="2">
        <v>30</v>
      </c>
      <c r="J871" s="2">
        <v>120</v>
      </c>
      <c r="K871" t="str">
        <f t="shared" si="79"/>
        <v>Low</v>
      </c>
      <c r="L871" s="12">
        <f t="shared" si="80"/>
        <v>2023</v>
      </c>
      <c r="M871" s="12">
        <f t="shared" si="81"/>
        <v>3</v>
      </c>
      <c r="N871" s="5" t="str">
        <f t="shared" si="82"/>
        <v>Saturday</v>
      </c>
      <c r="O871" s="5" t="str">
        <f t="shared" si="83"/>
        <v>July</v>
      </c>
    </row>
    <row r="872" spans="1:15" x14ac:dyDescent="0.3">
      <c r="A872" s="8">
        <v>871</v>
      </c>
      <c r="B872" s="25">
        <v>45169</v>
      </c>
      <c r="C872" s="5" t="s">
        <v>879</v>
      </c>
      <c r="D872" s="5" t="s">
        <v>5</v>
      </c>
      <c r="E872" s="12">
        <v>62</v>
      </c>
      <c r="F872" s="2" t="str">
        <f t="shared" si="78"/>
        <v>Senior</v>
      </c>
      <c r="G872" s="5" t="s">
        <v>6</v>
      </c>
      <c r="H872" s="8">
        <v>2</v>
      </c>
      <c r="I872" s="2">
        <v>30</v>
      </c>
      <c r="J872" s="2">
        <v>60</v>
      </c>
      <c r="K872" t="str">
        <f t="shared" si="79"/>
        <v>Low</v>
      </c>
      <c r="L872" s="12">
        <f t="shared" si="80"/>
        <v>2023</v>
      </c>
      <c r="M872" s="12">
        <f t="shared" si="81"/>
        <v>3</v>
      </c>
      <c r="N872" s="5" t="str">
        <f t="shared" si="82"/>
        <v>Thursday</v>
      </c>
      <c r="O872" s="5" t="str">
        <f t="shared" si="83"/>
        <v>August</v>
      </c>
    </row>
    <row r="873" spans="1:15" x14ac:dyDescent="0.3">
      <c r="A873" s="8">
        <v>872</v>
      </c>
      <c r="B873" s="25">
        <v>45210</v>
      </c>
      <c r="C873" s="5" t="s">
        <v>880</v>
      </c>
      <c r="D873" s="5" t="s">
        <v>8</v>
      </c>
      <c r="E873" s="12">
        <v>63</v>
      </c>
      <c r="F873" s="2" t="str">
        <f t="shared" si="78"/>
        <v>Senior</v>
      </c>
      <c r="G873" s="5" t="s">
        <v>6</v>
      </c>
      <c r="H873" s="8">
        <v>3</v>
      </c>
      <c r="I873" s="2">
        <v>25</v>
      </c>
      <c r="J873" s="2">
        <v>75</v>
      </c>
      <c r="K873" t="str">
        <f t="shared" si="79"/>
        <v>Low</v>
      </c>
      <c r="L873" s="12">
        <f t="shared" si="80"/>
        <v>2023</v>
      </c>
      <c r="M873" s="12">
        <f t="shared" si="81"/>
        <v>4</v>
      </c>
      <c r="N873" s="5" t="str">
        <f t="shared" si="82"/>
        <v>Wednesday</v>
      </c>
      <c r="O873" s="5" t="str">
        <f t="shared" si="83"/>
        <v>October</v>
      </c>
    </row>
    <row r="874" spans="1:15" x14ac:dyDescent="0.3">
      <c r="A874" s="8">
        <v>873</v>
      </c>
      <c r="B874" s="25">
        <v>45198</v>
      </c>
      <c r="C874" s="5" t="s">
        <v>881</v>
      </c>
      <c r="D874" s="5" t="s">
        <v>8</v>
      </c>
      <c r="E874" s="12">
        <v>27</v>
      </c>
      <c r="F874" s="2" t="str">
        <f t="shared" si="78"/>
        <v>Young</v>
      </c>
      <c r="G874" s="5" t="s">
        <v>11</v>
      </c>
      <c r="H874" s="8">
        <v>4</v>
      </c>
      <c r="I874" s="2">
        <v>25</v>
      </c>
      <c r="J874" s="2">
        <v>100</v>
      </c>
      <c r="K874" t="str">
        <f t="shared" si="79"/>
        <v>Low</v>
      </c>
      <c r="L874" s="12">
        <f t="shared" si="80"/>
        <v>2023</v>
      </c>
      <c r="M874" s="12">
        <f t="shared" si="81"/>
        <v>3</v>
      </c>
      <c r="N874" s="5" t="str">
        <f t="shared" si="82"/>
        <v>Friday</v>
      </c>
      <c r="O874" s="5" t="str">
        <f t="shared" si="83"/>
        <v>September</v>
      </c>
    </row>
    <row r="875" spans="1:15" x14ac:dyDescent="0.3">
      <c r="A875" s="8">
        <v>874</v>
      </c>
      <c r="B875" s="25">
        <v>45103</v>
      </c>
      <c r="C875" s="5" t="s">
        <v>882</v>
      </c>
      <c r="D875" s="5" t="s">
        <v>5</v>
      </c>
      <c r="E875" s="12">
        <v>60</v>
      </c>
      <c r="F875" s="2" t="str">
        <f t="shared" si="78"/>
        <v>Adult</v>
      </c>
      <c r="G875" s="5" t="s">
        <v>6</v>
      </c>
      <c r="H875" s="8">
        <v>1</v>
      </c>
      <c r="I875" s="2">
        <v>30</v>
      </c>
      <c r="J875" s="2">
        <v>30</v>
      </c>
      <c r="K875" t="str">
        <f t="shared" si="79"/>
        <v>Low</v>
      </c>
      <c r="L875" s="12">
        <f t="shared" si="80"/>
        <v>2023</v>
      </c>
      <c r="M875" s="12">
        <f t="shared" si="81"/>
        <v>2</v>
      </c>
      <c r="N875" s="5" t="str">
        <f t="shared" si="82"/>
        <v>Monday</v>
      </c>
      <c r="O875" s="5" t="str">
        <f t="shared" si="83"/>
        <v>June</v>
      </c>
    </row>
    <row r="876" spans="1:15" x14ac:dyDescent="0.3">
      <c r="A876" s="8">
        <v>875</v>
      </c>
      <c r="B876" s="25">
        <v>45144</v>
      </c>
      <c r="C876" s="5" t="s">
        <v>883</v>
      </c>
      <c r="D876" s="5" t="s">
        <v>8</v>
      </c>
      <c r="E876" s="12">
        <v>51</v>
      </c>
      <c r="F876" s="2" t="str">
        <f t="shared" si="78"/>
        <v>Adult</v>
      </c>
      <c r="G876" s="5" t="s">
        <v>11</v>
      </c>
      <c r="H876" s="8">
        <v>4</v>
      </c>
      <c r="I876" s="2">
        <v>500</v>
      </c>
      <c r="J876" s="2">
        <v>2000</v>
      </c>
      <c r="K876" t="str">
        <f t="shared" si="79"/>
        <v>High</v>
      </c>
      <c r="L876" s="12">
        <f t="shared" si="80"/>
        <v>2023</v>
      </c>
      <c r="M876" s="12">
        <f t="shared" si="81"/>
        <v>3</v>
      </c>
      <c r="N876" s="5" t="str">
        <f t="shared" si="82"/>
        <v>Sunday</v>
      </c>
      <c r="O876" s="5" t="str">
        <f t="shared" si="83"/>
        <v>August</v>
      </c>
    </row>
    <row r="877" spans="1:15" x14ac:dyDescent="0.3">
      <c r="A877" s="8">
        <v>876</v>
      </c>
      <c r="B877" s="25">
        <v>45208</v>
      </c>
      <c r="C877" s="5" t="s">
        <v>884</v>
      </c>
      <c r="D877" s="5" t="s">
        <v>5</v>
      </c>
      <c r="E877" s="12">
        <v>43</v>
      </c>
      <c r="F877" s="2" t="str">
        <f t="shared" si="78"/>
        <v>Adult</v>
      </c>
      <c r="G877" s="5" t="s">
        <v>9</v>
      </c>
      <c r="H877" s="8">
        <v>4</v>
      </c>
      <c r="I877" s="2">
        <v>30</v>
      </c>
      <c r="J877" s="2">
        <v>120</v>
      </c>
      <c r="K877" t="str">
        <f t="shared" si="79"/>
        <v>Low</v>
      </c>
      <c r="L877" s="12">
        <f t="shared" si="80"/>
        <v>2023</v>
      </c>
      <c r="M877" s="12">
        <f t="shared" si="81"/>
        <v>4</v>
      </c>
      <c r="N877" s="5" t="str">
        <f t="shared" si="82"/>
        <v>Monday</v>
      </c>
      <c r="O877" s="5" t="str">
        <f t="shared" si="83"/>
        <v>October</v>
      </c>
    </row>
    <row r="878" spans="1:15" x14ac:dyDescent="0.3">
      <c r="A878" s="8">
        <v>877</v>
      </c>
      <c r="B878" s="25">
        <v>45096</v>
      </c>
      <c r="C878" s="5" t="s">
        <v>885</v>
      </c>
      <c r="D878" s="5" t="s">
        <v>8</v>
      </c>
      <c r="E878" s="12">
        <v>58</v>
      </c>
      <c r="F878" s="2" t="str">
        <f t="shared" si="78"/>
        <v>Adult</v>
      </c>
      <c r="G878" s="5" t="s">
        <v>9</v>
      </c>
      <c r="H878" s="8">
        <v>1</v>
      </c>
      <c r="I878" s="2">
        <v>25</v>
      </c>
      <c r="J878" s="2">
        <v>25</v>
      </c>
      <c r="K878" t="str">
        <f t="shared" si="79"/>
        <v>Low</v>
      </c>
      <c r="L878" s="12">
        <f t="shared" si="80"/>
        <v>2023</v>
      </c>
      <c r="M878" s="12">
        <f t="shared" si="81"/>
        <v>2</v>
      </c>
      <c r="N878" s="5" t="str">
        <f t="shared" si="82"/>
        <v>Monday</v>
      </c>
      <c r="O878" s="5" t="str">
        <f t="shared" si="83"/>
        <v>June</v>
      </c>
    </row>
    <row r="879" spans="1:15" x14ac:dyDescent="0.3">
      <c r="A879" s="8">
        <v>878</v>
      </c>
      <c r="B879" s="25">
        <v>45107</v>
      </c>
      <c r="C879" s="5" t="s">
        <v>886</v>
      </c>
      <c r="D879" s="5" t="s">
        <v>8</v>
      </c>
      <c r="E879" s="12">
        <v>20</v>
      </c>
      <c r="F879" s="2" t="str">
        <f t="shared" si="78"/>
        <v>Young</v>
      </c>
      <c r="G879" s="5" t="s">
        <v>9</v>
      </c>
      <c r="H879" s="8">
        <v>1</v>
      </c>
      <c r="I879" s="2">
        <v>30</v>
      </c>
      <c r="J879" s="2">
        <v>30</v>
      </c>
      <c r="K879" t="str">
        <f t="shared" si="79"/>
        <v>Low</v>
      </c>
      <c r="L879" s="12">
        <f t="shared" si="80"/>
        <v>2023</v>
      </c>
      <c r="M879" s="12">
        <f t="shared" si="81"/>
        <v>2</v>
      </c>
      <c r="N879" s="5" t="str">
        <f t="shared" si="82"/>
        <v>Friday</v>
      </c>
      <c r="O879" s="5" t="str">
        <f t="shared" si="83"/>
        <v>June</v>
      </c>
    </row>
    <row r="880" spans="1:15" x14ac:dyDescent="0.3">
      <c r="A880" s="8">
        <v>879</v>
      </c>
      <c r="B880" s="25">
        <v>45286</v>
      </c>
      <c r="C880" s="5" t="s">
        <v>887</v>
      </c>
      <c r="D880" s="5" t="s">
        <v>5</v>
      </c>
      <c r="E880" s="12">
        <v>23</v>
      </c>
      <c r="F880" s="2" t="str">
        <f t="shared" si="78"/>
        <v>Young</v>
      </c>
      <c r="G880" s="5" t="s">
        <v>9</v>
      </c>
      <c r="H880" s="8">
        <v>1</v>
      </c>
      <c r="I880" s="2">
        <v>30</v>
      </c>
      <c r="J880" s="2">
        <v>30</v>
      </c>
      <c r="K880" t="str">
        <f t="shared" si="79"/>
        <v>Low</v>
      </c>
      <c r="L880" s="12">
        <f t="shared" si="80"/>
        <v>2023</v>
      </c>
      <c r="M880" s="12">
        <f t="shared" si="81"/>
        <v>4</v>
      </c>
      <c r="N880" s="5" t="str">
        <f t="shared" si="82"/>
        <v>Tuesday</v>
      </c>
      <c r="O880" s="5" t="str">
        <f t="shared" si="83"/>
        <v>December</v>
      </c>
    </row>
    <row r="881" spans="1:15" x14ac:dyDescent="0.3">
      <c r="A881" s="8">
        <v>880</v>
      </c>
      <c r="B881" s="25">
        <v>45159</v>
      </c>
      <c r="C881" s="5" t="s">
        <v>888</v>
      </c>
      <c r="D881" s="5" t="s">
        <v>5</v>
      </c>
      <c r="E881" s="12">
        <v>22</v>
      </c>
      <c r="F881" s="2" t="str">
        <f t="shared" si="78"/>
        <v>Young</v>
      </c>
      <c r="G881" s="5" t="s">
        <v>6</v>
      </c>
      <c r="H881" s="8">
        <v>2</v>
      </c>
      <c r="I881" s="2">
        <v>500</v>
      </c>
      <c r="J881" s="2">
        <v>1000</v>
      </c>
      <c r="K881" t="str">
        <f t="shared" si="79"/>
        <v>Medium</v>
      </c>
      <c r="L881" s="12">
        <f t="shared" si="80"/>
        <v>2023</v>
      </c>
      <c r="M881" s="12">
        <f t="shared" si="81"/>
        <v>3</v>
      </c>
      <c r="N881" s="5" t="str">
        <f t="shared" si="82"/>
        <v>Monday</v>
      </c>
      <c r="O881" s="5" t="str">
        <f t="shared" si="83"/>
        <v>August</v>
      </c>
    </row>
    <row r="882" spans="1:15" x14ac:dyDescent="0.3">
      <c r="A882" s="8">
        <v>881</v>
      </c>
      <c r="B882" s="25">
        <v>45065</v>
      </c>
      <c r="C882" s="5" t="s">
        <v>889</v>
      </c>
      <c r="D882" s="5" t="s">
        <v>5</v>
      </c>
      <c r="E882" s="12">
        <v>22</v>
      </c>
      <c r="F882" s="2" t="str">
        <f t="shared" si="78"/>
        <v>Young</v>
      </c>
      <c r="G882" s="5" t="s">
        <v>11</v>
      </c>
      <c r="H882" s="8">
        <v>1</v>
      </c>
      <c r="I882" s="2">
        <v>300</v>
      </c>
      <c r="J882" s="2">
        <v>300</v>
      </c>
      <c r="K882" t="str">
        <f t="shared" si="79"/>
        <v>Low</v>
      </c>
      <c r="L882" s="12">
        <f t="shared" si="80"/>
        <v>2023</v>
      </c>
      <c r="M882" s="12">
        <f t="shared" si="81"/>
        <v>2</v>
      </c>
      <c r="N882" s="5" t="str">
        <f t="shared" si="82"/>
        <v>Friday</v>
      </c>
      <c r="O882" s="5" t="str">
        <f t="shared" si="83"/>
        <v>May</v>
      </c>
    </row>
    <row r="883" spans="1:15" x14ac:dyDescent="0.3">
      <c r="A883" s="8">
        <v>882</v>
      </c>
      <c r="B883" s="25">
        <v>45083</v>
      </c>
      <c r="C883" s="5" t="s">
        <v>890</v>
      </c>
      <c r="D883" s="5" t="s">
        <v>8</v>
      </c>
      <c r="E883" s="12">
        <v>64</v>
      </c>
      <c r="F883" s="2" t="str">
        <f t="shared" si="78"/>
        <v>Senior</v>
      </c>
      <c r="G883" s="5" t="s">
        <v>11</v>
      </c>
      <c r="H883" s="8">
        <v>2</v>
      </c>
      <c r="I883" s="2">
        <v>25</v>
      </c>
      <c r="J883" s="2">
        <v>50</v>
      </c>
      <c r="K883" t="str">
        <f t="shared" si="79"/>
        <v>Low</v>
      </c>
      <c r="L883" s="12">
        <f t="shared" si="80"/>
        <v>2023</v>
      </c>
      <c r="M883" s="12">
        <f t="shared" si="81"/>
        <v>2</v>
      </c>
      <c r="N883" s="5" t="str">
        <f t="shared" si="82"/>
        <v>Tuesday</v>
      </c>
      <c r="O883" s="5" t="str">
        <f t="shared" si="83"/>
        <v>June</v>
      </c>
    </row>
    <row r="884" spans="1:15" x14ac:dyDescent="0.3">
      <c r="A884" s="8">
        <v>883</v>
      </c>
      <c r="B884" s="25">
        <v>45055</v>
      </c>
      <c r="C884" s="5" t="s">
        <v>891</v>
      </c>
      <c r="D884" s="5" t="s">
        <v>5</v>
      </c>
      <c r="E884" s="12">
        <v>40</v>
      </c>
      <c r="F884" s="2" t="str">
        <f t="shared" si="78"/>
        <v>Adult</v>
      </c>
      <c r="G884" s="5" t="s">
        <v>11</v>
      </c>
      <c r="H884" s="8">
        <v>1</v>
      </c>
      <c r="I884" s="2">
        <v>500</v>
      </c>
      <c r="J884" s="2">
        <v>500</v>
      </c>
      <c r="K884" t="str">
        <f t="shared" si="79"/>
        <v>Low</v>
      </c>
      <c r="L884" s="12">
        <f t="shared" si="80"/>
        <v>2023</v>
      </c>
      <c r="M884" s="12">
        <f t="shared" si="81"/>
        <v>2</v>
      </c>
      <c r="N884" s="5" t="str">
        <f t="shared" si="82"/>
        <v>Tuesday</v>
      </c>
      <c r="O884" s="5" t="str">
        <f t="shared" si="83"/>
        <v>May</v>
      </c>
    </row>
    <row r="885" spans="1:15" x14ac:dyDescent="0.3">
      <c r="A885" s="8">
        <v>884</v>
      </c>
      <c r="B885" s="25">
        <v>45045</v>
      </c>
      <c r="C885" s="5" t="s">
        <v>892</v>
      </c>
      <c r="D885" s="5" t="s">
        <v>8</v>
      </c>
      <c r="E885" s="12">
        <v>26</v>
      </c>
      <c r="F885" s="2" t="str">
        <f t="shared" si="78"/>
        <v>Young</v>
      </c>
      <c r="G885" s="5" t="s">
        <v>9</v>
      </c>
      <c r="H885" s="8">
        <v>2</v>
      </c>
      <c r="I885" s="2">
        <v>30</v>
      </c>
      <c r="J885" s="2">
        <v>60</v>
      </c>
      <c r="K885" t="str">
        <f t="shared" si="79"/>
        <v>Low</v>
      </c>
      <c r="L885" s="12">
        <f t="shared" si="80"/>
        <v>2023</v>
      </c>
      <c r="M885" s="12">
        <f t="shared" si="81"/>
        <v>2</v>
      </c>
      <c r="N885" s="5" t="str">
        <f t="shared" si="82"/>
        <v>Saturday</v>
      </c>
      <c r="O885" s="5" t="str">
        <f t="shared" si="83"/>
        <v>April</v>
      </c>
    </row>
    <row r="886" spans="1:15" x14ac:dyDescent="0.3">
      <c r="A886" s="8">
        <v>885</v>
      </c>
      <c r="B886" s="25">
        <v>44988</v>
      </c>
      <c r="C886" s="5" t="s">
        <v>893</v>
      </c>
      <c r="D886" s="5" t="s">
        <v>8</v>
      </c>
      <c r="E886" s="12">
        <v>52</v>
      </c>
      <c r="F886" s="2" t="str">
        <f t="shared" si="78"/>
        <v>Adult</v>
      </c>
      <c r="G886" s="5" t="s">
        <v>9</v>
      </c>
      <c r="H886" s="8">
        <v>4</v>
      </c>
      <c r="I886" s="2">
        <v>30</v>
      </c>
      <c r="J886" s="2">
        <v>120</v>
      </c>
      <c r="K886" t="str">
        <f t="shared" si="79"/>
        <v>Low</v>
      </c>
      <c r="L886" s="12">
        <f t="shared" si="80"/>
        <v>2023</v>
      </c>
      <c r="M886" s="12">
        <f t="shared" si="81"/>
        <v>1</v>
      </c>
      <c r="N886" s="5" t="str">
        <f t="shared" si="82"/>
        <v>Friday</v>
      </c>
      <c r="O886" s="5" t="str">
        <f t="shared" si="83"/>
        <v>March</v>
      </c>
    </row>
    <row r="887" spans="1:15" x14ac:dyDescent="0.3">
      <c r="A887" s="8">
        <v>886</v>
      </c>
      <c r="B887" s="25">
        <v>45025</v>
      </c>
      <c r="C887" s="5" t="s">
        <v>894</v>
      </c>
      <c r="D887" s="5" t="s">
        <v>5</v>
      </c>
      <c r="E887" s="12">
        <v>37</v>
      </c>
      <c r="F887" s="2" t="str">
        <f t="shared" si="78"/>
        <v>Adult</v>
      </c>
      <c r="G887" s="5" t="s">
        <v>11</v>
      </c>
      <c r="H887" s="8">
        <v>3</v>
      </c>
      <c r="I887" s="2">
        <v>300</v>
      </c>
      <c r="J887" s="2">
        <v>900</v>
      </c>
      <c r="K887" t="str">
        <f t="shared" si="79"/>
        <v>Medium</v>
      </c>
      <c r="L887" s="12">
        <f t="shared" si="80"/>
        <v>2023</v>
      </c>
      <c r="M887" s="12">
        <f t="shared" si="81"/>
        <v>2</v>
      </c>
      <c r="N887" s="5" t="str">
        <f t="shared" si="82"/>
        <v>Sunday</v>
      </c>
      <c r="O887" s="5" t="str">
        <f t="shared" si="83"/>
        <v>April</v>
      </c>
    </row>
    <row r="888" spans="1:15" x14ac:dyDescent="0.3">
      <c r="A888" s="8">
        <v>887</v>
      </c>
      <c r="B888" s="25">
        <v>45088</v>
      </c>
      <c r="C888" s="5" t="s">
        <v>895</v>
      </c>
      <c r="D888" s="5" t="s">
        <v>5</v>
      </c>
      <c r="E888" s="12">
        <v>59</v>
      </c>
      <c r="F888" s="2" t="str">
        <f t="shared" si="78"/>
        <v>Adult</v>
      </c>
      <c r="G888" s="5" t="s">
        <v>9</v>
      </c>
      <c r="H888" s="8">
        <v>4</v>
      </c>
      <c r="I888" s="2">
        <v>25</v>
      </c>
      <c r="J888" s="2">
        <v>100</v>
      </c>
      <c r="K888" t="str">
        <f t="shared" si="79"/>
        <v>Low</v>
      </c>
      <c r="L888" s="12">
        <f t="shared" si="80"/>
        <v>2023</v>
      </c>
      <c r="M888" s="12">
        <f t="shared" si="81"/>
        <v>2</v>
      </c>
      <c r="N888" s="5" t="str">
        <f t="shared" si="82"/>
        <v>Sunday</v>
      </c>
      <c r="O888" s="5" t="str">
        <f t="shared" si="83"/>
        <v>June</v>
      </c>
    </row>
    <row r="889" spans="1:15" x14ac:dyDescent="0.3">
      <c r="A889" s="8">
        <v>888</v>
      </c>
      <c r="B889" s="25">
        <v>44988</v>
      </c>
      <c r="C889" s="5" t="s">
        <v>896</v>
      </c>
      <c r="D889" s="5" t="s">
        <v>8</v>
      </c>
      <c r="E889" s="12">
        <v>52</v>
      </c>
      <c r="F889" s="2" t="str">
        <f t="shared" si="78"/>
        <v>Adult</v>
      </c>
      <c r="G889" s="5" t="s">
        <v>11</v>
      </c>
      <c r="H889" s="8">
        <v>4</v>
      </c>
      <c r="I889" s="2">
        <v>25</v>
      </c>
      <c r="J889" s="2">
        <v>100</v>
      </c>
      <c r="K889" t="str">
        <f t="shared" si="79"/>
        <v>Low</v>
      </c>
      <c r="L889" s="12">
        <f t="shared" si="80"/>
        <v>2023</v>
      </c>
      <c r="M889" s="12">
        <f t="shared" si="81"/>
        <v>1</v>
      </c>
      <c r="N889" s="5" t="str">
        <f t="shared" si="82"/>
        <v>Friday</v>
      </c>
      <c r="O889" s="5" t="str">
        <f t="shared" si="83"/>
        <v>March</v>
      </c>
    </row>
    <row r="890" spans="1:15" x14ac:dyDescent="0.3">
      <c r="A890" s="8">
        <v>889</v>
      </c>
      <c r="B890" s="25">
        <v>45201</v>
      </c>
      <c r="C890" s="5" t="s">
        <v>897</v>
      </c>
      <c r="D890" s="5" t="s">
        <v>8</v>
      </c>
      <c r="E890" s="12">
        <v>35</v>
      </c>
      <c r="F890" s="2" t="str">
        <f t="shared" si="78"/>
        <v>Adult</v>
      </c>
      <c r="G890" s="5" t="s">
        <v>11</v>
      </c>
      <c r="H890" s="8">
        <v>1</v>
      </c>
      <c r="I890" s="2">
        <v>50</v>
      </c>
      <c r="J890" s="2">
        <v>50</v>
      </c>
      <c r="K890" t="str">
        <f t="shared" si="79"/>
        <v>Low</v>
      </c>
      <c r="L890" s="12">
        <f t="shared" si="80"/>
        <v>2023</v>
      </c>
      <c r="M890" s="12">
        <f t="shared" si="81"/>
        <v>4</v>
      </c>
      <c r="N890" s="5" t="str">
        <f t="shared" si="82"/>
        <v>Monday</v>
      </c>
      <c r="O890" s="5" t="str">
        <f t="shared" si="83"/>
        <v>October</v>
      </c>
    </row>
    <row r="891" spans="1:15" x14ac:dyDescent="0.3">
      <c r="A891" s="8">
        <v>890</v>
      </c>
      <c r="B891" s="25">
        <v>45280</v>
      </c>
      <c r="C891" s="5" t="s">
        <v>898</v>
      </c>
      <c r="D891" s="5" t="s">
        <v>5</v>
      </c>
      <c r="E891" s="12">
        <v>34</v>
      </c>
      <c r="F891" s="2" t="str">
        <f t="shared" si="78"/>
        <v>Adult</v>
      </c>
      <c r="G891" s="5" t="s">
        <v>11</v>
      </c>
      <c r="H891" s="8">
        <v>2</v>
      </c>
      <c r="I891" s="2">
        <v>25</v>
      </c>
      <c r="J891" s="2">
        <v>50</v>
      </c>
      <c r="K891" t="str">
        <f t="shared" si="79"/>
        <v>Low</v>
      </c>
      <c r="L891" s="12">
        <f t="shared" si="80"/>
        <v>2023</v>
      </c>
      <c r="M891" s="12">
        <f t="shared" si="81"/>
        <v>4</v>
      </c>
      <c r="N891" s="5" t="str">
        <f t="shared" si="82"/>
        <v>Wednesday</v>
      </c>
      <c r="O891" s="5" t="str">
        <f t="shared" si="83"/>
        <v>December</v>
      </c>
    </row>
    <row r="892" spans="1:15" x14ac:dyDescent="0.3">
      <c r="A892" s="8">
        <v>891</v>
      </c>
      <c r="B892" s="25">
        <v>45021</v>
      </c>
      <c r="C892" s="5" t="s">
        <v>899</v>
      </c>
      <c r="D892" s="5" t="s">
        <v>5</v>
      </c>
      <c r="E892" s="12">
        <v>41</v>
      </c>
      <c r="F892" s="2" t="str">
        <f t="shared" si="78"/>
        <v>Adult</v>
      </c>
      <c r="G892" s="5" t="s">
        <v>11</v>
      </c>
      <c r="H892" s="8">
        <v>3</v>
      </c>
      <c r="I892" s="2">
        <v>300</v>
      </c>
      <c r="J892" s="2">
        <v>900</v>
      </c>
      <c r="K892" t="str">
        <f t="shared" si="79"/>
        <v>Medium</v>
      </c>
      <c r="L892" s="12">
        <f t="shared" si="80"/>
        <v>2023</v>
      </c>
      <c r="M892" s="12">
        <f t="shared" si="81"/>
        <v>2</v>
      </c>
      <c r="N892" s="5" t="str">
        <f t="shared" si="82"/>
        <v>Wednesday</v>
      </c>
      <c r="O892" s="5" t="str">
        <f t="shared" si="83"/>
        <v>April</v>
      </c>
    </row>
    <row r="893" spans="1:15" x14ac:dyDescent="0.3">
      <c r="A893" s="8">
        <v>892</v>
      </c>
      <c r="B893" s="25">
        <v>45025</v>
      </c>
      <c r="C893" s="5" t="s">
        <v>900</v>
      </c>
      <c r="D893" s="5" t="s">
        <v>5</v>
      </c>
      <c r="E893" s="12">
        <v>20</v>
      </c>
      <c r="F893" s="2" t="str">
        <f t="shared" si="78"/>
        <v>Young</v>
      </c>
      <c r="G893" s="5" t="s">
        <v>11</v>
      </c>
      <c r="H893" s="8">
        <v>1</v>
      </c>
      <c r="I893" s="2">
        <v>50</v>
      </c>
      <c r="J893" s="2">
        <v>50</v>
      </c>
      <c r="K893" t="str">
        <f t="shared" si="79"/>
        <v>Low</v>
      </c>
      <c r="L893" s="12">
        <f t="shared" si="80"/>
        <v>2023</v>
      </c>
      <c r="M893" s="12">
        <f t="shared" si="81"/>
        <v>2</v>
      </c>
      <c r="N893" s="5" t="str">
        <f t="shared" si="82"/>
        <v>Sunday</v>
      </c>
      <c r="O893" s="5" t="str">
        <f t="shared" si="83"/>
        <v>April</v>
      </c>
    </row>
    <row r="894" spans="1:15" x14ac:dyDescent="0.3">
      <c r="A894" s="8">
        <v>893</v>
      </c>
      <c r="B894" s="25">
        <v>45037</v>
      </c>
      <c r="C894" s="5" t="s">
        <v>901</v>
      </c>
      <c r="D894" s="5" t="s">
        <v>5</v>
      </c>
      <c r="E894" s="12">
        <v>49</v>
      </c>
      <c r="F894" s="2" t="str">
        <f t="shared" si="78"/>
        <v>Adult</v>
      </c>
      <c r="G894" s="5" t="s">
        <v>11</v>
      </c>
      <c r="H894" s="8">
        <v>1</v>
      </c>
      <c r="I894" s="2">
        <v>50</v>
      </c>
      <c r="J894" s="2">
        <v>50</v>
      </c>
      <c r="K894" t="str">
        <f t="shared" si="79"/>
        <v>Low</v>
      </c>
      <c r="L894" s="12">
        <f t="shared" si="80"/>
        <v>2023</v>
      </c>
      <c r="M894" s="12">
        <f t="shared" si="81"/>
        <v>2</v>
      </c>
      <c r="N894" s="5" t="str">
        <f t="shared" si="82"/>
        <v>Friday</v>
      </c>
      <c r="O894" s="5" t="str">
        <f t="shared" si="83"/>
        <v>April</v>
      </c>
    </row>
    <row r="895" spans="1:15" x14ac:dyDescent="0.3">
      <c r="A895" s="8">
        <v>894</v>
      </c>
      <c r="B895" s="25">
        <v>45174</v>
      </c>
      <c r="C895" s="5" t="s">
        <v>902</v>
      </c>
      <c r="D895" s="5" t="s">
        <v>5</v>
      </c>
      <c r="E895" s="12">
        <v>52</v>
      </c>
      <c r="F895" s="2" t="str">
        <f t="shared" si="78"/>
        <v>Adult</v>
      </c>
      <c r="G895" s="5" t="s">
        <v>11</v>
      </c>
      <c r="H895" s="8">
        <v>1</v>
      </c>
      <c r="I895" s="2">
        <v>30</v>
      </c>
      <c r="J895" s="2">
        <v>30</v>
      </c>
      <c r="K895" t="str">
        <f t="shared" si="79"/>
        <v>Low</v>
      </c>
      <c r="L895" s="12">
        <f t="shared" si="80"/>
        <v>2023</v>
      </c>
      <c r="M895" s="12">
        <f t="shared" si="81"/>
        <v>3</v>
      </c>
      <c r="N895" s="5" t="str">
        <f t="shared" si="82"/>
        <v>Tuesday</v>
      </c>
      <c r="O895" s="5" t="str">
        <f t="shared" si="83"/>
        <v>September</v>
      </c>
    </row>
    <row r="896" spans="1:15" x14ac:dyDescent="0.3">
      <c r="A896" s="8">
        <v>895</v>
      </c>
      <c r="B896" s="25">
        <v>45068</v>
      </c>
      <c r="C896" s="5" t="s">
        <v>903</v>
      </c>
      <c r="D896" s="5" t="s">
        <v>8</v>
      </c>
      <c r="E896" s="12">
        <v>55</v>
      </c>
      <c r="F896" s="2" t="str">
        <f t="shared" si="78"/>
        <v>Adult</v>
      </c>
      <c r="G896" s="5" t="s">
        <v>9</v>
      </c>
      <c r="H896" s="8">
        <v>4</v>
      </c>
      <c r="I896" s="2">
        <v>30</v>
      </c>
      <c r="J896" s="2">
        <v>120</v>
      </c>
      <c r="K896" t="str">
        <f t="shared" si="79"/>
        <v>Low</v>
      </c>
      <c r="L896" s="12">
        <f t="shared" si="80"/>
        <v>2023</v>
      </c>
      <c r="M896" s="12">
        <f t="shared" si="81"/>
        <v>2</v>
      </c>
      <c r="N896" s="5" t="str">
        <f t="shared" si="82"/>
        <v>Monday</v>
      </c>
      <c r="O896" s="5" t="str">
        <f t="shared" si="83"/>
        <v>May</v>
      </c>
    </row>
    <row r="897" spans="1:15" x14ac:dyDescent="0.3">
      <c r="A897" s="8">
        <v>896</v>
      </c>
      <c r="B897" s="25">
        <v>45228</v>
      </c>
      <c r="C897" s="5" t="s">
        <v>904</v>
      </c>
      <c r="D897" s="5" t="s">
        <v>8</v>
      </c>
      <c r="E897" s="12">
        <v>30</v>
      </c>
      <c r="F897" s="2" t="str">
        <f t="shared" si="78"/>
        <v>Young</v>
      </c>
      <c r="G897" s="5" t="s">
        <v>11</v>
      </c>
      <c r="H897" s="8">
        <v>2</v>
      </c>
      <c r="I897" s="2">
        <v>25</v>
      </c>
      <c r="J897" s="2">
        <v>50</v>
      </c>
      <c r="K897" t="str">
        <f t="shared" si="79"/>
        <v>Low</v>
      </c>
      <c r="L897" s="12">
        <f t="shared" si="80"/>
        <v>2023</v>
      </c>
      <c r="M897" s="12">
        <f t="shared" si="81"/>
        <v>4</v>
      </c>
      <c r="N897" s="5" t="str">
        <f t="shared" si="82"/>
        <v>Sunday</v>
      </c>
      <c r="O897" s="5" t="str">
        <f t="shared" si="83"/>
        <v>October</v>
      </c>
    </row>
    <row r="898" spans="1:15" x14ac:dyDescent="0.3">
      <c r="A898" s="8">
        <v>897</v>
      </c>
      <c r="B898" s="25">
        <v>45195</v>
      </c>
      <c r="C898" s="5" t="s">
        <v>905</v>
      </c>
      <c r="D898" s="5" t="s">
        <v>8</v>
      </c>
      <c r="E898" s="12">
        <v>64</v>
      </c>
      <c r="F898" s="2" t="str">
        <f t="shared" si="78"/>
        <v>Senior</v>
      </c>
      <c r="G898" s="5" t="s">
        <v>11</v>
      </c>
      <c r="H898" s="8">
        <v>2</v>
      </c>
      <c r="I898" s="2">
        <v>50</v>
      </c>
      <c r="J898" s="2">
        <v>100</v>
      </c>
      <c r="K898" t="str">
        <f t="shared" si="79"/>
        <v>Low</v>
      </c>
      <c r="L898" s="12">
        <f t="shared" si="80"/>
        <v>2023</v>
      </c>
      <c r="M898" s="12">
        <f t="shared" si="81"/>
        <v>3</v>
      </c>
      <c r="N898" s="5" t="str">
        <f t="shared" si="82"/>
        <v>Tuesday</v>
      </c>
      <c r="O898" s="5" t="str">
        <f t="shared" si="83"/>
        <v>September</v>
      </c>
    </row>
    <row r="899" spans="1:15" x14ac:dyDescent="0.3">
      <c r="A899" s="8">
        <v>898</v>
      </c>
      <c r="B899" s="25">
        <v>45232</v>
      </c>
      <c r="C899" s="5" t="s">
        <v>906</v>
      </c>
      <c r="D899" s="5" t="s">
        <v>8</v>
      </c>
      <c r="E899" s="12">
        <v>42</v>
      </c>
      <c r="F899" s="2" t="str">
        <f t="shared" ref="F899:F962" si="84">IF(E899&gt;60,"Senior",IF(E899&gt;30,"Adult","Young"))</f>
        <v>Adult</v>
      </c>
      <c r="G899" s="5" t="s">
        <v>9</v>
      </c>
      <c r="H899" s="8">
        <v>3</v>
      </c>
      <c r="I899" s="2">
        <v>30</v>
      </c>
      <c r="J899" s="2">
        <v>90</v>
      </c>
      <c r="K899" t="str">
        <f t="shared" ref="K899:K962" si="85">IF(J899&gt;1500,"High",IF(J899&gt;500,"Medium","Low"))</f>
        <v>Low</v>
      </c>
      <c r="L899" s="12">
        <f t="shared" ref="L899:L962" si="86">YEAR(B899)</f>
        <v>2023</v>
      </c>
      <c r="M899" s="12">
        <f t="shared" ref="M899:M962" si="87">ROUNDUP(MONTH(B899)/3,0)</f>
        <v>4</v>
      </c>
      <c r="N899" s="5" t="str">
        <f t="shared" ref="N899:N962" si="88">TEXT(B899,"dddd")</f>
        <v>Thursday</v>
      </c>
      <c r="O899" s="5" t="str">
        <f t="shared" ref="O899:O962" si="89">TEXT(B899,"mmmm")</f>
        <v>November</v>
      </c>
    </row>
    <row r="900" spans="1:15" x14ac:dyDescent="0.3">
      <c r="A900" s="8">
        <v>899</v>
      </c>
      <c r="B900" s="25">
        <v>45071</v>
      </c>
      <c r="C900" s="5" t="s">
        <v>907</v>
      </c>
      <c r="D900" s="5" t="s">
        <v>5</v>
      </c>
      <c r="E900" s="12">
        <v>26</v>
      </c>
      <c r="F900" s="2" t="str">
        <f t="shared" si="84"/>
        <v>Young</v>
      </c>
      <c r="G900" s="5" t="s">
        <v>9</v>
      </c>
      <c r="H900" s="8">
        <v>2</v>
      </c>
      <c r="I900" s="2">
        <v>300</v>
      </c>
      <c r="J900" s="2">
        <v>600</v>
      </c>
      <c r="K900" t="str">
        <f t="shared" si="85"/>
        <v>Medium</v>
      </c>
      <c r="L900" s="12">
        <f t="shared" si="86"/>
        <v>2023</v>
      </c>
      <c r="M900" s="12">
        <f t="shared" si="87"/>
        <v>2</v>
      </c>
      <c r="N900" s="5" t="str">
        <f t="shared" si="88"/>
        <v>Thursday</v>
      </c>
      <c r="O900" s="5" t="str">
        <f t="shared" si="89"/>
        <v>May</v>
      </c>
    </row>
    <row r="901" spans="1:15" x14ac:dyDescent="0.3">
      <c r="A901" s="8">
        <v>900</v>
      </c>
      <c r="B901" s="25">
        <v>44978</v>
      </c>
      <c r="C901" s="5" t="s">
        <v>908</v>
      </c>
      <c r="D901" s="5" t="s">
        <v>5</v>
      </c>
      <c r="E901" s="12">
        <v>21</v>
      </c>
      <c r="F901" s="2" t="str">
        <f t="shared" si="84"/>
        <v>Young</v>
      </c>
      <c r="G901" s="5" t="s">
        <v>9</v>
      </c>
      <c r="H901" s="8">
        <v>2</v>
      </c>
      <c r="I901" s="2">
        <v>30</v>
      </c>
      <c r="J901" s="2">
        <v>60</v>
      </c>
      <c r="K901" t="str">
        <f t="shared" si="85"/>
        <v>Low</v>
      </c>
      <c r="L901" s="12">
        <f t="shared" si="86"/>
        <v>2023</v>
      </c>
      <c r="M901" s="12">
        <f t="shared" si="87"/>
        <v>1</v>
      </c>
      <c r="N901" s="5" t="str">
        <f t="shared" si="88"/>
        <v>Tuesday</v>
      </c>
      <c r="O901" s="5" t="str">
        <f t="shared" si="89"/>
        <v>February</v>
      </c>
    </row>
    <row r="902" spans="1:15" x14ac:dyDescent="0.3">
      <c r="A902" s="8">
        <v>901</v>
      </c>
      <c r="B902" s="25">
        <v>45026</v>
      </c>
      <c r="C902" s="5" t="s">
        <v>909</v>
      </c>
      <c r="D902" s="5" t="s">
        <v>5</v>
      </c>
      <c r="E902" s="12">
        <v>31</v>
      </c>
      <c r="F902" s="2" t="str">
        <f t="shared" si="84"/>
        <v>Adult</v>
      </c>
      <c r="G902" s="5" t="s">
        <v>11</v>
      </c>
      <c r="H902" s="8">
        <v>1</v>
      </c>
      <c r="I902" s="2">
        <v>30</v>
      </c>
      <c r="J902" s="2">
        <v>30</v>
      </c>
      <c r="K902" t="str">
        <f t="shared" si="85"/>
        <v>Low</v>
      </c>
      <c r="L902" s="12">
        <f t="shared" si="86"/>
        <v>2023</v>
      </c>
      <c r="M902" s="12">
        <f t="shared" si="87"/>
        <v>2</v>
      </c>
      <c r="N902" s="5" t="str">
        <f t="shared" si="88"/>
        <v>Monday</v>
      </c>
      <c r="O902" s="5" t="str">
        <f t="shared" si="89"/>
        <v>April</v>
      </c>
    </row>
    <row r="903" spans="1:15" x14ac:dyDescent="0.3">
      <c r="A903" s="8">
        <v>902</v>
      </c>
      <c r="B903" s="25">
        <v>45078</v>
      </c>
      <c r="C903" s="5" t="s">
        <v>910</v>
      </c>
      <c r="D903" s="5" t="s">
        <v>8</v>
      </c>
      <c r="E903" s="12">
        <v>54</v>
      </c>
      <c r="F903" s="2" t="str">
        <f t="shared" si="84"/>
        <v>Adult</v>
      </c>
      <c r="G903" s="5" t="s">
        <v>6</v>
      </c>
      <c r="H903" s="8">
        <v>1</v>
      </c>
      <c r="I903" s="2">
        <v>50</v>
      </c>
      <c r="J903" s="2">
        <v>50</v>
      </c>
      <c r="K903" t="str">
        <f t="shared" si="85"/>
        <v>Low</v>
      </c>
      <c r="L903" s="12">
        <f t="shared" si="86"/>
        <v>2023</v>
      </c>
      <c r="M903" s="12">
        <f t="shared" si="87"/>
        <v>2</v>
      </c>
      <c r="N903" s="5" t="str">
        <f t="shared" si="88"/>
        <v>Thursday</v>
      </c>
      <c r="O903" s="5" t="str">
        <f t="shared" si="89"/>
        <v>June</v>
      </c>
    </row>
    <row r="904" spans="1:15" x14ac:dyDescent="0.3">
      <c r="A904" s="8">
        <v>903</v>
      </c>
      <c r="B904" s="25">
        <v>45043</v>
      </c>
      <c r="C904" s="5" t="s">
        <v>911</v>
      </c>
      <c r="D904" s="5" t="s">
        <v>8</v>
      </c>
      <c r="E904" s="12">
        <v>51</v>
      </c>
      <c r="F904" s="2" t="str">
        <f t="shared" si="84"/>
        <v>Adult</v>
      </c>
      <c r="G904" s="5" t="s">
        <v>6</v>
      </c>
      <c r="H904" s="8">
        <v>4</v>
      </c>
      <c r="I904" s="2">
        <v>50</v>
      </c>
      <c r="J904" s="2">
        <v>200</v>
      </c>
      <c r="K904" t="str">
        <f t="shared" si="85"/>
        <v>Low</v>
      </c>
      <c r="L904" s="12">
        <f t="shared" si="86"/>
        <v>2023</v>
      </c>
      <c r="M904" s="12">
        <f t="shared" si="87"/>
        <v>2</v>
      </c>
      <c r="N904" s="5" t="str">
        <f t="shared" si="88"/>
        <v>Thursday</v>
      </c>
      <c r="O904" s="5" t="str">
        <f t="shared" si="89"/>
        <v>April</v>
      </c>
    </row>
    <row r="905" spans="1:15" x14ac:dyDescent="0.3">
      <c r="A905" s="8">
        <v>904</v>
      </c>
      <c r="B905" s="25">
        <v>45111</v>
      </c>
      <c r="C905" s="5" t="s">
        <v>912</v>
      </c>
      <c r="D905" s="5" t="s">
        <v>5</v>
      </c>
      <c r="E905" s="12">
        <v>28</v>
      </c>
      <c r="F905" s="2" t="str">
        <f t="shared" si="84"/>
        <v>Young</v>
      </c>
      <c r="G905" s="5" t="s">
        <v>9</v>
      </c>
      <c r="H905" s="8">
        <v>1</v>
      </c>
      <c r="I905" s="2">
        <v>500</v>
      </c>
      <c r="J905" s="2">
        <v>500</v>
      </c>
      <c r="K905" t="str">
        <f t="shared" si="85"/>
        <v>Low</v>
      </c>
      <c r="L905" s="12">
        <f t="shared" si="86"/>
        <v>2023</v>
      </c>
      <c r="M905" s="12">
        <f t="shared" si="87"/>
        <v>3</v>
      </c>
      <c r="N905" s="5" t="str">
        <f t="shared" si="88"/>
        <v>Tuesday</v>
      </c>
      <c r="O905" s="5" t="str">
        <f t="shared" si="89"/>
        <v>July</v>
      </c>
    </row>
    <row r="906" spans="1:15" x14ac:dyDescent="0.3">
      <c r="A906" s="8">
        <v>905</v>
      </c>
      <c r="B906" s="25">
        <v>45018</v>
      </c>
      <c r="C906" s="5" t="s">
        <v>913</v>
      </c>
      <c r="D906" s="5" t="s">
        <v>5</v>
      </c>
      <c r="E906" s="12">
        <v>58</v>
      </c>
      <c r="F906" s="2" t="str">
        <f t="shared" si="84"/>
        <v>Adult</v>
      </c>
      <c r="G906" s="5" t="s">
        <v>6</v>
      </c>
      <c r="H906" s="8">
        <v>1</v>
      </c>
      <c r="I906" s="2">
        <v>300</v>
      </c>
      <c r="J906" s="2">
        <v>300</v>
      </c>
      <c r="K906" t="str">
        <f t="shared" si="85"/>
        <v>Low</v>
      </c>
      <c r="L906" s="12">
        <f t="shared" si="86"/>
        <v>2023</v>
      </c>
      <c r="M906" s="12">
        <f t="shared" si="87"/>
        <v>2</v>
      </c>
      <c r="N906" s="5" t="str">
        <f t="shared" si="88"/>
        <v>Sunday</v>
      </c>
      <c r="O906" s="5" t="str">
        <f t="shared" si="89"/>
        <v>April</v>
      </c>
    </row>
    <row r="907" spans="1:15" x14ac:dyDescent="0.3">
      <c r="A907" s="8">
        <v>906</v>
      </c>
      <c r="B907" s="25">
        <v>45081</v>
      </c>
      <c r="C907" s="5" t="s">
        <v>914</v>
      </c>
      <c r="D907" s="5" t="s">
        <v>8</v>
      </c>
      <c r="E907" s="12">
        <v>20</v>
      </c>
      <c r="F907" s="2" t="str">
        <f t="shared" si="84"/>
        <v>Young</v>
      </c>
      <c r="G907" s="5" t="s">
        <v>9</v>
      </c>
      <c r="H907" s="8">
        <v>1</v>
      </c>
      <c r="I907" s="2">
        <v>50</v>
      </c>
      <c r="J907" s="2">
        <v>50</v>
      </c>
      <c r="K907" t="str">
        <f t="shared" si="85"/>
        <v>Low</v>
      </c>
      <c r="L907" s="12">
        <f t="shared" si="86"/>
        <v>2023</v>
      </c>
      <c r="M907" s="12">
        <f t="shared" si="87"/>
        <v>2</v>
      </c>
      <c r="N907" s="5" t="str">
        <f t="shared" si="88"/>
        <v>Sunday</v>
      </c>
      <c r="O907" s="5" t="str">
        <f t="shared" si="89"/>
        <v>June</v>
      </c>
    </row>
    <row r="908" spans="1:15" x14ac:dyDescent="0.3">
      <c r="A908" s="8">
        <v>907</v>
      </c>
      <c r="B908" s="25">
        <v>44934</v>
      </c>
      <c r="C908" s="5" t="s">
        <v>915</v>
      </c>
      <c r="D908" s="5" t="s">
        <v>8</v>
      </c>
      <c r="E908" s="12">
        <v>45</v>
      </c>
      <c r="F908" s="2" t="str">
        <f t="shared" si="84"/>
        <v>Adult</v>
      </c>
      <c r="G908" s="5" t="s">
        <v>11</v>
      </c>
      <c r="H908" s="8">
        <v>1</v>
      </c>
      <c r="I908" s="2">
        <v>25</v>
      </c>
      <c r="J908" s="2">
        <v>25</v>
      </c>
      <c r="K908" t="str">
        <f t="shared" si="85"/>
        <v>Low</v>
      </c>
      <c r="L908" s="12">
        <f t="shared" si="86"/>
        <v>2023</v>
      </c>
      <c r="M908" s="12">
        <f t="shared" si="87"/>
        <v>1</v>
      </c>
      <c r="N908" s="5" t="str">
        <f t="shared" si="88"/>
        <v>Sunday</v>
      </c>
      <c r="O908" s="5" t="str">
        <f t="shared" si="89"/>
        <v>January</v>
      </c>
    </row>
    <row r="909" spans="1:15" x14ac:dyDescent="0.3">
      <c r="A909" s="8">
        <v>908</v>
      </c>
      <c r="B909" s="25">
        <v>45289</v>
      </c>
      <c r="C909" s="5" t="s">
        <v>916</v>
      </c>
      <c r="D909" s="5" t="s">
        <v>5</v>
      </c>
      <c r="E909" s="12">
        <v>46</v>
      </c>
      <c r="F909" s="2" t="str">
        <f t="shared" si="84"/>
        <v>Adult</v>
      </c>
      <c r="G909" s="5" t="s">
        <v>6</v>
      </c>
      <c r="H909" s="8">
        <v>4</v>
      </c>
      <c r="I909" s="2">
        <v>300</v>
      </c>
      <c r="J909" s="2">
        <v>1200</v>
      </c>
      <c r="K909" t="str">
        <f t="shared" si="85"/>
        <v>Medium</v>
      </c>
      <c r="L909" s="12">
        <f t="shared" si="86"/>
        <v>2023</v>
      </c>
      <c r="M909" s="12">
        <f t="shared" si="87"/>
        <v>4</v>
      </c>
      <c r="N909" s="5" t="str">
        <f t="shared" si="88"/>
        <v>Friday</v>
      </c>
      <c r="O909" s="5" t="str">
        <f t="shared" si="89"/>
        <v>December</v>
      </c>
    </row>
    <row r="910" spans="1:15" x14ac:dyDescent="0.3">
      <c r="A910" s="8">
        <v>909</v>
      </c>
      <c r="B910" s="25">
        <v>45200</v>
      </c>
      <c r="C910" s="5" t="s">
        <v>917</v>
      </c>
      <c r="D910" s="5" t="s">
        <v>5</v>
      </c>
      <c r="E910" s="12">
        <v>26</v>
      </c>
      <c r="F910" s="2" t="str">
        <f t="shared" si="84"/>
        <v>Young</v>
      </c>
      <c r="G910" s="5" t="s">
        <v>11</v>
      </c>
      <c r="H910" s="8">
        <v>1</v>
      </c>
      <c r="I910" s="2">
        <v>300</v>
      </c>
      <c r="J910" s="2">
        <v>300</v>
      </c>
      <c r="K910" t="str">
        <f t="shared" si="85"/>
        <v>Low</v>
      </c>
      <c r="L910" s="12">
        <f t="shared" si="86"/>
        <v>2023</v>
      </c>
      <c r="M910" s="12">
        <f t="shared" si="87"/>
        <v>4</v>
      </c>
      <c r="N910" s="5" t="str">
        <f t="shared" si="88"/>
        <v>Sunday</v>
      </c>
      <c r="O910" s="5" t="str">
        <f t="shared" si="89"/>
        <v>October</v>
      </c>
    </row>
    <row r="911" spans="1:15" x14ac:dyDescent="0.3">
      <c r="A911" s="8">
        <v>910</v>
      </c>
      <c r="B911" s="25">
        <v>44991</v>
      </c>
      <c r="C911" s="5" t="s">
        <v>918</v>
      </c>
      <c r="D911" s="5" t="s">
        <v>8</v>
      </c>
      <c r="E911" s="12">
        <v>20</v>
      </c>
      <c r="F911" s="2" t="str">
        <f t="shared" si="84"/>
        <v>Young</v>
      </c>
      <c r="G911" s="5" t="s">
        <v>6</v>
      </c>
      <c r="H911" s="8">
        <v>3</v>
      </c>
      <c r="I911" s="2">
        <v>50</v>
      </c>
      <c r="J911" s="2">
        <v>150</v>
      </c>
      <c r="K911" t="str">
        <f t="shared" si="85"/>
        <v>Low</v>
      </c>
      <c r="L911" s="12">
        <f t="shared" si="86"/>
        <v>2023</v>
      </c>
      <c r="M911" s="12">
        <f t="shared" si="87"/>
        <v>1</v>
      </c>
      <c r="N911" s="5" t="str">
        <f t="shared" si="88"/>
        <v>Monday</v>
      </c>
      <c r="O911" s="5" t="str">
        <f t="shared" si="89"/>
        <v>March</v>
      </c>
    </row>
    <row r="912" spans="1:15" x14ac:dyDescent="0.3">
      <c r="A912" s="8">
        <v>911</v>
      </c>
      <c r="B912" s="25">
        <v>45067</v>
      </c>
      <c r="C912" s="5" t="s">
        <v>919</v>
      </c>
      <c r="D912" s="5" t="s">
        <v>5</v>
      </c>
      <c r="E912" s="12">
        <v>42</v>
      </c>
      <c r="F912" s="2" t="str">
        <f t="shared" si="84"/>
        <v>Adult</v>
      </c>
      <c r="G912" s="5" t="s">
        <v>11</v>
      </c>
      <c r="H912" s="8">
        <v>3</v>
      </c>
      <c r="I912" s="2">
        <v>300</v>
      </c>
      <c r="J912" s="2">
        <v>900</v>
      </c>
      <c r="K912" t="str">
        <f t="shared" si="85"/>
        <v>Medium</v>
      </c>
      <c r="L912" s="12">
        <f t="shared" si="86"/>
        <v>2023</v>
      </c>
      <c r="M912" s="12">
        <f t="shared" si="87"/>
        <v>2</v>
      </c>
      <c r="N912" s="5" t="str">
        <f t="shared" si="88"/>
        <v>Sunday</v>
      </c>
      <c r="O912" s="5" t="str">
        <f t="shared" si="89"/>
        <v>May</v>
      </c>
    </row>
    <row r="913" spans="1:15" x14ac:dyDescent="0.3">
      <c r="A913" s="8">
        <v>912</v>
      </c>
      <c r="B913" s="25">
        <v>44950</v>
      </c>
      <c r="C913" s="5" t="s">
        <v>920</v>
      </c>
      <c r="D913" s="5" t="s">
        <v>5</v>
      </c>
      <c r="E913" s="12">
        <v>51</v>
      </c>
      <c r="F913" s="2" t="str">
        <f t="shared" si="84"/>
        <v>Adult</v>
      </c>
      <c r="G913" s="5" t="s">
        <v>6</v>
      </c>
      <c r="H913" s="8">
        <v>3</v>
      </c>
      <c r="I913" s="2">
        <v>50</v>
      </c>
      <c r="J913" s="2">
        <v>150</v>
      </c>
      <c r="K913" t="str">
        <f t="shared" si="85"/>
        <v>Low</v>
      </c>
      <c r="L913" s="12">
        <f t="shared" si="86"/>
        <v>2023</v>
      </c>
      <c r="M913" s="12">
        <f t="shared" si="87"/>
        <v>1</v>
      </c>
      <c r="N913" s="5" t="str">
        <f t="shared" si="88"/>
        <v>Tuesday</v>
      </c>
      <c r="O913" s="5" t="str">
        <f t="shared" si="89"/>
        <v>January</v>
      </c>
    </row>
    <row r="914" spans="1:15" x14ac:dyDescent="0.3">
      <c r="A914" s="8">
        <v>913</v>
      </c>
      <c r="B914" s="25">
        <v>44954</v>
      </c>
      <c r="C914" s="5" t="s">
        <v>921</v>
      </c>
      <c r="D914" s="5" t="s">
        <v>5</v>
      </c>
      <c r="E914" s="12">
        <v>29</v>
      </c>
      <c r="F914" s="2" t="str">
        <f t="shared" si="84"/>
        <v>Young</v>
      </c>
      <c r="G914" s="5" t="s">
        <v>11</v>
      </c>
      <c r="H914" s="8">
        <v>3</v>
      </c>
      <c r="I914" s="2">
        <v>30</v>
      </c>
      <c r="J914" s="2">
        <v>90</v>
      </c>
      <c r="K914" t="str">
        <f t="shared" si="85"/>
        <v>Low</v>
      </c>
      <c r="L914" s="12">
        <f t="shared" si="86"/>
        <v>2023</v>
      </c>
      <c r="M914" s="12">
        <f t="shared" si="87"/>
        <v>1</v>
      </c>
      <c r="N914" s="5" t="str">
        <f t="shared" si="88"/>
        <v>Saturday</v>
      </c>
      <c r="O914" s="5" t="str">
        <f t="shared" si="89"/>
        <v>January</v>
      </c>
    </row>
    <row r="915" spans="1:15" x14ac:dyDescent="0.3">
      <c r="A915" s="8">
        <v>914</v>
      </c>
      <c r="B915" s="25">
        <v>45210</v>
      </c>
      <c r="C915" s="5" t="s">
        <v>922</v>
      </c>
      <c r="D915" s="5" t="s">
        <v>8</v>
      </c>
      <c r="E915" s="12">
        <v>59</v>
      </c>
      <c r="F915" s="2" t="str">
        <f t="shared" si="84"/>
        <v>Adult</v>
      </c>
      <c r="G915" s="5" t="s">
        <v>11</v>
      </c>
      <c r="H915" s="8">
        <v>1</v>
      </c>
      <c r="I915" s="2">
        <v>500</v>
      </c>
      <c r="J915" s="2">
        <v>500</v>
      </c>
      <c r="K915" t="str">
        <f t="shared" si="85"/>
        <v>Low</v>
      </c>
      <c r="L915" s="12">
        <f t="shared" si="86"/>
        <v>2023</v>
      </c>
      <c r="M915" s="12">
        <f t="shared" si="87"/>
        <v>4</v>
      </c>
      <c r="N915" s="5" t="str">
        <f t="shared" si="88"/>
        <v>Wednesday</v>
      </c>
      <c r="O915" s="5" t="str">
        <f t="shared" si="89"/>
        <v>October</v>
      </c>
    </row>
    <row r="916" spans="1:15" x14ac:dyDescent="0.3">
      <c r="A916" s="8">
        <v>915</v>
      </c>
      <c r="B916" s="25">
        <v>45076</v>
      </c>
      <c r="C916" s="5" t="s">
        <v>923</v>
      </c>
      <c r="D916" s="5" t="s">
        <v>8</v>
      </c>
      <c r="E916" s="12">
        <v>26</v>
      </c>
      <c r="F916" s="2" t="str">
        <f t="shared" si="84"/>
        <v>Young</v>
      </c>
      <c r="G916" s="5" t="s">
        <v>6</v>
      </c>
      <c r="H916" s="8">
        <v>3</v>
      </c>
      <c r="I916" s="2">
        <v>30</v>
      </c>
      <c r="J916" s="2">
        <v>90</v>
      </c>
      <c r="K916" t="str">
        <f t="shared" si="85"/>
        <v>Low</v>
      </c>
      <c r="L916" s="12">
        <f t="shared" si="86"/>
        <v>2023</v>
      </c>
      <c r="M916" s="12">
        <f t="shared" si="87"/>
        <v>2</v>
      </c>
      <c r="N916" s="5" t="str">
        <f t="shared" si="88"/>
        <v>Tuesday</v>
      </c>
      <c r="O916" s="5" t="str">
        <f t="shared" si="89"/>
        <v>May</v>
      </c>
    </row>
    <row r="917" spans="1:15" x14ac:dyDescent="0.3">
      <c r="A917" s="8">
        <v>916</v>
      </c>
      <c r="B917" s="25">
        <v>45284</v>
      </c>
      <c r="C917" s="5" t="s">
        <v>924</v>
      </c>
      <c r="D917" s="5" t="s">
        <v>8</v>
      </c>
      <c r="E917" s="12">
        <v>32</v>
      </c>
      <c r="F917" s="2" t="str">
        <f t="shared" si="84"/>
        <v>Adult</v>
      </c>
      <c r="G917" s="5" t="s">
        <v>11</v>
      </c>
      <c r="H917" s="8">
        <v>1</v>
      </c>
      <c r="I917" s="2">
        <v>50</v>
      </c>
      <c r="J917" s="2">
        <v>50</v>
      </c>
      <c r="K917" t="str">
        <f t="shared" si="85"/>
        <v>Low</v>
      </c>
      <c r="L917" s="12">
        <f t="shared" si="86"/>
        <v>2023</v>
      </c>
      <c r="M917" s="12">
        <f t="shared" si="87"/>
        <v>4</v>
      </c>
      <c r="N917" s="5" t="str">
        <f t="shared" si="88"/>
        <v>Sunday</v>
      </c>
      <c r="O917" s="5" t="str">
        <f t="shared" si="89"/>
        <v>December</v>
      </c>
    </row>
    <row r="918" spans="1:15" x14ac:dyDescent="0.3">
      <c r="A918" s="8">
        <v>917</v>
      </c>
      <c r="B918" s="25">
        <v>44991</v>
      </c>
      <c r="C918" s="5" t="s">
        <v>925</v>
      </c>
      <c r="D918" s="5" t="s">
        <v>8</v>
      </c>
      <c r="E918" s="12">
        <v>57</v>
      </c>
      <c r="F918" s="2" t="str">
        <f t="shared" si="84"/>
        <v>Adult</v>
      </c>
      <c r="G918" s="5" t="s">
        <v>11</v>
      </c>
      <c r="H918" s="8">
        <v>4</v>
      </c>
      <c r="I918" s="2">
        <v>50</v>
      </c>
      <c r="J918" s="2">
        <v>200</v>
      </c>
      <c r="K918" t="str">
        <f t="shared" si="85"/>
        <v>Low</v>
      </c>
      <c r="L918" s="12">
        <f t="shared" si="86"/>
        <v>2023</v>
      </c>
      <c r="M918" s="12">
        <f t="shared" si="87"/>
        <v>1</v>
      </c>
      <c r="N918" s="5" t="str">
        <f t="shared" si="88"/>
        <v>Monday</v>
      </c>
      <c r="O918" s="5" t="str">
        <f t="shared" si="89"/>
        <v>March</v>
      </c>
    </row>
    <row r="919" spans="1:15" x14ac:dyDescent="0.3">
      <c r="A919" s="8">
        <v>918</v>
      </c>
      <c r="B919" s="25">
        <v>45253</v>
      </c>
      <c r="C919" s="5" t="s">
        <v>926</v>
      </c>
      <c r="D919" s="5" t="s">
        <v>8</v>
      </c>
      <c r="E919" s="12">
        <v>42</v>
      </c>
      <c r="F919" s="2" t="str">
        <f t="shared" si="84"/>
        <v>Adult</v>
      </c>
      <c r="G919" s="5" t="s">
        <v>11</v>
      </c>
      <c r="H919" s="8">
        <v>3</v>
      </c>
      <c r="I919" s="2">
        <v>30</v>
      </c>
      <c r="J919" s="2">
        <v>90</v>
      </c>
      <c r="K919" t="str">
        <f t="shared" si="85"/>
        <v>Low</v>
      </c>
      <c r="L919" s="12">
        <f t="shared" si="86"/>
        <v>2023</v>
      </c>
      <c r="M919" s="12">
        <f t="shared" si="87"/>
        <v>4</v>
      </c>
      <c r="N919" s="5" t="str">
        <f t="shared" si="88"/>
        <v>Thursday</v>
      </c>
      <c r="O919" s="5" t="str">
        <f t="shared" si="89"/>
        <v>November</v>
      </c>
    </row>
    <row r="920" spans="1:15" x14ac:dyDescent="0.3">
      <c r="A920" s="8">
        <v>919</v>
      </c>
      <c r="B920" s="25">
        <v>45178</v>
      </c>
      <c r="C920" s="5" t="s">
        <v>927</v>
      </c>
      <c r="D920" s="5" t="s">
        <v>8</v>
      </c>
      <c r="E920" s="12">
        <v>22</v>
      </c>
      <c r="F920" s="2" t="str">
        <f t="shared" si="84"/>
        <v>Young</v>
      </c>
      <c r="G920" s="5" t="s">
        <v>6</v>
      </c>
      <c r="H920" s="8">
        <v>2</v>
      </c>
      <c r="I920" s="2">
        <v>25</v>
      </c>
      <c r="J920" s="2">
        <v>50</v>
      </c>
      <c r="K920" t="str">
        <f t="shared" si="85"/>
        <v>Low</v>
      </c>
      <c r="L920" s="12">
        <f t="shared" si="86"/>
        <v>2023</v>
      </c>
      <c r="M920" s="12">
        <f t="shared" si="87"/>
        <v>3</v>
      </c>
      <c r="N920" s="5" t="str">
        <f t="shared" si="88"/>
        <v>Saturday</v>
      </c>
      <c r="O920" s="5" t="str">
        <f t="shared" si="89"/>
        <v>September</v>
      </c>
    </row>
    <row r="921" spans="1:15" x14ac:dyDescent="0.3">
      <c r="A921" s="8">
        <v>920</v>
      </c>
      <c r="B921" s="25">
        <v>44979</v>
      </c>
      <c r="C921" s="5" t="s">
        <v>928</v>
      </c>
      <c r="D921" s="5" t="s">
        <v>8</v>
      </c>
      <c r="E921" s="12">
        <v>28</v>
      </c>
      <c r="F921" s="2" t="str">
        <f t="shared" si="84"/>
        <v>Young</v>
      </c>
      <c r="G921" s="5" t="s">
        <v>6</v>
      </c>
      <c r="H921" s="8">
        <v>3</v>
      </c>
      <c r="I921" s="2">
        <v>25</v>
      </c>
      <c r="J921" s="2">
        <v>75</v>
      </c>
      <c r="K921" t="str">
        <f t="shared" si="85"/>
        <v>Low</v>
      </c>
      <c r="L921" s="12">
        <f t="shared" si="86"/>
        <v>2023</v>
      </c>
      <c r="M921" s="12">
        <f t="shared" si="87"/>
        <v>1</v>
      </c>
      <c r="N921" s="5" t="str">
        <f t="shared" si="88"/>
        <v>Wednesday</v>
      </c>
      <c r="O921" s="5" t="str">
        <f t="shared" si="89"/>
        <v>February</v>
      </c>
    </row>
    <row r="922" spans="1:15" x14ac:dyDescent="0.3">
      <c r="A922" s="8">
        <v>921</v>
      </c>
      <c r="B922" s="25">
        <v>44933</v>
      </c>
      <c r="C922" s="5" t="s">
        <v>929</v>
      </c>
      <c r="D922" s="5" t="s">
        <v>5</v>
      </c>
      <c r="E922" s="12">
        <v>51</v>
      </c>
      <c r="F922" s="2" t="str">
        <f t="shared" si="84"/>
        <v>Adult</v>
      </c>
      <c r="G922" s="5" t="s">
        <v>11</v>
      </c>
      <c r="H922" s="8">
        <v>3</v>
      </c>
      <c r="I922" s="2">
        <v>25</v>
      </c>
      <c r="J922" s="2">
        <v>75</v>
      </c>
      <c r="K922" t="str">
        <f t="shared" si="85"/>
        <v>Low</v>
      </c>
      <c r="L922" s="12">
        <f t="shared" si="86"/>
        <v>2023</v>
      </c>
      <c r="M922" s="12">
        <f t="shared" si="87"/>
        <v>1</v>
      </c>
      <c r="N922" s="5" t="str">
        <f t="shared" si="88"/>
        <v>Saturday</v>
      </c>
      <c r="O922" s="5" t="str">
        <f t="shared" si="89"/>
        <v>January</v>
      </c>
    </row>
    <row r="923" spans="1:15" x14ac:dyDescent="0.3">
      <c r="A923" s="8">
        <v>922</v>
      </c>
      <c r="B923" s="25">
        <v>45220</v>
      </c>
      <c r="C923" s="5" t="s">
        <v>930</v>
      </c>
      <c r="D923" s="5" t="s">
        <v>5</v>
      </c>
      <c r="E923" s="12">
        <v>41</v>
      </c>
      <c r="F923" s="2" t="str">
        <f t="shared" si="84"/>
        <v>Adult</v>
      </c>
      <c r="G923" s="5" t="s">
        <v>11</v>
      </c>
      <c r="H923" s="8">
        <v>1</v>
      </c>
      <c r="I923" s="2">
        <v>50</v>
      </c>
      <c r="J923" s="2">
        <v>50</v>
      </c>
      <c r="K923" t="str">
        <f t="shared" si="85"/>
        <v>Low</v>
      </c>
      <c r="L923" s="12">
        <f t="shared" si="86"/>
        <v>2023</v>
      </c>
      <c r="M923" s="12">
        <f t="shared" si="87"/>
        <v>4</v>
      </c>
      <c r="N923" s="5" t="str">
        <f t="shared" si="88"/>
        <v>Saturday</v>
      </c>
      <c r="O923" s="5" t="str">
        <f t="shared" si="89"/>
        <v>October</v>
      </c>
    </row>
    <row r="924" spans="1:15" x14ac:dyDescent="0.3">
      <c r="A924" s="8">
        <v>923</v>
      </c>
      <c r="B924" s="25">
        <v>45072</v>
      </c>
      <c r="C924" s="5" t="s">
        <v>931</v>
      </c>
      <c r="D924" s="5" t="s">
        <v>5</v>
      </c>
      <c r="E924" s="12">
        <v>32</v>
      </c>
      <c r="F924" s="2" t="str">
        <f t="shared" si="84"/>
        <v>Adult</v>
      </c>
      <c r="G924" s="5" t="s">
        <v>6</v>
      </c>
      <c r="H924" s="8">
        <v>3</v>
      </c>
      <c r="I924" s="2">
        <v>300</v>
      </c>
      <c r="J924" s="2">
        <v>900</v>
      </c>
      <c r="K924" t="str">
        <f t="shared" si="85"/>
        <v>Medium</v>
      </c>
      <c r="L924" s="12">
        <f t="shared" si="86"/>
        <v>2023</v>
      </c>
      <c r="M924" s="12">
        <f t="shared" si="87"/>
        <v>2</v>
      </c>
      <c r="N924" s="5" t="str">
        <f t="shared" si="88"/>
        <v>Friday</v>
      </c>
      <c r="O924" s="5" t="str">
        <f t="shared" si="89"/>
        <v>May</v>
      </c>
    </row>
    <row r="925" spans="1:15" x14ac:dyDescent="0.3">
      <c r="A925" s="8">
        <v>924</v>
      </c>
      <c r="B925" s="25">
        <v>45167</v>
      </c>
      <c r="C925" s="5" t="s">
        <v>932</v>
      </c>
      <c r="D925" s="5" t="s">
        <v>5</v>
      </c>
      <c r="E925" s="12">
        <v>55</v>
      </c>
      <c r="F925" s="2" t="str">
        <f t="shared" si="84"/>
        <v>Adult</v>
      </c>
      <c r="G925" s="5" t="s">
        <v>6</v>
      </c>
      <c r="H925" s="8">
        <v>2</v>
      </c>
      <c r="I925" s="2">
        <v>50</v>
      </c>
      <c r="J925" s="2">
        <v>100</v>
      </c>
      <c r="K925" t="str">
        <f t="shared" si="85"/>
        <v>Low</v>
      </c>
      <c r="L925" s="12">
        <f t="shared" si="86"/>
        <v>2023</v>
      </c>
      <c r="M925" s="12">
        <f t="shared" si="87"/>
        <v>3</v>
      </c>
      <c r="N925" s="5" t="str">
        <f t="shared" si="88"/>
        <v>Tuesday</v>
      </c>
      <c r="O925" s="5" t="str">
        <f t="shared" si="89"/>
        <v>August</v>
      </c>
    </row>
    <row r="926" spans="1:15" x14ac:dyDescent="0.3">
      <c r="A926" s="8">
        <v>925</v>
      </c>
      <c r="B926" s="25">
        <v>45172</v>
      </c>
      <c r="C926" s="5" t="s">
        <v>933</v>
      </c>
      <c r="D926" s="5" t="s">
        <v>5</v>
      </c>
      <c r="E926" s="12">
        <v>25</v>
      </c>
      <c r="F926" s="2" t="str">
        <f t="shared" si="84"/>
        <v>Young</v>
      </c>
      <c r="G926" s="5" t="s">
        <v>11</v>
      </c>
      <c r="H926" s="8">
        <v>1</v>
      </c>
      <c r="I926" s="2">
        <v>300</v>
      </c>
      <c r="J926" s="2">
        <v>300</v>
      </c>
      <c r="K926" t="str">
        <f t="shared" si="85"/>
        <v>Low</v>
      </c>
      <c r="L926" s="12">
        <f t="shared" si="86"/>
        <v>2023</v>
      </c>
      <c r="M926" s="12">
        <f t="shared" si="87"/>
        <v>3</v>
      </c>
      <c r="N926" s="5" t="str">
        <f t="shared" si="88"/>
        <v>Sunday</v>
      </c>
      <c r="O926" s="5" t="str">
        <f t="shared" si="89"/>
        <v>September</v>
      </c>
    </row>
    <row r="927" spans="1:15" x14ac:dyDescent="0.3">
      <c r="A927" s="8">
        <v>926</v>
      </c>
      <c r="B927" s="25">
        <v>45152</v>
      </c>
      <c r="C927" s="5" t="s">
        <v>934</v>
      </c>
      <c r="D927" s="5" t="s">
        <v>5</v>
      </c>
      <c r="E927" s="12">
        <v>22</v>
      </c>
      <c r="F927" s="2" t="str">
        <f t="shared" si="84"/>
        <v>Young</v>
      </c>
      <c r="G927" s="5" t="s">
        <v>11</v>
      </c>
      <c r="H927" s="8">
        <v>1</v>
      </c>
      <c r="I927" s="2">
        <v>30</v>
      </c>
      <c r="J927" s="2">
        <v>30</v>
      </c>
      <c r="K927" t="str">
        <f t="shared" si="85"/>
        <v>Low</v>
      </c>
      <c r="L927" s="12">
        <f t="shared" si="86"/>
        <v>2023</v>
      </c>
      <c r="M927" s="12">
        <f t="shared" si="87"/>
        <v>3</v>
      </c>
      <c r="N927" s="5" t="str">
        <f t="shared" si="88"/>
        <v>Monday</v>
      </c>
      <c r="O927" s="5" t="str">
        <f t="shared" si="89"/>
        <v>August</v>
      </c>
    </row>
    <row r="928" spans="1:15" x14ac:dyDescent="0.3">
      <c r="A928" s="8">
        <v>927</v>
      </c>
      <c r="B928" s="25">
        <v>45101</v>
      </c>
      <c r="C928" s="5" t="s">
        <v>935</v>
      </c>
      <c r="D928" s="5" t="s">
        <v>5</v>
      </c>
      <c r="E928" s="12">
        <v>43</v>
      </c>
      <c r="F928" s="2" t="str">
        <f t="shared" si="84"/>
        <v>Adult</v>
      </c>
      <c r="G928" s="5" t="s">
        <v>11</v>
      </c>
      <c r="H928" s="8">
        <v>4</v>
      </c>
      <c r="I928" s="2">
        <v>500</v>
      </c>
      <c r="J928" s="2">
        <v>2000</v>
      </c>
      <c r="K928" t="str">
        <f t="shared" si="85"/>
        <v>High</v>
      </c>
      <c r="L928" s="12">
        <f t="shared" si="86"/>
        <v>2023</v>
      </c>
      <c r="M928" s="12">
        <f t="shared" si="87"/>
        <v>2</v>
      </c>
      <c r="N928" s="5" t="str">
        <f t="shared" si="88"/>
        <v>Saturday</v>
      </c>
      <c r="O928" s="5" t="str">
        <f t="shared" si="89"/>
        <v>June</v>
      </c>
    </row>
    <row r="929" spans="1:15" x14ac:dyDescent="0.3">
      <c r="A929" s="8">
        <v>928</v>
      </c>
      <c r="B929" s="25">
        <v>45021</v>
      </c>
      <c r="C929" s="5" t="s">
        <v>936</v>
      </c>
      <c r="D929" s="5" t="s">
        <v>8</v>
      </c>
      <c r="E929" s="12">
        <v>35</v>
      </c>
      <c r="F929" s="2" t="str">
        <f t="shared" si="84"/>
        <v>Adult</v>
      </c>
      <c r="G929" s="5" t="s">
        <v>9</v>
      </c>
      <c r="H929" s="8">
        <v>4</v>
      </c>
      <c r="I929" s="2">
        <v>300</v>
      </c>
      <c r="J929" s="2">
        <v>1200</v>
      </c>
      <c r="K929" t="str">
        <f t="shared" si="85"/>
        <v>Medium</v>
      </c>
      <c r="L929" s="12">
        <f t="shared" si="86"/>
        <v>2023</v>
      </c>
      <c r="M929" s="12">
        <f t="shared" si="87"/>
        <v>2</v>
      </c>
      <c r="N929" s="5" t="str">
        <f t="shared" si="88"/>
        <v>Wednesday</v>
      </c>
      <c r="O929" s="5" t="str">
        <f t="shared" si="89"/>
        <v>April</v>
      </c>
    </row>
    <row r="930" spans="1:15" x14ac:dyDescent="0.3">
      <c r="A930" s="8">
        <v>929</v>
      </c>
      <c r="B930" s="25">
        <v>44953</v>
      </c>
      <c r="C930" s="5" t="s">
        <v>937</v>
      </c>
      <c r="D930" s="5" t="s">
        <v>8</v>
      </c>
      <c r="E930" s="12">
        <v>23</v>
      </c>
      <c r="F930" s="2" t="str">
        <f t="shared" si="84"/>
        <v>Young</v>
      </c>
      <c r="G930" s="5" t="s">
        <v>6</v>
      </c>
      <c r="H930" s="8">
        <v>3</v>
      </c>
      <c r="I930" s="2">
        <v>25</v>
      </c>
      <c r="J930" s="2">
        <v>75</v>
      </c>
      <c r="K930" t="str">
        <f t="shared" si="85"/>
        <v>Low</v>
      </c>
      <c r="L930" s="12">
        <f t="shared" si="86"/>
        <v>2023</v>
      </c>
      <c r="M930" s="12">
        <f t="shared" si="87"/>
        <v>1</v>
      </c>
      <c r="N930" s="5" t="str">
        <f t="shared" si="88"/>
        <v>Friday</v>
      </c>
      <c r="O930" s="5" t="str">
        <f t="shared" si="89"/>
        <v>January</v>
      </c>
    </row>
    <row r="931" spans="1:15" x14ac:dyDescent="0.3">
      <c r="A931" s="8">
        <v>930</v>
      </c>
      <c r="B931" s="25">
        <v>45056</v>
      </c>
      <c r="C931" s="5" t="s">
        <v>938</v>
      </c>
      <c r="D931" s="5" t="s">
        <v>5</v>
      </c>
      <c r="E931" s="12">
        <v>54</v>
      </c>
      <c r="F931" s="2" t="str">
        <f t="shared" si="84"/>
        <v>Adult</v>
      </c>
      <c r="G931" s="5" t="s">
        <v>9</v>
      </c>
      <c r="H931" s="8">
        <v>4</v>
      </c>
      <c r="I931" s="2">
        <v>50</v>
      </c>
      <c r="J931" s="2">
        <v>200</v>
      </c>
      <c r="K931" t="str">
        <f t="shared" si="85"/>
        <v>Low</v>
      </c>
      <c r="L931" s="12">
        <f t="shared" si="86"/>
        <v>2023</v>
      </c>
      <c r="M931" s="12">
        <f t="shared" si="87"/>
        <v>2</v>
      </c>
      <c r="N931" s="5" t="str">
        <f t="shared" si="88"/>
        <v>Wednesday</v>
      </c>
      <c r="O931" s="5" t="str">
        <f t="shared" si="89"/>
        <v>May</v>
      </c>
    </row>
    <row r="932" spans="1:15" x14ac:dyDescent="0.3">
      <c r="A932" s="8">
        <v>931</v>
      </c>
      <c r="B932" s="25">
        <v>45171</v>
      </c>
      <c r="C932" s="5" t="s">
        <v>939</v>
      </c>
      <c r="D932" s="5" t="s">
        <v>5</v>
      </c>
      <c r="E932" s="12">
        <v>30</v>
      </c>
      <c r="F932" s="2" t="str">
        <f t="shared" si="84"/>
        <v>Young</v>
      </c>
      <c r="G932" s="5" t="s">
        <v>6</v>
      </c>
      <c r="H932" s="8">
        <v>4</v>
      </c>
      <c r="I932" s="2">
        <v>30</v>
      </c>
      <c r="J932" s="2">
        <v>120</v>
      </c>
      <c r="K932" t="str">
        <f t="shared" si="85"/>
        <v>Low</v>
      </c>
      <c r="L932" s="12">
        <f t="shared" si="86"/>
        <v>2023</v>
      </c>
      <c r="M932" s="12">
        <f t="shared" si="87"/>
        <v>3</v>
      </c>
      <c r="N932" s="5" t="str">
        <f t="shared" si="88"/>
        <v>Saturday</v>
      </c>
      <c r="O932" s="5" t="str">
        <f t="shared" si="89"/>
        <v>September</v>
      </c>
    </row>
    <row r="933" spans="1:15" x14ac:dyDescent="0.3">
      <c r="A933" s="8">
        <v>932</v>
      </c>
      <c r="B933" s="25">
        <v>44985</v>
      </c>
      <c r="C933" s="5" t="s">
        <v>940</v>
      </c>
      <c r="D933" s="5" t="s">
        <v>8</v>
      </c>
      <c r="E933" s="12">
        <v>45</v>
      </c>
      <c r="F933" s="2" t="str">
        <f t="shared" si="84"/>
        <v>Adult</v>
      </c>
      <c r="G933" s="5" t="s">
        <v>6</v>
      </c>
      <c r="H933" s="8">
        <v>4</v>
      </c>
      <c r="I933" s="2">
        <v>25</v>
      </c>
      <c r="J933" s="2">
        <v>100</v>
      </c>
      <c r="K933" t="str">
        <f t="shared" si="85"/>
        <v>Low</v>
      </c>
      <c r="L933" s="12">
        <f t="shared" si="86"/>
        <v>2023</v>
      </c>
      <c r="M933" s="12">
        <f t="shared" si="87"/>
        <v>1</v>
      </c>
      <c r="N933" s="5" t="str">
        <f t="shared" si="88"/>
        <v>Tuesday</v>
      </c>
      <c r="O933" s="5" t="str">
        <f t="shared" si="89"/>
        <v>February</v>
      </c>
    </row>
    <row r="934" spans="1:15" x14ac:dyDescent="0.3">
      <c r="A934" s="8">
        <v>933</v>
      </c>
      <c r="B934" s="25">
        <v>44960</v>
      </c>
      <c r="C934" s="5" t="s">
        <v>941</v>
      </c>
      <c r="D934" s="5" t="s">
        <v>5</v>
      </c>
      <c r="E934" s="12">
        <v>22</v>
      </c>
      <c r="F934" s="2" t="str">
        <f t="shared" si="84"/>
        <v>Young</v>
      </c>
      <c r="G934" s="5" t="s">
        <v>6</v>
      </c>
      <c r="H934" s="8">
        <v>1</v>
      </c>
      <c r="I934" s="2">
        <v>30</v>
      </c>
      <c r="J934" s="2">
        <v>30</v>
      </c>
      <c r="K934" t="str">
        <f t="shared" si="85"/>
        <v>Low</v>
      </c>
      <c r="L934" s="12">
        <f t="shared" si="86"/>
        <v>2023</v>
      </c>
      <c r="M934" s="12">
        <f t="shared" si="87"/>
        <v>1</v>
      </c>
      <c r="N934" s="5" t="str">
        <f t="shared" si="88"/>
        <v>Friday</v>
      </c>
      <c r="O934" s="5" t="str">
        <f t="shared" si="89"/>
        <v>February</v>
      </c>
    </row>
    <row r="935" spans="1:15" x14ac:dyDescent="0.3">
      <c r="A935" s="8">
        <v>934</v>
      </c>
      <c r="B935" s="25">
        <v>45132</v>
      </c>
      <c r="C935" s="5" t="s">
        <v>942</v>
      </c>
      <c r="D935" s="5" t="s">
        <v>5</v>
      </c>
      <c r="E935" s="12">
        <v>30</v>
      </c>
      <c r="F935" s="2" t="str">
        <f t="shared" si="84"/>
        <v>Young</v>
      </c>
      <c r="G935" s="5" t="s">
        <v>6</v>
      </c>
      <c r="H935" s="8">
        <v>1</v>
      </c>
      <c r="I935" s="2">
        <v>500</v>
      </c>
      <c r="J935" s="2">
        <v>500</v>
      </c>
      <c r="K935" t="str">
        <f t="shared" si="85"/>
        <v>Low</v>
      </c>
      <c r="L935" s="12">
        <f t="shared" si="86"/>
        <v>2023</v>
      </c>
      <c r="M935" s="12">
        <f t="shared" si="87"/>
        <v>3</v>
      </c>
      <c r="N935" s="5" t="str">
        <f t="shared" si="88"/>
        <v>Tuesday</v>
      </c>
      <c r="O935" s="5" t="str">
        <f t="shared" si="89"/>
        <v>July</v>
      </c>
    </row>
    <row r="936" spans="1:15" x14ac:dyDescent="0.3">
      <c r="A936" s="8">
        <v>935</v>
      </c>
      <c r="B936" s="25">
        <v>45178</v>
      </c>
      <c r="C936" s="5" t="s">
        <v>943</v>
      </c>
      <c r="D936" s="5" t="s">
        <v>8</v>
      </c>
      <c r="E936" s="12">
        <v>34</v>
      </c>
      <c r="F936" s="2" t="str">
        <f t="shared" si="84"/>
        <v>Adult</v>
      </c>
      <c r="G936" s="5" t="s">
        <v>6</v>
      </c>
      <c r="H936" s="8">
        <v>1</v>
      </c>
      <c r="I936" s="2">
        <v>50</v>
      </c>
      <c r="J936" s="2">
        <v>50</v>
      </c>
      <c r="K936" t="str">
        <f t="shared" si="85"/>
        <v>Low</v>
      </c>
      <c r="L936" s="12">
        <f t="shared" si="86"/>
        <v>2023</v>
      </c>
      <c r="M936" s="12">
        <f t="shared" si="87"/>
        <v>3</v>
      </c>
      <c r="N936" s="5" t="str">
        <f t="shared" si="88"/>
        <v>Saturday</v>
      </c>
      <c r="O936" s="5" t="str">
        <f t="shared" si="89"/>
        <v>September</v>
      </c>
    </row>
    <row r="937" spans="1:15" x14ac:dyDescent="0.3">
      <c r="A937" s="8">
        <v>936</v>
      </c>
      <c r="B937" s="25">
        <v>44964</v>
      </c>
      <c r="C937" s="5" t="s">
        <v>944</v>
      </c>
      <c r="D937" s="5" t="s">
        <v>5</v>
      </c>
      <c r="E937" s="12">
        <v>57</v>
      </c>
      <c r="F937" s="2" t="str">
        <f t="shared" si="84"/>
        <v>Adult</v>
      </c>
      <c r="G937" s="5" t="s">
        <v>6</v>
      </c>
      <c r="H937" s="8">
        <v>4</v>
      </c>
      <c r="I937" s="2">
        <v>50</v>
      </c>
      <c r="J937" s="2">
        <v>200</v>
      </c>
      <c r="K937" t="str">
        <f t="shared" si="85"/>
        <v>Low</v>
      </c>
      <c r="L937" s="12">
        <f t="shared" si="86"/>
        <v>2023</v>
      </c>
      <c r="M937" s="12">
        <f t="shared" si="87"/>
        <v>1</v>
      </c>
      <c r="N937" s="5" t="str">
        <f t="shared" si="88"/>
        <v>Tuesday</v>
      </c>
      <c r="O937" s="5" t="str">
        <f t="shared" si="89"/>
        <v>February</v>
      </c>
    </row>
    <row r="938" spans="1:15" x14ac:dyDescent="0.3">
      <c r="A938" s="8">
        <v>937</v>
      </c>
      <c r="B938" s="25">
        <v>45222</v>
      </c>
      <c r="C938" s="5" t="s">
        <v>945</v>
      </c>
      <c r="D938" s="5" t="s">
        <v>8</v>
      </c>
      <c r="E938" s="12">
        <v>62</v>
      </c>
      <c r="F938" s="2" t="str">
        <f t="shared" si="84"/>
        <v>Senior</v>
      </c>
      <c r="G938" s="5" t="s">
        <v>6</v>
      </c>
      <c r="H938" s="8">
        <v>1</v>
      </c>
      <c r="I938" s="2">
        <v>500</v>
      </c>
      <c r="J938" s="2">
        <v>500</v>
      </c>
      <c r="K938" t="str">
        <f t="shared" si="85"/>
        <v>Low</v>
      </c>
      <c r="L938" s="12">
        <f t="shared" si="86"/>
        <v>2023</v>
      </c>
      <c r="M938" s="12">
        <f t="shared" si="87"/>
        <v>4</v>
      </c>
      <c r="N938" s="5" t="str">
        <f t="shared" si="88"/>
        <v>Monday</v>
      </c>
      <c r="O938" s="5" t="str">
        <f t="shared" si="89"/>
        <v>October</v>
      </c>
    </row>
    <row r="939" spans="1:15" x14ac:dyDescent="0.3">
      <c r="A939" s="8">
        <v>938</v>
      </c>
      <c r="B939" s="25">
        <v>45249</v>
      </c>
      <c r="C939" s="5" t="s">
        <v>946</v>
      </c>
      <c r="D939" s="5" t="s">
        <v>5</v>
      </c>
      <c r="E939" s="12">
        <v>49</v>
      </c>
      <c r="F939" s="2" t="str">
        <f t="shared" si="84"/>
        <v>Adult</v>
      </c>
      <c r="G939" s="5" t="s">
        <v>9</v>
      </c>
      <c r="H939" s="8">
        <v>4</v>
      </c>
      <c r="I939" s="2">
        <v>50</v>
      </c>
      <c r="J939" s="2">
        <v>200</v>
      </c>
      <c r="K939" t="str">
        <f t="shared" si="85"/>
        <v>Low</v>
      </c>
      <c r="L939" s="12">
        <f t="shared" si="86"/>
        <v>2023</v>
      </c>
      <c r="M939" s="12">
        <f t="shared" si="87"/>
        <v>4</v>
      </c>
      <c r="N939" s="5" t="str">
        <f t="shared" si="88"/>
        <v>Sunday</v>
      </c>
      <c r="O939" s="5" t="str">
        <f t="shared" si="89"/>
        <v>November</v>
      </c>
    </row>
    <row r="940" spans="1:15" x14ac:dyDescent="0.3">
      <c r="A940" s="8">
        <v>939</v>
      </c>
      <c r="B940" s="25">
        <v>45278</v>
      </c>
      <c r="C940" s="5" t="s">
        <v>947</v>
      </c>
      <c r="D940" s="5" t="s">
        <v>8</v>
      </c>
      <c r="E940" s="12">
        <v>46</v>
      </c>
      <c r="F940" s="2" t="str">
        <f t="shared" si="84"/>
        <v>Adult</v>
      </c>
      <c r="G940" s="5" t="s">
        <v>11</v>
      </c>
      <c r="H940" s="8">
        <v>1</v>
      </c>
      <c r="I940" s="2">
        <v>300</v>
      </c>
      <c r="J940" s="2">
        <v>300</v>
      </c>
      <c r="K940" t="str">
        <f t="shared" si="85"/>
        <v>Low</v>
      </c>
      <c r="L940" s="12">
        <f t="shared" si="86"/>
        <v>2023</v>
      </c>
      <c r="M940" s="12">
        <f t="shared" si="87"/>
        <v>4</v>
      </c>
      <c r="N940" s="5" t="str">
        <f t="shared" si="88"/>
        <v>Monday</v>
      </c>
      <c r="O940" s="5" t="str">
        <f t="shared" si="89"/>
        <v>December</v>
      </c>
    </row>
    <row r="941" spans="1:15" x14ac:dyDescent="0.3">
      <c r="A941" s="8">
        <v>940</v>
      </c>
      <c r="B941" s="25">
        <v>44954</v>
      </c>
      <c r="C941" s="5" t="s">
        <v>948</v>
      </c>
      <c r="D941" s="5" t="s">
        <v>8</v>
      </c>
      <c r="E941" s="12">
        <v>20</v>
      </c>
      <c r="F941" s="2" t="str">
        <f t="shared" si="84"/>
        <v>Young</v>
      </c>
      <c r="G941" s="5" t="s">
        <v>11</v>
      </c>
      <c r="H941" s="8">
        <v>1</v>
      </c>
      <c r="I941" s="2">
        <v>30</v>
      </c>
      <c r="J941" s="2">
        <v>30</v>
      </c>
      <c r="K941" t="str">
        <f t="shared" si="85"/>
        <v>Low</v>
      </c>
      <c r="L941" s="12">
        <f t="shared" si="86"/>
        <v>2023</v>
      </c>
      <c r="M941" s="12">
        <f t="shared" si="87"/>
        <v>1</v>
      </c>
      <c r="N941" s="5" t="str">
        <f t="shared" si="88"/>
        <v>Saturday</v>
      </c>
      <c r="O941" s="5" t="str">
        <f t="shared" si="89"/>
        <v>January</v>
      </c>
    </row>
    <row r="942" spans="1:15" x14ac:dyDescent="0.3">
      <c r="A942" s="8">
        <v>941</v>
      </c>
      <c r="B942" s="25">
        <v>45004</v>
      </c>
      <c r="C942" s="5" t="s">
        <v>949</v>
      </c>
      <c r="D942" s="5" t="s">
        <v>8</v>
      </c>
      <c r="E942" s="12">
        <v>57</v>
      </c>
      <c r="F942" s="2" t="str">
        <f t="shared" si="84"/>
        <v>Adult</v>
      </c>
      <c r="G942" s="5" t="s">
        <v>9</v>
      </c>
      <c r="H942" s="8">
        <v>2</v>
      </c>
      <c r="I942" s="2">
        <v>25</v>
      </c>
      <c r="J942" s="2">
        <v>50</v>
      </c>
      <c r="K942" t="str">
        <f t="shared" si="85"/>
        <v>Low</v>
      </c>
      <c r="L942" s="12">
        <f t="shared" si="86"/>
        <v>2023</v>
      </c>
      <c r="M942" s="12">
        <f t="shared" si="87"/>
        <v>1</v>
      </c>
      <c r="N942" s="5" t="str">
        <f t="shared" si="88"/>
        <v>Sunday</v>
      </c>
      <c r="O942" s="5" t="str">
        <f t="shared" si="89"/>
        <v>March</v>
      </c>
    </row>
    <row r="943" spans="1:15" x14ac:dyDescent="0.3">
      <c r="A943" s="8">
        <v>942</v>
      </c>
      <c r="B943" s="25">
        <v>45003</v>
      </c>
      <c r="C943" s="5" t="s">
        <v>950</v>
      </c>
      <c r="D943" s="5" t="s">
        <v>5</v>
      </c>
      <c r="E943" s="12">
        <v>51</v>
      </c>
      <c r="F943" s="2" t="str">
        <f t="shared" si="84"/>
        <v>Adult</v>
      </c>
      <c r="G943" s="5" t="s">
        <v>9</v>
      </c>
      <c r="H943" s="8">
        <v>3</v>
      </c>
      <c r="I943" s="2">
        <v>500</v>
      </c>
      <c r="J943" s="2">
        <v>1500</v>
      </c>
      <c r="K943" t="str">
        <f t="shared" si="85"/>
        <v>Medium</v>
      </c>
      <c r="L943" s="12">
        <f t="shared" si="86"/>
        <v>2023</v>
      </c>
      <c r="M943" s="12">
        <f t="shared" si="87"/>
        <v>1</v>
      </c>
      <c r="N943" s="5" t="str">
        <f t="shared" si="88"/>
        <v>Saturday</v>
      </c>
      <c r="O943" s="5" t="str">
        <f t="shared" si="89"/>
        <v>March</v>
      </c>
    </row>
    <row r="944" spans="1:15" x14ac:dyDescent="0.3">
      <c r="A944" s="8">
        <v>943</v>
      </c>
      <c r="B944" s="25">
        <v>45215</v>
      </c>
      <c r="C944" s="5" t="s">
        <v>951</v>
      </c>
      <c r="D944" s="5" t="s">
        <v>8</v>
      </c>
      <c r="E944" s="12">
        <v>57</v>
      </c>
      <c r="F944" s="2" t="str">
        <f t="shared" si="84"/>
        <v>Adult</v>
      </c>
      <c r="G944" s="5" t="s">
        <v>9</v>
      </c>
      <c r="H944" s="8">
        <v>4</v>
      </c>
      <c r="I944" s="2">
        <v>300</v>
      </c>
      <c r="J944" s="2">
        <v>1200</v>
      </c>
      <c r="K944" t="str">
        <f t="shared" si="85"/>
        <v>Medium</v>
      </c>
      <c r="L944" s="12">
        <f t="shared" si="86"/>
        <v>2023</v>
      </c>
      <c r="M944" s="12">
        <f t="shared" si="87"/>
        <v>4</v>
      </c>
      <c r="N944" s="5" t="str">
        <f t="shared" si="88"/>
        <v>Monday</v>
      </c>
      <c r="O944" s="5" t="str">
        <f t="shared" si="89"/>
        <v>October</v>
      </c>
    </row>
    <row r="945" spans="1:15" x14ac:dyDescent="0.3">
      <c r="A945" s="8">
        <v>944</v>
      </c>
      <c r="B945" s="25">
        <v>45082</v>
      </c>
      <c r="C945" s="5" t="s">
        <v>952</v>
      </c>
      <c r="D945" s="5" t="s">
        <v>5</v>
      </c>
      <c r="E945" s="12">
        <v>44</v>
      </c>
      <c r="F945" s="2" t="str">
        <f t="shared" si="84"/>
        <v>Adult</v>
      </c>
      <c r="G945" s="5" t="s">
        <v>9</v>
      </c>
      <c r="H945" s="8">
        <v>2</v>
      </c>
      <c r="I945" s="2">
        <v>25</v>
      </c>
      <c r="J945" s="2">
        <v>50</v>
      </c>
      <c r="K945" t="str">
        <f t="shared" si="85"/>
        <v>Low</v>
      </c>
      <c r="L945" s="12">
        <f t="shared" si="86"/>
        <v>2023</v>
      </c>
      <c r="M945" s="12">
        <f t="shared" si="87"/>
        <v>2</v>
      </c>
      <c r="N945" s="5" t="str">
        <f t="shared" si="88"/>
        <v>Monday</v>
      </c>
      <c r="O945" s="5" t="str">
        <f t="shared" si="89"/>
        <v>June</v>
      </c>
    </row>
    <row r="946" spans="1:15" x14ac:dyDescent="0.3">
      <c r="A946" s="8">
        <v>945</v>
      </c>
      <c r="B946" s="25">
        <v>44970</v>
      </c>
      <c r="C946" s="5" t="s">
        <v>953</v>
      </c>
      <c r="D946" s="5" t="s">
        <v>5</v>
      </c>
      <c r="E946" s="12">
        <v>30</v>
      </c>
      <c r="F946" s="2" t="str">
        <f t="shared" si="84"/>
        <v>Young</v>
      </c>
      <c r="G946" s="5" t="s">
        <v>6</v>
      </c>
      <c r="H946" s="8">
        <v>1</v>
      </c>
      <c r="I946" s="2">
        <v>25</v>
      </c>
      <c r="J946" s="2">
        <v>25</v>
      </c>
      <c r="K946" t="str">
        <f t="shared" si="85"/>
        <v>Low</v>
      </c>
      <c r="L946" s="12">
        <f t="shared" si="86"/>
        <v>2023</v>
      </c>
      <c r="M946" s="12">
        <f t="shared" si="87"/>
        <v>1</v>
      </c>
      <c r="N946" s="5" t="str">
        <f t="shared" si="88"/>
        <v>Monday</v>
      </c>
      <c r="O946" s="5" t="str">
        <f t="shared" si="89"/>
        <v>February</v>
      </c>
    </row>
    <row r="947" spans="1:15" x14ac:dyDescent="0.3">
      <c r="A947" s="8">
        <v>946</v>
      </c>
      <c r="B947" s="25">
        <v>45054</v>
      </c>
      <c r="C947" s="5" t="s">
        <v>954</v>
      </c>
      <c r="D947" s="5" t="s">
        <v>5</v>
      </c>
      <c r="E947" s="12">
        <v>62</v>
      </c>
      <c r="F947" s="2" t="str">
        <f t="shared" si="84"/>
        <v>Senior</v>
      </c>
      <c r="G947" s="5" t="s">
        <v>11</v>
      </c>
      <c r="H947" s="8">
        <v>4</v>
      </c>
      <c r="I947" s="2">
        <v>500</v>
      </c>
      <c r="J947" s="2">
        <v>2000</v>
      </c>
      <c r="K947" t="str">
        <f t="shared" si="85"/>
        <v>High</v>
      </c>
      <c r="L947" s="12">
        <f t="shared" si="86"/>
        <v>2023</v>
      </c>
      <c r="M947" s="12">
        <f t="shared" si="87"/>
        <v>2</v>
      </c>
      <c r="N947" s="5" t="str">
        <f t="shared" si="88"/>
        <v>Monday</v>
      </c>
      <c r="O947" s="5" t="str">
        <f t="shared" si="89"/>
        <v>May</v>
      </c>
    </row>
    <row r="948" spans="1:15" x14ac:dyDescent="0.3">
      <c r="A948" s="8">
        <v>947</v>
      </c>
      <c r="B948" s="25">
        <v>44987</v>
      </c>
      <c r="C948" s="5" t="s">
        <v>955</v>
      </c>
      <c r="D948" s="5" t="s">
        <v>5</v>
      </c>
      <c r="E948" s="12">
        <v>50</v>
      </c>
      <c r="F948" s="2" t="str">
        <f t="shared" si="84"/>
        <v>Adult</v>
      </c>
      <c r="G948" s="5" t="s">
        <v>6</v>
      </c>
      <c r="H948" s="8">
        <v>1</v>
      </c>
      <c r="I948" s="2">
        <v>300</v>
      </c>
      <c r="J948" s="2">
        <v>300</v>
      </c>
      <c r="K948" t="str">
        <f t="shared" si="85"/>
        <v>Low</v>
      </c>
      <c r="L948" s="12">
        <f t="shared" si="86"/>
        <v>2023</v>
      </c>
      <c r="M948" s="12">
        <f t="shared" si="87"/>
        <v>1</v>
      </c>
      <c r="N948" s="5" t="str">
        <f t="shared" si="88"/>
        <v>Thursday</v>
      </c>
      <c r="O948" s="5" t="str">
        <f t="shared" si="89"/>
        <v>March</v>
      </c>
    </row>
    <row r="949" spans="1:15" x14ac:dyDescent="0.3">
      <c r="A949" s="8">
        <v>948</v>
      </c>
      <c r="B949" s="25">
        <v>45212</v>
      </c>
      <c r="C949" s="5" t="s">
        <v>956</v>
      </c>
      <c r="D949" s="5" t="s">
        <v>8</v>
      </c>
      <c r="E949" s="12">
        <v>23</v>
      </c>
      <c r="F949" s="2" t="str">
        <f t="shared" si="84"/>
        <v>Young</v>
      </c>
      <c r="G949" s="5" t="s">
        <v>11</v>
      </c>
      <c r="H949" s="8">
        <v>3</v>
      </c>
      <c r="I949" s="2">
        <v>25</v>
      </c>
      <c r="J949" s="2">
        <v>75</v>
      </c>
      <c r="K949" t="str">
        <f t="shared" si="85"/>
        <v>Low</v>
      </c>
      <c r="L949" s="12">
        <f t="shared" si="86"/>
        <v>2023</v>
      </c>
      <c r="M949" s="12">
        <f t="shared" si="87"/>
        <v>4</v>
      </c>
      <c r="N949" s="5" t="str">
        <f t="shared" si="88"/>
        <v>Friday</v>
      </c>
      <c r="O949" s="5" t="str">
        <f t="shared" si="89"/>
        <v>October</v>
      </c>
    </row>
    <row r="950" spans="1:15" x14ac:dyDescent="0.3">
      <c r="A950" s="8">
        <v>949</v>
      </c>
      <c r="B950" s="25">
        <v>45140</v>
      </c>
      <c r="C950" s="5" t="s">
        <v>957</v>
      </c>
      <c r="D950" s="5" t="s">
        <v>8</v>
      </c>
      <c r="E950" s="12">
        <v>41</v>
      </c>
      <c r="F950" s="2" t="str">
        <f t="shared" si="84"/>
        <v>Adult</v>
      </c>
      <c r="G950" s="5" t="s">
        <v>11</v>
      </c>
      <c r="H950" s="8">
        <v>2</v>
      </c>
      <c r="I950" s="2">
        <v>25</v>
      </c>
      <c r="J950" s="2">
        <v>50</v>
      </c>
      <c r="K950" t="str">
        <f t="shared" si="85"/>
        <v>Low</v>
      </c>
      <c r="L950" s="12">
        <f t="shared" si="86"/>
        <v>2023</v>
      </c>
      <c r="M950" s="12">
        <f t="shared" si="87"/>
        <v>3</v>
      </c>
      <c r="N950" s="5" t="str">
        <f t="shared" si="88"/>
        <v>Wednesday</v>
      </c>
      <c r="O950" s="5" t="str">
        <f t="shared" si="89"/>
        <v>August</v>
      </c>
    </row>
    <row r="951" spans="1:15" x14ac:dyDescent="0.3">
      <c r="A951" s="8">
        <v>950</v>
      </c>
      <c r="B951" s="25">
        <v>45237</v>
      </c>
      <c r="C951" s="5" t="s">
        <v>958</v>
      </c>
      <c r="D951" s="5" t="s">
        <v>5</v>
      </c>
      <c r="E951" s="12">
        <v>36</v>
      </c>
      <c r="F951" s="2" t="str">
        <f t="shared" si="84"/>
        <v>Adult</v>
      </c>
      <c r="G951" s="5" t="s">
        <v>9</v>
      </c>
      <c r="H951" s="8">
        <v>3</v>
      </c>
      <c r="I951" s="2">
        <v>300</v>
      </c>
      <c r="J951" s="2">
        <v>900</v>
      </c>
      <c r="K951" t="str">
        <f t="shared" si="85"/>
        <v>Medium</v>
      </c>
      <c r="L951" s="12">
        <f t="shared" si="86"/>
        <v>2023</v>
      </c>
      <c r="M951" s="12">
        <f t="shared" si="87"/>
        <v>4</v>
      </c>
      <c r="N951" s="5" t="str">
        <f t="shared" si="88"/>
        <v>Tuesday</v>
      </c>
      <c r="O951" s="5" t="str">
        <f t="shared" si="89"/>
        <v>November</v>
      </c>
    </row>
    <row r="952" spans="1:15" x14ac:dyDescent="0.3">
      <c r="A952" s="8">
        <v>951</v>
      </c>
      <c r="B952" s="25">
        <v>45232</v>
      </c>
      <c r="C952" s="5" t="s">
        <v>959</v>
      </c>
      <c r="D952" s="5" t="s">
        <v>5</v>
      </c>
      <c r="E952" s="12">
        <v>33</v>
      </c>
      <c r="F952" s="2" t="str">
        <f t="shared" si="84"/>
        <v>Adult</v>
      </c>
      <c r="G952" s="5" t="s">
        <v>6</v>
      </c>
      <c r="H952" s="8">
        <v>2</v>
      </c>
      <c r="I952" s="2">
        <v>50</v>
      </c>
      <c r="J952" s="2">
        <v>100</v>
      </c>
      <c r="K952" t="str">
        <f t="shared" si="85"/>
        <v>Low</v>
      </c>
      <c r="L952" s="12">
        <f t="shared" si="86"/>
        <v>2023</v>
      </c>
      <c r="M952" s="12">
        <f t="shared" si="87"/>
        <v>4</v>
      </c>
      <c r="N952" s="5" t="str">
        <f t="shared" si="88"/>
        <v>Thursday</v>
      </c>
      <c r="O952" s="5" t="str">
        <f t="shared" si="89"/>
        <v>November</v>
      </c>
    </row>
    <row r="953" spans="1:15" x14ac:dyDescent="0.3">
      <c r="A953" s="8">
        <v>952</v>
      </c>
      <c r="B953" s="25">
        <v>45243</v>
      </c>
      <c r="C953" s="5" t="s">
        <v>960</v>
      </c>
      <c r="D953" s="5" t="s">
        <v>8</v>
      </c>
      <c r="E953" s="12">
        <v>57</v>
      </c>
      <c r="F953" s="2" t="str">
        <f t="shared" si="84"/>
        <v>Adult</v>
      </c>
      <c r="G953" s="5" t="s">
        <v>9</v>
      </c>
      <c r="H953" s="8">
        <v>1</v>
      </c>
      <c r="I953" s="2">
        <v>25</v>
      </c>
      <c r="J953" s="2">
        <v>25</v>
      </c>
      <c r="K953" t="str">
        <f t="shared" si="85"/>
        <v>Low</v>
      </c>
      <c r="L953" s="12">
        <f t="shared" si="86"/>
        <v>2023</v>
      </c>
      <c r="M953" s="12">
        <f t="shared" si="87"/>
        <v>4</v>
      </c>
      <c r="N953" s="5" t="str">
        <f t="shared" si="88"/>
        <v>Monday</v>
      </c>
      <c r="O953" s="5" t="str">
        <f t="shared" si="89"/>
        <v>November</v>
      </c>
    </row>
    <row r="954" spans="1:15" x14ac:dyDescent="0.3">
      <c r="A954" s="8">
        <v>953</v>
      </c>
      <c r="B954" s="25">
        <v>45042</v>
      </c>
      <c r="C954" s="5" t="s">
        <v>961</v>
      </c>
      <c r="D954" s="5" t="s">
        <v>5</v>
      </c>
      <c r="E954" s="12">
        <v>45</v>
      </c>
      <c r="F954" s="2" t="str">
        <f t="shared" si="84"/>
        <v>Adult</v>
      </c>
      <c r="G954" s="5" t="s">
        <v>6</v>
      </c>
      <c r="H954" s="8">
        <v>3</v>
      </c>
      <c r="I954" s="2">
        <v>30</v>
      </c>
      <c r="J954" s="2">
        <v>90</v>
      </c>
      <c r="K954" t="str">
        <f t="shared" si="85"/>
        <v>Low</v>
      </c>
      <c r="L954" s="12">
        <f t="shared" si="86"/>
        <v>2023</v>
      </c>
      <c r="M954" s="12">
        <f t="shared" si="87"/>
        <v>2</v>
      </c>
      <c r="N954" s="5" t="str">
        <f t="shared" si="88"/>
        <v>Wednesday</v>
      </c>
      <c r="O954" s="5" t="str">
        <f t="shared" si="89"/>
        <v>April</v>
      </c>
    </row>
    <row r="955" spans="1:15" x14ac:dyDescent="0.3">
      <c r="A955" s="8">
        <v>954</v>
      </c>
      <c r="B955" s="25">
        <v>45194</v>
      </c>
      <c r="C955" s="5" t="s">
        <v>962</v>
      </c>
      <c r="D955" s="5" t="s">
        <v>8</v>
      </c>
      <c r="E955" s="12">
        <v>50</v>
      </c>
      <c r="F955" s="2" t="str">
        <f t="shared" si="84"/>
        <v>Adult</v>
      </c>
      <c r="G955" s="5" t="s">
        <v>11</v>
      </c>
      <c r="H955" s="8">
        <v>3</v>
      </c>
      <c r="I955" s="2">
        <v>300</v>
      </c>
      <c r="J955" s="2">
        <v>900</v>
      </c>
      <c r="K955" t="str">
        <f t="shared" si="85"/>
        <v>Medium</v>
      </c>
      <c r="L955" s="12">
        <f t="shared" si="86"/>
        <v>2023</v>
      </c>
      <c r="M955" s="12">
        <f t="shared" si="87"/>
        <v>3</v>
      </c>
      <c r="N955" s="5" t="str">
        <f t="shared" si="88"/>
        <v>Monday</v>
      </c>
      <c r="O955" s="5" t="str">
        <f t="shared" si="89"/>
        <v>September</v>
      </c>
    </row>
    <row r="956" spans="1:15" x14ac:dyDescent="0.3">
      <c r="A956" s="8">
        <v>955</v>
      </c>
      <c r="B956" s="25">
        <v>45121</v>
      </c>
      <c r="C956" s="5" t="s">
        <v>963</v>
      </c>
      <c r="D956" s="5" t="s">
        <v>5</v>
      </c>
      <c r="E956" s="12">
        <v>58</v>
      </c>
      <c r="F956" s="2" t="str">
        <f t="shared" si="84"/>
        <v>Adult</v>
      </c>
      <c r="G956" s="5" t="s">
        <v>9</v>
      </c>
      <c r="H956" s="8">
        <v>1</v>
      </c>
      <c r="I956" s="2">
        <v>25</v>
      </c>
      <c r="J956" s="2">
        <v>25</v>
      </c>
      <c r="K956" t="str">
        <f t="shared" si="85"/>
        <v>Low</v>
      </c>
      <c r="L956" s="12">
        <f t="shared" si="86"/>
        <v>2023</v>
      </c>
      <c r="M956" s="12">
        <f t="shared" si="87"/>
        <v>3</v>
      </c>
      <c r="N956" s="5" t="str">
        <f t="shared" si="88"/>
        <v>Friday</v>
      </c>
      <c r="O956" s="5" t="str">
        <f t="shared" si="89"/>
        <v>July</v>
      </c>
    </row>
    <row r="957" spans="1:15" x14ac:dyDescent="0.3">
      <c r="A957" s="8">
        <v>956</v>
      </c>
      <c r="B957" s="25">
        <v>45157</v>
      </c>
      <c r="C957" s="5" t="s">
        <v>964</v>
      </c>
      <c r="D957" s="5" t="s">
        <v>5</v>
      </c>
      <c r="E957" s="12">
        <v>30</v>
      </c>
      <c r="F957" s="2" t="str">
        <f t="shared" si="84"/>
        <v>Young</v>
      </c>
      <c r="G957" s="5" t="s">
        <v>9</v>
      </c>
      <c r="H957" s="8">
        <v>3</v>
      </c>
      <c r="I957" s="2">
        <v>500</v>
      </c>
      <c r="J957" s="2">
        <v>1500</v>
      </c>
      <c r="K957" t="str">
        <f t="shared" si="85"/>
        <v>Medium</v>
      </c>
      <c r="L957" s="12">
        <f t="shared" si="86"/>
        <v>2023</v>
      </c>
      <c r="M957" s="12">
        <f t="shared" si="87"/>
        <v>3</v>
      </c>
      <c r="N957" s="5" t="str">
        <f t="shared" si="88"/>
        <v>Saturday</v>
      </c>
      <c r="O957" s="5" t="str">
        <f t="shared" si="89"/>
        <v>August</v>
      </c>
    </row>
    <row r="958" spans="1:15" x14ac:dyDescent="0.3">
      <c r="A958" s="8">
        <v>957</v>
      </c>
      <c r="B958" s="25">
        <v>45153</v>
      </c>
      <c r="C958" s="5" t="s">
        <v>965</v>
      </c>
      <c r="D958" s="5" t="s">
        <v>8</v>
      </c>
      <c r="E958" s="12">
        <v>60</v>
      </c>
      <c r="F958" s="2" t="str">
        <f t="shared" si="84"/>
        <v>Adult</v>
      </c>
      <c r="G958" s="5" t="s">
        <v>11</v>
      </c>
      <c r="H958" s="8">
        <v>4</v>
      </c>
      <c r="I958" s="2">
        <v>30</v>
      </c>
      <c r="J958" s="2">
        <v>120</v>
      </c>
      <c r="K958" t="str">
        <f t="shared" si="85"/>
        <v>Low</v>
      </c>
      <c r="L958" s="12">
        <f t="shared" si="86"/>
        <v>2023</v>
      </c>
      <c r="M958" s="12">
        <f t="shared" si="87"/>
        <v>3</v>
      </c>
      <c r="N958" s="5" t="str">
        <f t="shared" si="88"/>
        <v>Tuesday</v>
      </c>
      <c r="O958" s="5" t="str">
        <f t="shared" si="89"/>
        <v>August</v>
      </c>
    </row>
    <row r="959" spans="1:15" x14ac:dyDescent="0.3">
      <c r="A959" s="8">
        <v>958</v>
      </c>
      <c r="B959" s="25">
        <v>45079</v>
      </c>
      <c r="C959" s="5" t="s">
        <v>966</v>
      </c>
      <c r="D959" s="5" t="s">
        <v>5</v>
      </c>
      <c r="E959" s="12">
        <v>62</v>
      </c>
      <c r="F959" s="2" t="str">
        <f t="shared" si="84"/>
        <v>Senior</v>
      </c>
      <c r="G959" s="5" t="s">
        <v>11</v>
      </c>
      <c r="H959" s="8">
        <v>2</v>
      </c>
      <c r="I959" s="2">
        <v>25</v>
      </c>
      <c r="J959" s="2">
        <v>50</v>
      </c>
      <c r="K959" t="str">
        <f t="shared" si="85"/>
        <v>Low</v>
      </c>
      <c r="L959" s="12">
        <f t="shared" si="86"/>
        <v>2023</v>
      </c>
      <c r="M959" s="12">
        <f t="shared" si="87"/>
        <v>2</v>
      </c>
      <c r="N959" s="5" t="str">
        <f t="shared" si="88"/>
        <v>Friday</v>
      </c>
      <c r="O959" s="5" t="str">
        <f t="shared" si="89"/>
        <v>June</v>
      </c>
    </row>
    <row r="960" spans="1:15" x14ac:dyDescent="0.3">
      <c r="A960" s="8">
        <v>959</v>
      </c>
      <c r="B960" s="25">
        <v>45228</v>
      </c>
      <c r="C960" s="5" t="s">
        <v>967</v>
      </c>
      <c r="D960" s="5" t="s">
        <v>8</v>
      </c>
      <c r="E960" s="12">
        <v>42</v>
      </c>
      <c r="F960" s="2" t="str">
        <f t="shared" si="84"/>
        <v>Adult</v>
      </c>
      <c r="G960" s="5" t="s">
        <v>11</v>
      </c>
      <c r="H960" s="8">
        <v>2</v>
      </c>
      <c r="I960" s="2">
        <v>30</v>
      </c>
      <c r="J960" s="2">
        <v>60</v>
      </c>
      <c r="K960" t="str">
        <f t="shared" si="85"/>
        <v>Low</v>
      </c>
      <c r="L960" s="12">
        <f t="shared" si="86"/>
        <v>2023</v>
      </c>
      <c r="M960" s="12">
        <f t="shared" si="87"/>
        <v>4</v>
      </c>
      <c r="N960" s="5" t="str">
        <f t="shared" si="88"/>
        <v>Sunday</v>
      </c>
      <c r="O960" s="5" t="str">
        <f t="shared" si="89"/>
        <v>October</v>
      </c>
    </row>
    <row r="961" spans="1:15" x14ac:dyDescent="0.3">
      <c r="A961" s="8">
        <v>960</v>
      </c>
      <c r="B961" s="25">
        <v>45146</v>
      </c>
      <c r="C961" s="5" t="s">
        <v>968</v>
      </c>
      <c r="D961" s="5" t="s">
        <v>5</v>
      </c>
      <c r="E961" s="12">
        <v>59</v>
      </c>
      <c r="F961" s="2" t="str">
        <f t="shared" si="84"/>
        <v>Adult</v>
      </c>
      <c r="G961" s="5" t="s">
        <v>9</v>
      </c>
      <c r="H961" s="8">
        <v>2</v>
      </c>
      <c r="I961" s="2">
        <v>30</v>
      </c>
      <c r="J961" s="2">
        <v>60</v>
      </c>
      <c r="K961" t="str">
        <f t="shared" si="85"/>
        <v>Low</v>
      </c>
      <c r="L961" s="12">
        <f t="shared" si="86"/>
        <v>2023</v>
      </c>
      <c r="M961" s="12">
        <f t="shared" si="87"/>
        <v>3</v>
      </c>
      <c r="N961" s="5" t="str">
        <f t="shared" si="88"/>
        <v>Tuesday</v>
      </c>
      <c r="O961" s="5" t="str">
        <f t="shared" si="89"/>
        <v>August</v>
      </c>
    </row>
    <row r="962" spans="1:15" x14ac:dyDescent="0.3">
      <c r="A962" s="8">
        <v>961</v>
      </c>
      <c r="B962" s="25">
        <v>45083</v>
      </c>
      <c r="C962" s="5" t="s">
        <v>969</v>
      </c>
      <c r="D962" s="5" t="s">
        <v>5</v>
      </c>
      <c r="E962" s="12">
        <v>53</v>
      </c>
      <c r="F962" s="2" t="str">
        <f t="shared" si="84"/>
        <v>Adult</v>
      </c>
      <c r="G962" s="5" t="s">
        <v>6</v>
      </c>
      <c r="H962" s="8">
        <v>4</v>
      </c>
      <c r="I962" s="2">
        <v>50</v>
      </c>
      <c r="J962" s="2">
        <v>200</v>
      </c>
      <c r="K962" t="str">
        <f t="shared" si="85"/>
        <v>Low</v>
      </c>
      <c r="L962" s="12">
        <f t="shared" si="86"/>
        <v>2023</v>
      </c>
      <c r="M962" s="12">
        <f t="shared" si="87"/>
        <v>2</v>
      </c>
      <c r="N962" s="5" t="str">
        <f t="shared" si="88"/>
        <v>Tuesday</v>
      </c>
      <c r="O962" s="5" t="str">
        <f t="shared" si="89"/>
        <v>June</v>
      </c>
    </row>
    <row r="963" spans="1:15" x14ac:dyDescent="0.3">
      <c r="A963" s="8">
        <v>962</v>
      </c>
      <c r="B963" s="25">
        <v>45218</v>
      </c>
      <c r="C963" s="5" t="s">
        <v>970</v>
      </c>
      <c r="D963" s="5" t="s">
        <v>5</v>
      </c>
      <c r="E963" s="12">
        <v>44</v>
      </c>
      <c r="F963" s="2" t="str">
        <f t="shared" ref="F963:F1001" si="90">IF(E963&gt;60,"Senior",IF(E963&gt;30,"Adult","Young"))</f>
        <v>Adult</v>
      </c>
      <c r="G963" s="5" t="s">
        <v>9</v>
      </c>
      <c r="H963" s="8">
        <v>2</v>
      </c>
      <c r="I963" s="2">
        <v>30</v>
      </c>
      <c r="J963" s="2">
        <v>60</v>
      </c>
      <c r="K963" t="str">
        <f t="shared" ref="K963:K1001" si="91">IF(J963&gt;1500,"High",IF(J963&gt;500,"Medium","Low"))</f>
        <v>Low</v>
      </c>
      <c r="L963" s="12">
        <f t="shared" ref="L963:L1001" si="92">YEAR(B963)</f>
        <v>2023</v>
      </c>
      <c r="M963" s="12">
        <f t="shared" ref="M963:M1001" si="93">ROUNDUP(MONTH(B963)/3,0)</f>
        <v>4</v>
      </c>
      <c r="N963" s="5" t="str">
        <f t="shared" ref="N963:N1001" si="94">TEXT(B963,"dddd")</f>
        <v>Thursday</v>
      </c>
      <c r="O963" s="5" t="str">
        <f t="shared" ref="O963:O1001" si="95">TEXT(B963,"mmmm")</f>
        <v>October</v>
      </c>
    </row>
    <row r="964" spans="1:15" x14ac:dyDescent="0.3">
      <c r="A964" s="8">
        <v>963</v>
      </c>
      <c r="B964" s="25">
        <v>45244</v>
      </c>
      <c r="C964" s="5" t="s">
        <v>971</v>
      </c>
      <c r="D964" s="5" t="s">
        <v>8</v>
      </c>
      <c r="E964" s="12">
        <v>55</v>
      </c>
      <c r="F964" s="2" t="str">
        <f t="shared" si="90"/>
        <v>Adult</v>
      </c>
      <c r="G964" s="5" t="s">
        <v>6</v>
      </c>
      <c r="H964" s="8">
        <v>1</v>
      </c>
      <c r="I964" s="2">
        <v>50</v>
      </c>
      <c r="J964" s="2">
        <v>50</v>
      </c>
      <c r="K964" t="str">
        <f t="shared" si="91"/>
        <v>Low</v>
      </c>
      <c r="L964" s="12">
        <f t="shared" si="92"/>
        <v>2023</v>
      </c>
      <c r="M964" s="12">
        <f t="shared" si="93"/>
        <v>4</v>
      </c>
      <c r="N964" s="5" t="str">
        <f t="shared" si="94"/>
        <v>Tuesday</v>
      </c>
      <c r="O964" s="5" t="str">
        <f t="shared" si="95"/>
        <v>November</v>
      </c>
    </row>
    <row r="965" spans="1:15" x14ac:dyDescent="0.3">
      <c r="A965" s="8">
        <v>964</v>
      </c>
      <c r="B965" s="25">
        <v>44957</v>
      </c>
      <c r="C965" s="5" t="s">
        <v>972</v>
      </c>
      <c r="D965" s="5" t="s">
        <v>5</v>
      </c>
      <c r="E965" s="12">
        <v>24</v>
      </c>
      <c r="F965" s="2" t="str">
        <f t="shared" si="90"/>
        <v>Young</v>
      </c>
      <c r="G965" s="5" t="s">
        <v>9</v>
      </c>
      <c r="H965" s="8">
        <v>3</v>
      </c>
      <c r="I965" s="2">
        <v>300</v>
      </c>
      <c r="J965" s="2">
        <v>900</v>
      </c>
      <c r="K965" t="str">
        <f t="shared" si="91"/>
        <v>Medium</v>
      </c>
      <c r="L965" s="12">
        <f t="shared" si="92"/>
        <v>2023</v>
      </c>
      <c r="M965" s="12">
        <f t="shared" si="93"/>
        <v>1</v>
      </c>
      <c r="N965" s="5" t="str">
        <f t="shared" si="94"/>
        <v>Tuesday</v>
      </c>
      <c r="O965" s="5" t="str">
        <f t="shared" si="95"/>
        <v>January</v>
      </c>
    </row>
    <row r="966" spans="1:15" x14ac:dyDescent="0.3">
      <c r="A966" s="8">
        <v>965</v>
      </c>
      <c r="B966" s="25">
        <v>45239</v>
      </c>
      <c r="C966" s="5" t="s">
        <v>973</v>
      </c>
      <c r="D966" s="5" t="s">
        <v>5</v>
      </c>
      <c r="E966" s="12">
        <v>22</v>
      </c>
      <c r="F966" s="2" t="str">
        <f t="shared" si="90"/>
        <v>Young</v>
      </c>
      <c r="G966" s="5" t="s">
        <v>9</v>
      </c>
      <c r="H966" s="8">
        <v>4</v>
      </c>
      <c r="I966" s="2">
        <v>50</v>
      </c>
      <c r="J966" s="2">
        <v>200</v>
      </c>
      <c r="K966" t="str">
        <f t="shared" si="91"/>
        <v>Low</v>
      </c>
      <c r="L966" s="12">
        <f t="shared" si="92"/>
        <v>2023</v>
      </c>
      <c r="M966" s="12">
        <f t="shared" si="93"/>
        <v>4</v>
      </c>
      <c r="N966" s="5" t="str">
        <f t="shared" si="94"/>
        <v>Thursday</v>
      </c>
      <c r="O966" s="5" t="str">
        <f t="shared" si="95"/>
        <v>November</v>
      </c>
    </row>
    <row r="967" spans="1:15" x14ac:dyDescent="0.3">
      <c r="A967" s="8">
        <v>966</v>
      </c>
      <c r="B967" s="25">
        <v>44977</v>
      </c>
      <c r="C967" s="5" t="s">
        <v>974</v>
      </c>
      <c r="D967" s="5" t="s">
        <v>5</v>
      </c>
      <c r="E967" s="12">
        <v>60</v>
      </c>
      <c r="F967" s="2" t="str">
        <f t="shared" si="90"/>
        <v>Adult</v>
      </c>
      <c r="G967" s="5" t="s">
        <v>11</v>
      </c>
      <c r="H967" s="8">
        <v>2</v>
      </c>
      <c r="I967" s="2">
        <v>500</v>
      </c>
      <c r="J967" s="2">
        <v>1000</v>
      </c>
      <c r="K967" t="str">
        <f t="shared" si="91"/>
        <v>Medium</v>
      </c>
      <c r="L967" s="12">
        <f t="shared" si="92"/>
        <v>2023</v>
      </c>
      <c r="M967" s="12">
        <f t="shared" si="93"/>
        <v>1</v>
      </c>
      <c r="N967" s="5" t="str">
        <f t="shared" si="94"/>
        <v>Monday</v>
      </c>
      <c r="O967" s="5" t="str">
        <f t="shared" si="95"/>
        <v>February</v>
      </c>
    </row>
    <row r="968" spans="1:15" x14ac:dyDescent="0.3">
      <c r="A968" s="8">
        <v>967</v>
      </c>
      <c r="B968" s="25">
        <v>45033</v>
      </c>
      <c r="C968" s="5" t="s">
        <v>975</v>
      </c>
      <c r="D968" s="5" t="s">
        <v>5</v>
      </c>
      <c r="E968" s="12">
        <v>62</v>
      </c>
      <c r="F968" s="2" t="str">
        <f t="shared" si="90"/>
        <v>Senior</v>
      </c>
      <c r="G968" s="5" t="s">
        <v>6</v>
      </c>
      <c r="H968" s="8">
        <v>1</v>
      </c>
      <c r="I968" s="2">
        <v>25</v>
      </c>
      <c r="J968" s="2">
        <v>25</v>
      </c>
      <c r="K968" t="str">
        <f t="shared" si="91"/>
        <v>Low</v>
      </c>
      <c r="L968" s="12">
        <f t="shared" si="92"/>
        <v>2023</v>
      </c>
      <c r="M968" s="12">
        <f t="shared" si="93"/>
        <v>2</v>
      </c>
      <c r="N968" s="5" t="str">
        <f t="shared" si="94"/>
        <v>Monday</v>
      </c>
      <c r="O968" s="5" t="str">
        <f t="shared" si="95"/>
        <v>April</v>
      </c>
    </row>
    <row r="969" spans="1:15" x14ac:dyDescent="0.3">
      <c r="A969" s="8">
        <v>968</v>
      </c>
      <c r="B969" s="25">
        <v>45247</v>
      </c>
      <c r="C969" s="5" t="s">
        <v>976</v>
      </c>
      <c r="D969" s="5" t="s">
        <v>8</v>
      </c>
      <c r="E969" s="12">
        <v>48</v>
      </c>
      <c r="F969" s="2" t="str">
        <f t="shared" si="90"/>
        <v>Adult</v>
      </c>
      <c r="G969" s="5" t="s">
        <v>9</v>
      </c>
      <c r="H969" s="8">
        <v>3</v>
      </c>
      <c r="I969" s="2">
        <v>300</v>
      </c>
      <c r="J969" s="2">
        <v>900</v>
      </c>
      <c r="K969" t="str">
        <f t="shared" si="91"/>
        <v>Medium</v>
      </c>
      <c r="L969" s="12">
        <f t="shared" si="92"/>
        <v>2023</v>
      </c>
      <c r="M969" s="12">
        <f t="shared" si="93"/>
        <v>4</v>
      </c>
      <c r="N969" s="5" t="str">
        <f t="shared" si="94"/>
        <v>Friday</v>
      </c>
      <c r="O969" s="5" t="str">
        <f t="shared" si="95"/>
        <v>November</v>
      </c>
    </row>
    <row r="970" spans="1:15" x14ac:dyDescent="0.3">
      <c r="A970" s="8">
        <v>969</v>
      </c>
      <c r="B970" s="25">
        <v>45035</v>
      </c>
      <c r="C970" s="5" t="s">
        <v>977</v>
      </c>
      <c r="D970" s="5" t="s">
        <v>8</v>
      </c>
      <c r="E970" s="12">
        <v>40</v>
      </c>
      <c r="F970" s="2" t="str">
        <f t="shared" si="90"/>
        <v>Adult</v>
      </c>
      <c r="G970" s="5" t="s">
        <v>9</v>
      </c>
      <c r="H970" s="8">
        <v>3</v>
      </c>
      <c r="I970" s="2">
        <v>300</v>
      </c>
      <c r="J970" s="2">
        <v>900</v>
      </c>
      <c r="K970" t="str">
        <f t="shared" si="91"/>
        <v>Medium</v>
      </c>
      <c r="L970" s="12">
        <f t="shared" si="92"/>
        <v>2023</v>
      </c>
      <c r="M970" s="12">
        <f t="shared" si="93"/>
        <v>2</v>
      </c>
      <c r="N970" s="5" t="str">
        <f t="shared" si="94"/>
        <v>Wednesday</v>
      </c>
      <c r="O970" s="5" t="str">
        <f t="shared" si="95"/>
        <v>April</v>
      </c>
    </row>
    <row r="971" spans="1:15" x14ac:dyDescent="0.3">
      <c r="A971" s="8">
        <v>970</v>
      </c>
      <c r="B971" s="25">
        <v>45062</v>
      </c>
      <c r="C971" s="5" t="s">
        <v>978</v>
      </c>
      <c r="D971" s="5" t="s">
        <v>5</v>
      </c>
      <c r="E971" s="12">
        <v>59</v>
      </c>
      <c r="F971" s="2" t="str">
        <f t="shared" si="90"/>
        <v>Adult</v>
      </c>
      <c r="G971" s="5" t="s">
        <v>11</v>
      </c>
      <c r="H971" s="8">
        <v>4</v>
      </c>
      <c r="I971" s="2">
        <v>500</v>
      </c>
      <c r="J971" s="2">
        <v>2000</v>
      </c>
      <c r="K971" t="str">
        <f t="shared" si="91"/>
        <v>High</v>
      </c>
      <c r="L971" s="12">
        <f t="shared" si="92"/>
        <v>2023</v>
      </c>
      <c r="M971" s="12">
        <f t="shared" si="93"/>
        <v>2</v>
      </c>
      <c r="N971" s="5" t="str">
        <f t="shared" si="94"/>
        <v>Tuesday</v>
      </c>
      <c r="O971" s="5" t="str">
        <f t="shared" si="95"/>
        <v>May</v>
      </c>
    </row>
    <row r="972" spans="1:15" x14ac:dyDescent="0.3">
      <c r="A972" s="8">
        <v>971</v>
      </c>
      <c r="B972" s="25">
        <v>45265</v>
      </c>
      <c r="C972" s="5" t="s">
        <v>979</v>
      </c>
      <c r="D972" s="5" t="s">
        <v>8</v>
      </c>
      <c r="E972" s="12">
        <v>27</v>
      </c>
      <c r="F972" s="2" t="str">
        <f t="shared" si="90"/>
        <v>Young</v>
      </c>
      <c r="G972" s="5" t="s">
        <v>11</v>
      </c>
      <c r="H972" s="8">
        <v>4</v>
      </c>
      <c r="I972" s="2">
        <v>50</v>
      </c>
      <c r="J972" s="2">
        <v>200</v>
      </c>
      <c r="K972" t="str">
        <f t="shared" si="91"/>
        <v>Low</v>
      </c>
      <c r="L972" s="12">
        <f t="shared" si="92"/>
        <v>2023</v>
      </c>
      <c r="M972" s="12">
        <f t="shared" si="93"/>
        <v>4</v>
      </c>
      <c r="N972" s="5" t="str">
        <f t="shared" si="94"/>
        <v>Tuesday</v>
      </c>
      <c r="O972" s="5" t="str">
        <f t="shared" si="95"/>
        <v>December</v>
      </c>
    </row>
    <row r="973" spans="1:15" x14ac:dyDescent="0.3">
      <c r="A973" s="8">
        <v>972</v>
      </c>
      <c r="B973" s="25">
        <v>44968</v>
      </c>
      <c r="C973" s="5" t="s">
        <v>980</v>
      </c>
      <c r="D973" s="5" t="s">
        <v>5</v>
      </c>
      <c r="E973" s="12">
        <v>49</v>
      </c>
      <c r="F973" s="2" t="str">
        <f t="shared" si="90"/>
        <v>Adult</v>
      </c>
      <c r="G973" s="5" t="s">
        <v>6</v>
      </c>
      <c r="H973" s="8">
        <v>4</v>
      </c>
      <c r="I973" s="2">
        <v>25</v>
      </c>
      <c r="J973" s="2">
        <v>100</v>
      </c>
      <c r="K973" t="str">
        <f t="shared" si="91"/>
        <v>Low</v>
      </c>
      <c r="L973" s="12">
        <f t="shared" si="92"/>
        <v>2023</v>
      </c>
      <c r="M973" s="12">
        <f t="shared" si="93"/>
        <v>1</v>
      </c>
      <c r="N973" s="5" t="str">
        <f t="shared" si="94"/>
        <v>Saturday</v>
      </c>
      <c r="O973" s="5" t="str">
        <f t="shared" si="95"/>
        <v>February</v>
      </c>
    </row>
    <row r="974" spans="1:15" x14ac:dyDescent="0.3">
      <c r="A974" s="8">
        <v>973</v>
      </c>
      <c r="B974" s="25">
        <v>45007</v>
      </c>
      <c r="C974" s="5" t="s">
        <v>981</v>
      </c>
      <c r="D974" s="5" t="s">
        <v>5</v>
      </c>
      <c r="E974" s="12">
        <v>60</v>
      </c>
      <c r="F974" s="2" t="str">
        <f t="shared" si="90"/>
        <v>Adult</v>
      </c>
      <c r="G974" s="5" t="s">
        <v>9</v>
      </c>
      <c r="H974" s="8">
        <v>1</v>
      </c>
      <c r="I974" s="2">
        <v>50</v>
      </c>
      <c r="J974" s="2">
        <v>50</v>
      </c>
      <c r="K974" t="str">
        <f t="shared" si="91"/>
        <v>Low</v>
      </c>
      <c r="L974" s="12">
        <f t="shared" si="92"/>
        <v>2023</v>
      </c>
      <c r="M974" s="12">
        <f t="shared" si="93"/>
        <v>1</v>
      </c>
      <c r="N974" s="5" t="str">
        <f t="shared" si="94"/>
        <v>Wednesday</v>
      </c>
      <c r="O974" s="5" t="str">
        <f t="shared" si="95"/>
        <v>March</v>
      </c>
    </row>
    <row r="975" spans="1:15" x14ac:dyDescent="0.3">
      <c r="A975" s="8">
        <v>974</v>
      </c>
      <c r="B975" s="25">
        <v>45049</v>
      </c>
      <c r="C975" s="5" t="s">
        <v>982</v>
      </c>
      <c r="D975" s="5" t="s">
        <v>5</v>
      </c>
      <c r="E975" s="12">
        <v>47</v>
      </c>
      <c r="F975" s="2" t="str">
        <f t="shared" si="90"/>
        <v>Adult</v>
      </c>
      <c r="G975" s="5" t="s">
        <v>6</v>
      </c>
      <c r="H975" s="8">
        <v>1</v>
      </c>
      <c r="I975" s="2">
        <v>30</v>
      </c>
      <c r="J975" s="2">
        <v>30</v>
      </c>
      <c r="K975" t="str">
        <f t="shared" si="91"/>
        <v>Low</v>
      </c>
      <c r="L975" s="12">
        <f t="shared" si="92"/>
        <v>2023</v>
      </c>
      <c r="M975" s="12">
        <f t="shared" si="93"/>
        <v>2</v>
      </c>
      <c r="N975" s="5" t="str">
        <f t="shared" si="94"/>
        <v>Wednesday</v>
      </c>
      <c r="O975" s="5" t="str">
        <f t="shared" si="95"/>
        <v>May</v>
      </c>
    </row>
    <row r="976" spans="1:15" x14ac:dyDescent="0.3">
      <c r="A976" s="8">
        <v>975</v>
      </c>
      <c r="B976" s="25">
        <v>45015</v>
      </c>
      <c r="C976" s="5" t="s">
        <v>983</v>
      </c>
      <c r="D976" s="5" t="s">
        <v>8</v>
      </c>
      <c r="E976" s="12">
        <v>56</v>
      </c>
      <c r="F976" s="2" t="str">
        <f t="shared" si="90"/>
        <v>Adult</v>
      </c>
      <c r="G976" s="5" t="s">
        <v>9</v>
      </c>
      <c r="H976" s="8">
        <v>4</v>
      </c>
      <c r="I976" s="2">
        <v>50</v>
      </c>
      <c r="J976" s="2">
        <v>200</v>
      </c>
      <c r="K976" t="str">
        <f t="shared" si="91"/>
        <v>Low</v>
      </c>
      <c r="L976" s="12">
        <f t="shared" si="92"/>
        <v>2023</v>
      </c>
      <c r="M976" s="12">
        <f t="shared" si="93"/>
        <v>1</v>
      </c>
      <c r="N976" s="5" t="str">
        <f t="shared" si="94"/>
        <v>Thursday</v>
      </c>
      <c r="O976" s="5" t="str">
        <f t="shared" si="95"/>
        <v>March</v>
      </c>
    </row>
    <row r="977" spans="1:15" x14ac:dyDescent="0.3">
      <c r="A977" s="8">
        <v>976</v>
      </c>
      <c r="B977" s="25">
        <v>45209</v>
      </c>
      <c r="C977" s="5" t="s">
        <v>984</v>
      </c>
      <c r="D977" s="5" t="s">
        <v>8</v>
      </c>
      <c r="E977" s="12">
        <v>48</v>
      </c>
      <c r="F977" s="2" t="str">
        <f t="shared" si="90"/>
        <v>Adult</v>
      </c>
      <c r="G977" s="5" t="s">
        <v>6</v>
      </c>
      <c r="H977" s="8">
        <v>2</v>
      </c>
      <c r="I977" s="2">
        <v>300</v>
      </c>
      <c r="J977" s="2">
        <v>600</v>
      </c>
      <c r="K977" t="str">
        <f t="shared" si="91"/>
        <v>Medium</v>
      </c>
      <c r="L977" s="12">
        <f t="shared" si="92"/>
        <v>2023</v>
      </c>
      <c r="M977" s="12">
        <f t="shared" si="93"/>
        <v>4</v>
      </c>
      <c r="N977" s="5" t="str">
        <f t="shared" si="94"/>
        <v>Tuesday</v>
      </c>
      <c r="O977" s="5" t="str">
        <f t="shared" si="95"/>
        <v>October</v>
      </c>
    </row>
    <row r="978" spans="1:15" x14ac:dyDescent="0.3">
      <c r="A978" s="8">
        <v>977</v>
      </c>
      <c r="B978" s="25">
        <v>44965</v>
      </c>
      <c r="C978" s="5" t="s">
        <v>985</v>
      </c>
      <c r="D978" s="5" t="s">
        <v>8</v>
      </c>
      <c r="E978" s="12">
        <v>35</v>
      </c>
      <c r="F978" s="2" t="str">
        <f t="shared" si="90"/>
        <v>Adult</v>
      </c>
      <c r="G978" s="5" t="s">
        <v>11</v>
      </c>
      <c r="H978" s="8">
        <v>3</v>
      </c>
      <c r="I978" s="2">
        <v>25</v>
      </c>
      <c r="J978" s="2">
        <v>75</v>
      </c>
      <c r="K978" t="str">
        <f t="shared" si="91"/>
        <v>Low</v>
      </c>
      <c r="L978" s="12">
        <f t="shared" si="92"/>
        <v>2023</v>
      </c>
      <c r="M978" s="12">
        <f t="shared" si="93"/>
        <v>1</v>
      </c>
      <c r="N978" s="5" t="str">
        <f t="shared" si="94"/>
        <v>Wednesday</v>
      </c>
      <c r="O978" s="5" t="str">
        <f t="shared" si="95"/>
        <v>February</v>
      </c>
    </row>
    <row r="979" spans="1:15" x14ac:dyDescent="0.3">
      <c r="A979" s="8">
        <v>978</v>
      </c>
      <c r="B979" s="25">
        <v>45007</v>
      </c>
      <c r="C979" s="5" t="s">
        <v>986</v>
      </c>
      <c r="D979" s="5" t="s">
        <v>8</v>
      </c>
      <c r="E979" s="12">
        <v>53</v>
      </c>
      <c r="F979" s="2" t="str">
        <f t="shared" si="90"/>
        <v>Adult</v>
      </c>
      <c r="G979" s="5" t="s">
        <v>9</v>
      </c>
      <c r="H979" s="8">
        <v>3</v>
      </c>
      <c r="I979" s="2">
        <v>50</v>
      </c>
      <c r="J979" s="2">
        <v>150</v>
      </c>
      <c r="K979" t="str">
        <f t="shared" si="91"/>
        <v>Low</v>
      </c>
      <c r="L979" s="12">
        <f t="shared" si="92"/>
        <v>2023</v>
      </c>
      <c r="M979" s="12">
        <f t="shared" si="93"/>
        <v>1</v>
      </c>
      <c r="N979" s="5" t="str">
        <f t="shared" si="94"/>
        <v>Wednesday</v>
      </c>
      <c r="O979" s="5" t="str">
        <f t="shared" si="95"/>
        <v>March</v>
      </c>
    </row>
    <row r="980" spans="1:15" x14ac:dyDescent="0.3">
      <c r="A980" s="8">
        <v>979</v>
      </c>
      <c r="B980" s="25">
        <v>44928</v>
      </c>
      <c r="C980" s="5" t="s">
        <v>987</v>
      </c>
      <c r="D980" s="5" t="s">
        <v>8</v>
      </c>
      <c r="E980" s="12">
        <v>19</v>
      </c>
      <c r="F980" s="2" t="str">
        <f t="shared" si="90"/>
        <v>Young</v>
      </c>
      <c r="G980" s="5" t="s">
        <v>6</v>
      </c>
      <c r="H980" s="8">
        <v>1</v>
      </c>
      <c r="I980" s="2">
        <v>25</v>
      </c>
      <c r="J980" s="2">
        <v>25</v>
      </c>
      <c r="K980" t="str">
        <f t="shared" si="91"/>
        <v>Low</v>
      </c>
      <c r="L980" s="12">
        <f t="shared" si="92"/>
        <v>2023</v>
      </c>
      <c r="M980" s="12">
        <f t="shared" si="93"/>
        <v>1</v>
      </c>
      <c r="N980" s="5" t="str">
        <f t="shared" si="94"/>
        <v>Monday</v>
      </c>
      <c r="O980" s="5" t="str">
        <f t="shared" si="95"/>
        <v>January</v>
      </c>
    </row>
    <row r="981" spans="1:15" x14ac:dyDescent="0.3">
      <c r="A981" s="8">
        <v>980</v>
      </c>
      <c r="B981" s="25">
        <v>45136</v>
      </c>
      <c r="C981" s="5" t="s">
        <v>988</v>
      </c>
      <c r="D981" s="5" t="s">
        <v>8</v>
      </c>
      <c r="E981" s="12">
        <v>31</v>
      </c>
      <c r="F981" s="2" t="str">
        <f t="shared" si="90"/>
        <v>Adult</v>
      </c>
      <c r="G981" s="5" t="s">
        <v>11</v>
      </c>
      <c r="H981" s="8">
        <v>3</v>
      </c>
      <c r="I981" s="2">
        <v>25</v>
      </c>
      <c r="J981" s="2">
        <v>75</v>
      </c>
      <c r="K981" t="str">
        <f t="shared" si="91"/>
        <v>Low</v>
      </c>
      <c r="L981" s="12">
        <f t="shared" si="92"/>
        <v>2023</v>
      </c>
      <c r="M981" s="12">
        <f t="shared" si="93"/>
        <v>3</v>
      </c>
      <c r="N981" s="5" t="str">
        <f t="shared" si="94"/>
        <v>Saturday</v>
      </c>
      <c r="O981" s="5" t="str">
        <f t="shared" si="95"/>
        <v>July</v>
      </c>
    </row>
    <row r="982" spans="1:15" x14ac:dyDescent="0.3">
      <c r="A982" s="8">
        <v>981</v>
      </c>
      <c r="B982" s="25">
        <v>45157</v>
      </c>
      <c r="C982" s="5" t="s">
        <v>989</v>
      </c>
      <c r="D982" s="5" t="s">
        <v>8</v>
      </c>
      <c r="E982" s="12">
        <v>30</v>
      </c>
      <c r="F982" s="2" t="str">
        <f t="shared" si="90"/>
        <v>Young</v>
      </c>
      <c r="G982" s="5" t="s">
        <v>11</v>
      </c>
      <c r="H982" s="8">
        <v>2</v>
      </c>
      <c r="I982" s="2">
        <v>30</v>
      </c>
      <c r="J982" s="2">
        <v>60</v>
      </c>
      <c r="K982" t="str">
        <f t="shared" si="91"/>
        <v>Low</v>
      </c>
      <c r="L982" s="12">
        <f t="shared" si="92"/>
        <v>2023</v>
      </c>
      <c r="M982" s="12">
        <f t="shared" si="93"/>
        <v>3</v>
      </c>
      <c r="N982" s="5" t="str">
        <f t="shared" si="94"/>
        <v>Saturday</v>
      </c>
      <c r="O982" s="5" t="str">
        <f t="shared" si="95"/>
        <v>August</v>
      </c>
    </row>
    <row r="983" spans="1:15" x14ac:dyDescent="0.3">
      <c r="A983" s="8">
        <v>982</v>
      </c>
      <c r="B983" s="25">
        <v>45279</v>
      </c>
      <c r="C983" s="5" t="s">
        <v>990</v>
      </c>
      <c r="D983" s="5" t="s">
        <v>8</v>
      </c>
      <c r="E983" s="12">
        <v>46</v>
      </c>
      <c r="F983" s="2" t="str">
        <f t="shared" si="90"/>
        <v>Adult</v>
      </c>
      <c r="G983" s="5" t="s">
        <v>6</v>
      </c>
      <c r="H983" s="8">
        <v>3</v>
      </c>
      <c r="I983" s="2">
        <v>30</v>
      </c>
      <c r="J983" s="2">
        <v>90</v>
      </c>
      <c r="K983" t="str">
        <f t="shared" si="91"/>
        <v>Low</v>
      </c>
      <c r="L983" s="12">
        <f t="shared" si="92"/>
        <v>2023</v>
      </c>
      <c r="M983" s="12">
        <f t="shared" si="93"/>
        <v>4</v>
      </c>
      <c r="N983" s="5" t="str">
        <f t="shared" si="94"/>
        <v>Tuesday</v>
      </c>
      <c r="O983" s="5" t="str">
        <f t="shared" si="95"/>
        <v>December</v>
      </c>
    </row>
    <row r="984" spans="1:15" x14ac:dyDescent="0.3">
      <c r="A984" s="8">
        <v>983</v>
      </c>
      <c r="B984" s="25">
        <v>45231</v>
      </c>
      <c r="C984" s="5" t="s">
        <v>991</v>
      </c>
      <c r="D984" s="5" t="s">
        <v>8</v>
      </c>
      <c r="E984" s="12">
        <v>29</v>
      </c>
      <c r="F984" s="2" t="str">
        <f t="shared" si="90"/>
        <v>Young</v>
      </c>
      <c r="G984" s="5" t="s">
        <v>9</v>
      </c>
      <c r="H984" s="8">
        <v>1</v>
      </c>
      <c r="I984" s="2">
        <v>300</v>
      </c>
      <c r="J984" s="2">
        <v>300</v>
      </c>
      <c r="K984" t="str">
        <f t="shared" si="91"/>
        <v>Low</v>
      </c>
      <c r="L984" s="12">
        <f t="shared" si="92"/>
        <v>2023</v>
      </c>
      <c r="M984" s="12">
        <f t="shared" si="93"/>
        <v>4</v>
      </c>
      <c r="N984" s="5" t="str">
        <f t="shared" si="94"/>
        <v>Wednesday</v>
      </c>
      <c r="O984" s="5" t="str">
        <f t="shared" si="95"/>
        <v>November</v>
      </c>
    </row>
    <row r="985" spans="1:15" x14ac:dyDescent="0.3">
      <c r="A985" s="8">
        <v>984</v>
      </c>
      <c r="B985" s="25">
        <v>45167</v>
      </c>
      <c r="C985" s="5" t="s">
        <v>992</v>
      </c>
      <c r="D985" s="5" t="s">
        <v>5</v>
      </c>
      <c r="E985" s="12">
        <v>56</v>
      </c>
      <c r="F985" s="2" t="str">
        <f t="shared" si="90"/>
        <v>Adult</v>
      </c>
      <c r="G985" s="5" t="s">
        <v>9</v>
      </c>
      <c r="H985" s="8">
        <v>1</v>
      </c>
      <c r="I985" s="2">
        <v>500</v>
      </c>
      <c r="J985" s="2">
        <v>500</v>
      </c>
      <c r="K985" t="str">
        <f t="shared" si="91"/>
        <v>Low</v>
      </c>
      <c r="L985" s="12">
        <f t="shared" si="92"/>
        <v>2023</v>
      </c>
      <c r="M985" s="12">
        <f t="shared" si="93"/>
        <v>3</v>
      </c>
      <c r="N985" s="5" t="str">
        <f t="shared" si="94"/>
        <v>Tuesday</v>
      </c>
      <c r="O985" s="5" t="str">
        <f t="shared" si="95"/>
        <v>August</v>
      </c>
    </row>
    <row r="986" spans="1:15" x14ac:dyDescent="0.3">
      <c r="A986" s="8">
        <v>985</v>
      </c>
      <c r="B986" s="25">
        <v>45076</v>
      </c>
      <c r="C986" s="5" t="s">
        <v>993</v>
      </c>
      <c r="D986" s="5" t="s">
        <v>8</v>
      </c>
      <c r="E986" s="12">
        <v>19</v>
      </c>
      <c r="F986" s="2" t="str">
        <f t="shared" si="90"/>
        <v>Young</v>
      </c>
      <c r="G986" s="5" t="s">
        <v>11</v>
      </c>
      <c r="H986" s="8">
        <v>2</v>
      </c>
      <c r="I986" s="2">
        <v>25</v>
      </c>
      <c r="J986" s="2">
        <v>50</v>
      </c>
      <c r="K986" t="str">
        <f t="shared" si="91"/>
        <v>Low</v>
      </c>
      <c r="L986" s="12">
        <f t="shared" si="92"/>
        <v>2023</v>
      </c>
      <c r="M986" s="12">
        <f t="shared" si="93"/>
        <v>2</v>
      </c>
      <c r="N986" s="5" t="str">
        <f t="shared" si="94"/>
        <v>Tuesday</v>
      </c>
      <c r="O986" s="5" t="str">
        <f t="shared" si="95"/>
        <v>May</v>
      </c>
    </row>
    <row r="987" spans="1:15" x14ac:dyDescent="0.3">
      <c r="A987" s="8">
        <v>986</v>
      </c>
      <c r="B987" s="25">
        <v>44943</v>
      </c>
      <c r="C987" s="5" t="s">
        <v>994</v>
      </c>
      <c r="D987" s="5" t="s">
        <v>8</v>
      </c>
      <c r="E987" s="12">
        <v>49</v>
      </c>
      <c r="F987" s="2" t="str">
        <f t="shared" si="90"/>
        <v>Adult</v>
      </c>
      <c r="G987" s="5" t="s">
        <v>9</v>
      </c>
      <c r="H987" s="8">
        <v>2</v>
      </c>
      <c r="I987" s="2">
        <v>500</v>
      </c>
      <c r="J987" s="2">
        <v>1000</v>
      </c>
      <c r="K987" t="str">
        <f t="shared" si="91"/>
        <v>Medium</v>
      </c>
      <c r="L987" s="12">
        <f t="shared" si="92"/>
        <v>2023</v>
      </c>
      <c r="M987" s="12">
        <f t="shared" si="93"/>
        <v>1</v>
      </c>
      <c r="N987" s="5" t="str">
        <f t="shared" si="94"/>
        <v>Tuesday</v>
      </c>
      <c r="O987" s="5" t="str">
        <f t="shared" si="95"/>
        <v>January</v>
      </c>
    </row>
    <row r="988" spans="1:15" x14ac:dyDescent="0.3">
      <c r="A988" s="8">
        <v>987</v>
      </c>
      <c r="B988" s="25">
        <v>45045</v>
      </c>
      <c r="C988" s="5" t="s">
        <v>995</v>
      </c>
      <c r="D988" s="5" t="s">
        <v>8</v>
      </c>
      <c r="E988" s="12">
        <v>30</v>
      </c>
      <c r="F988" s="2" t="str">
        <f t="shared" si="90"/>
        <v>Young</v>
      </c>
      <c r="G988" s="5" t="s">
        <v>9</v>
      </c>
      <c r="H988" s="8">
        <v>3</v>
      </c>
      <c r="I988" s="2">
        <v>300</v>
      </c>
      <c r="J988" s="2">
        <v>900</v>
      </c>
      <c r="K988" t="str">
        <f t="shared" si="91"/>
        <v>Medium</v>
      </c>
      <c r="L988" s="12">
        <f t="shared" si="92"/>
        <v>2023</v>
      </c>
      <c r="M988" s="12">
        <f t="shared" si="93"/>
        <v>2</v>
      </c>
      <c r="N988" s="5" t="str">
        <f t="shared" si="94"/>
        <v>Saturday</v>
      </c>
      <c r="O988" s="5" t="str">
        <f t="shared" si="95"/>
        <v>April</v>
      </c>
    </row>
    <row r="989" spans="1:15" x14ac:dyDescent="0.3">
      <c r="A989" s="8">
        <v>988</v>
      </c>
      <c r="B989" s="25">
        <v>45074</v>
      </c>
      <c r="C989" s="5" t="s">
        <v>996</v>
      </c>
      <c r="D989" s="5" t="s">
        <v>8</v>
      </c>
      <c r="E989" s="12">
        <v>63</v>
      </c>
      <c r="F989" s="2" t="str">
        <f t="shared" si="90"/>
        <v>Senior</v>
      </c>
      <c r="G989" s="5" t="s">
        <v>9</v>
      </c>
      <c r="H989" s="8">
        <v>3</v>
      </c>
      <c r="I989" s="2">
        <v>25</v>
      </c>
      <c r="J989" s="2">
        <v>75</v>
      </c>
      <c r="K989" t="str">
        <f t="shared" si="91"/>
        <v>Low</v>
      </c>
      <c r="L989" s="12">
        <f t="shared" si="92"/>
        <v>2023</v>
      </c>
      <c r="M989" s="12">
        <f t="shared" si="93"/>
        <v>2</v>
      </c>
      <c r="N989" s="5" t="str">
        <f t="shared" si="94"/>
        <v>Sunday</v>
      </c>
      <c r="O989" s="5" t="str">
        <f t="shared" si="95"/>
        <v>May</v>
      </c>
    </row>
    <row r="990" spans="1:15" x14ac:dyDescent="0.3">
      <c r="A990" s="8">
        <v>989</v>
      </c>
      <c r="B990" s="25">
        <v>45288</v>
      </c>
      <c r="C990" s="5" t="s">
        <v>997</v>
      </c>
      <c r="D990" s="5" t="s">
        <v>8</v>
      </c>
      <c r="E990" s="12">
        <v>44</v>
      </c>
      <c r="F990" s="2" t="str">
        <f t="shared" si="90"/>
        <v>Adult</v>
      </c>
      <c r="G990" s="5" t="s">
        <v>11</v>
      </c>
      <c r="H990" s="8">
        <v>1</v>
      </c>
      <c r="I990" s="2">
        <v>25</v>
      </c>
      <c r="J990" s="2">
        <v>25</v>
      </c>
      <c r="K990" t="str">
        <f t="shared" si="91"/>
        <v>Low</v>
      </c>
      <c r="L990" s="12">
        <f t="shared" si="92"/>
        <v>2023</v>
      </c>
      <c r="M990" s="12">
        <f t="shared" si="93"/>
        <v>4</v>
      </c>
      <c r="N990" s="5" t="str">
        <f t="shared" si="94"/>
        <v>Thursday</v>
      </c>
      <c r="O990" s="5" t="str">
        <f t="shared" si="95"/>
        <v>December</v>
      </c>
    </row>
    <row r="991" spans="1:15" x14ac:dyDescent="0.3">
      <c r="A991" s="8">
        <v>990</v>
      </c>
      <c r="B991" s="25">
        <v>45071</v>
      </c>
      <c r="C991" s="5" t="s">
        <v>998</v>
      </c>
      <c r="D991" s="5" t="s">
        <v>8</v>
      </c>
      <c r="E991" s="12">
        <v>58</v>
      </c>
      <c r="F991" s="2" t="str">
        <f t="shared" si="90"/>
        <v>Adult</v>
      </c>
      <c r="G991" s="5" t="s">
        <v>6</v>
      </c>
      <c r="H991" s="8">
        <v>2</v>
      </c>
      <c r="I991" s="2">
        <v>500</v>
      </c>
      <c r="J991" s="2">
        <v>1000</v>
      </c>
      <c r="K991" t="str">
        <f t="shared" si="91"/>
        <v>Medium</v>
      </c>
      <c r="L991" s="12">
        <f t="shared" si="92"/>
        <v>2023</v>
      </c>
      <c r="M991" s="12">
        <f t="shared" si="93"/>
        <v>2</v>
      </c>
      <c r="N991" s="5" t="str">
        <f t="shared" si="94"/>
        <v>Thursday</v>
      </c>
      <c r="O991" s="5" t="str">
        <f t="shared" si="95"/>
        <v>May</v>
      </c>
    </row>
    <row r="992" spans="1:15" x14ac:dyDescent="0.3">
      <c r="A992" s="8">
        <v>991</v>
      </c>
      <c r="B992" s="25">
        <v>45286</v>
      </c>
      <c r="C992" s="5" t="s">
        <v>999</v>
      </c>
      <c r="D992" s="5" t="s">
        <v>8</v>
      </c>
      <c r="E992" s="12">
        <v>34</v>
      </c>
      <c r="F992" s="2" t="str">
        <f t="shared" si="90"/>
        <v>Adult</v>
      </c>
      <c r="G992" s="5" t="s">
        <v>9</v>
      </c>
      <c r="H992" s="8">
        <v>2</v>
      </c>
      <c r="I992" s="2">
        <v>50</v>
      </c>
      <c r="J992" s="2">
        <v>100</v>
      </c>
      <c r="K992" t="str">
        <f t="shared" si="91"/>
        <v>Low</v>
      </c>
      <c r="L992" s="12">
        <f t="shared" si="92"/>
        <v>2023</v>
      </c>
      <c r="M992" s="12">
        <f t="shared" si="93"/>
        <v>4</v>
      </c>
      <c r="N992" s="5" t="str">
        <f t="shared" si="94"/>
        <v>Tuesday</v>
      </c>
      <c r="O992" s="5" t="str">
        <f t="shared" si="95"/>
        <v>December</v>
      </c>
    </row>
    <row r="993" spans="1:15" x14ac:dyDescent="0.3">
      <c r="A993" s="8">
        <v>992</v>
      </c>
      <c r="B993" s="25">
        <v>45159</v>
      </c>
      <c r="C993" s="5" t="s">
        <v>1000</v>
      </c>
      <c r="D993" s="5" t="s">
        <v>8</v>
      </c>
      <c r="E993" s="12">
        <v>57</v>
      </c>
      <c r="F993" s="2" t="str">
        <f t="shared" si="90"/>
        <v>Adult</v>
      </c>
      <c r="G993" s="5" t="s">
        <v>11</v>
      </c>
      <c r="H993" s="8">
        <v>2</v>
      </c>
      <c r="I993" s="2">
        <v>30</v>
      </c>
      <c r="J993" s="2">
        <v>60</v>
      </c>
      <c r="K993" t="str">
        <f t="shared" si="91"/>
        <v>Low</v>
      </c>
      <c r="L993" s="12">
        <f t="shared" si="92"/>
        <v>2023</v>
      </c>
      <c r="M993" s="12">
        <f t="shared" si="93"/>
        <v>3</v>
      </c>
      <c r="N993" s="5" t="str">
        <f t="shared" si="94"/>
        <v>Monday</v>
      </c>
      <c r="O993" s="5" t="str">
        <f t="shared" si="95"/>
        <v>August</v>
      </c>
    </row>
    <row r="994" spans="1:15" x14ac:dyDescent="0.3">
      <c r="A994" s="8">
        <v>993</v>
      </c>
      <c r="B994" s="25">
        <v>44963</v>
      </c>
      <c r="C994" s="5" t="s">
        <v>1001</v>
      </c>
      <c r="D994" s="5" t="s">
        <v>8</v>
      </c>
      <c r="E994" s="12">
        <v>48</v>
      </c>
      <c r="F994" s="2" t="str">
        <f t="shared" si="90"/>
        <v>Adult</v>
      </c>
      <c r="G994" s="5" t="s">
        <v>11</v>
      </c>
      <c r="H994" s="8">
        <v>3</v>
      </c>
      <c r="I994" s="2">
        <v>50</v>
      </c>
      <c r="J994" s="2">
        <v>150</v>
      </c>
      <c r="K994" t="str">
        <f t="shared" si="91"/>
        <v>Low</v>
      </c>
      <c r="L994" s="12">
        <f t="shared" si="92"/>
        <v>2023</v>
      </c>
      <c r="M994" s="12">
        <f t="shared" si="93"/>
        <v>1</v>
      </c>
      <c r="N994" s="5" t="str">
        <f t="shared" si="94"/>
        <v>Monday</v>
      </c>
      <c r="O994" s="5" t="str">
        <f t="shared" si="95"/>
        <v>February</v>
      </c>
    </row>
    <row r="995" spans="1:15" x14ac:dyDescent="0.3">
      <c r="A995" s="8">
        <v>994</v>
      </c>
      <c r="B995" s="25">
        <v>45278</v>
      </c>
      <c r="C995" s="5" t="s">
        <v>1002</v>
      </c>
      <c r="D995" s="5" t="s">
        <v>8</v>
      </c>
      <c r="E995" s="12">
        <v>51</v>
      </c>
      <c r="F995" s="2" t="str">
        <f t="shared" si="90"/>
        <v>Adult</v>
      </c>
      <c r="G995" s="5" t="s">
        <v>6</v>
      </c>
      <c r="H995" s="8">
        <v>2</v>
      </c>
      <c r="I995" s="2">
        <v>500</v>
      </c>
      <c r="J995" s="2">
        <v>1000</v>
      </c>
      <c r="K995" t="str">
        <f t="shared" si="91"/>
        <v>Medium</v>
      </c>
      <c r="L995" s="12">
        <f t="shared" si="92"/>
        <v>2023</v>
      </c>
      <c r="M995" s="12">
        <f t="shared" si="93"/>
        <v>4</v>
      </c>
      <c r="N995" s="5" t="str">
        <f t="shared" si="94"/>
        <v>Monday</v>
      </c>
      <c r="O995" s="5" t="str">
        <f t="shared" si="95"/>
        <v>December</v>
      </c>
    </row>
    <row r="996" spans="1:15" x14ac:dyDescent="0.3">
      <c r="A996" s="8">
        <v>995</v>
      </c>
      <c r="B996" s="25">
        <v>45046</v>
      </c>
      <c r="C996" s="5" t="s">
        <v>1003</v>
      </c>
      <c r="D996" s="5" t="s">
        <v>8</v>
      </c>
      <c r="E996" s="12">
        <v>41</v>
      </c>
      <c r="F996" s="2" t="str">
        <f t="shared" si="90"/>
        <v>Adult</v>
      </c>
      <c r="G996" s="5" t="s">
        <v>9</v>
      </c>
      <c r="H996" s="8">
        <v>1</v>
      </c>
      <c r="I996" s="2">
        <v>30</v>
      </c>
      <c r="J996" s="2">
        <v>30</v>
      </c>
      <c r="K996" t="str">
        <f t="shared" si="91"/>
        <v>Low</v>
      </c>
      <c r="L996" s="12">
        <f t="shared" si="92"/>
        <v>2023</v>
      </c>
      <c r="M996" s="12">
        <f t="shared" si="93"/>
        <v>2</v>
      </c>
      <c r="N996" s="5" t="str">
        <f t="shared" si="94"/>
        <v>Sunday</v>
      </c>
      <c r="O996" s="5" t="str">
        <f t="shared" si="95"/>
        <v>April</v>
      </c>
    </row>
    <row r="997" spans="1:15" x14ac:dyDescent="0.3">
      <c r="A997" s="8">
        <v>996</v>
      </c>
      <c r="B997" s="25">
        <v>45062</v>
      </c>
      <c r="C997" s="5" t="s">
        <v>1004</v>
      </c>
      <c r="D997" s="5" t="s">
        <v>5</v>
      </c>
      <c r="E997" s="12">
        <v>62</v>
      </c>
      <c r="F997" s="2" t="str">
        <f t="shared" si="90"/>
        <v>Senior</v>
      </c>
      <c r="G997" s="5" t="s">
        <v>9</v>
      </c>
      <c r="H997" s="8">
        <v>1</v>
      </c>
      <c r="I997" s="2">
        <v>50</v>
      </c>
      <c r="J997" s="2">
        <v>50</v>
      </c>
      <c r="K997" t="str">
        <f t="shared" si="91"/>
        <v>Low</v>
      </c>
      <c r="L997" s="12">
        <f t="shared" si="92"/>
        <v>2023</v>
      </c>
      <c r="M997" s="12">
        <f t="shared" si="93"/>
        <v>2</v>
      </c>
      <c r="N997" s="5" t="str">
        <f t="shared" si="94"/>
        <v>Tuesday</v>
      </c>
      <c r="O997" s="5" t="str">
        <f t="shared" si="95"/>
        <v>May</v>
      </c>
    </row>
    <row r="998" spans="1:15" x14ac:dyDescent="0.3">
      <c r="A998" s="8">
        <v>997</v>
      </c>
      <c r="B998" s="25">
        <v>45247</v>
      </c>
      <c r="C998" s="5" t="s">
        <v>1005</v>
      </c>
      <c r="D998" s="5" t="s">
        <v>5</v>
      </c>
      <c r="E998" s="12">
        <v>52</v>
      </c>
      <c r="F998" s="2" t="str">
        <f t="shared" si="90"/>
        <v>Adult</v>
      </c>
      <c r="G998" s="5" t="s">
        <v>6</v>
      </c>
      <c r="H998" s="8">
        <v>3</v>
      </c>
      <c r="I998" s="2">
        <v>30</v>
      </c>
      <c r="J998" s="2">
        <v>90</v>
      </c>
      <c r="K998" t="str">
        <f t="shared" si="91"/>
        <v>Low</v>
      </c>
      <c r="L998" s="12">
        <f t="shared" si="92"/>
        <v>2023</v>
      </c>
      <c r="M998" s="12">
        <f t="shared" si="93"/>
        <v>4</v>
      </c>
      <c r="N998" s="5" t="str">
        <f t="shared" si="94"/>
        <v>Friday</v>
      </c>
      <c r="O998" s="5" t="str">
        <f t="shared" si="95"/>
        <v>November</v>
      </c>
    </row>
    <row r="999" spans="1:15" x14ac:dyDescent="0.3">
      <c r="A999" s="8">
        <v>998</v>
      </c>
      <c r="B999" s="25">
        <v>45228</v>
      </c>
      <c r="C999" s="5" t="s">
        <v>1006</v>
      </c>
      <c r="D999" s="5" t="s">
        <v>8</v>
      </c>
      <c r="E999" s="12">
        <v>23</v>
      </c>
      <c r="F999" s="2" t="str">
        <f t="shared" si="90"/>
        <v>Young</v>
      </c>
      <c r="G999" s="5" t="s">
        <v>6</v>
      </c>
      <c r="H999" s="8">
        <v>4</v>
      </c>
      <c r="I999" s="2">
        <v>25</v>
      </c>
      <c r="J999" s="2">
        <v>100</v>
      </c>
      <c r="K999" t="str">
        <f t="shared" si="91"/>
        <v>Low</v>
      </c>
      <c r="L999" s="12">
        <f t="shared" si="92"/>
        <v>2023</v>
      </c>
      <c r="M999" s="12">
        <f t="shared" si="93"/>
        <v>4</v>
      </c>
      <c r="N999" s="5" t="str">
        <f t="shared" si="94"/>
        <v>Sunday</v>
      </c>
      <c r="O999" s="5" t="str">
        <f t="shared" si="95"/>
        <v>October</v>
      </c>
    </row>
    <row r="1000" spans="1:15" x14ac:dyDescent="0.3">
      <c r="A1000" s="8">
        <v>999</v>
      </c>
      <c r="B1000" s="25">
        <v>45265</v>
      </c>
      <c r="C1000" s="5" t="s">
        <v>1007</v>
      </c>
      <c r="D1000" s="5" t="s">
        <v>8</v>
      </c>
      <c r="E1000" s="12">
        <v>36</v>
      </c>
      <c r="F1000" s="2" t="str">
        <f t="shared" si="90"/>
        <v>Adult</v>
      </c>
      <c r="G1000" s="5" t="s">
        <v>11</v>
      </c>
      <c r="H1000" s="8">
        <v>3</v>
      </c>
      <c r="I1000" s="2">
        <v>50</v>
      </c>
      <c r="J1000" s="2">
        <v>150</v>
      </c>
      <c r="K1000" t="str">
        <f t="shared" si="91"/>
        <v>Low</v>
      </c>
      <c r="L1000" s="12">
        <f t="shared" si="92"/>
        <v>2023</v>
      </c>
      <c r="M1000" s="12">
        <f t="shared" si="93"/>
        <v>4</v>
      </c>
      <c r="N1000" s="5" t="str">
        <f t="shared" si="94"/>
        <v>Tuesday</v>
      </c>
      <c r="O1000" s="5" t="str">
        <f t="shared" si="95"/>
        <v>December</v>
      </c>
    </row>
    <row r="1001" spans="1:15" x14ac:dyDescent="0.3">
      <c r="A1001" s="8">
        <v>1000</v>
      </c>
      <c r="B1001" s="25">
        <v>45028</v>
      </c>
      <c r="C1001" s="5" t="s">
        <v>1008</v>
      </c>
      <c r="D1001" s="5" t="s">
        <v>5</v>
      </c>
      <c r="E1001" s="12">
        <v>47</v>
      </c>
      <c r="F1001" s="2" t="str">
        <f t="shared" si="90"/>
        <v>Adult</v>
      </c>
      <c r="G1001" s="5" t="s">
        <v>11</v>
      </c>
      <c r="H1001" s="8">
        <v>4</v>
      </c>
      <c r="I1001" s="2">
        <v>30</v>
      </c>
      <c r="J1001" s="2">
        <v>120</v>
      </c>
      <c r="K1001" t="str">
        <f t="shared" si="91"/>
        <v>Low</v>
      </c>
      <c r="L1001" s="12">
        <f t="shared" si="92"/>
        <v>2023</v>
      </c>
      <c r="M1001" s="12">
        <f t="shared" si="93"/>
        <v>2</v>
      </c>
      <c r="N1001" s="5" t="str">
        <f t="shared" si="94"/>
        <v>Wednesday</v>
      </c>
      <c r="O1001" s="5" t="str">
        <f t="shared" si="95"/>
        <v>April</v>
      </c>
    </row>
  </sheetData>
  <conditionalFormatting sqref="J2:J1001">
    <cfRule type="cellIs" dxfId="1" priority="1" operator="lessThan">
      <formula>100</formula>
    </cfRule>
    <cfRule type="cellIs" dxfId="0" priority="2" operator="greaterThan">
      <formula>1500</formula>
    </cfRule>
  </conditionalFormatting>
  <dataValidations count="1">
    <dataValidation type="list" allowBlank="1" showInputMessage="1" showErrorMessage="1" sqref="S10">
      <formula1>$C$1:$C$1001</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F21" sqref="F21"/>
    </sheetView>
  </sheetViews>
  <sheetFormatPr defaultRowHeight="14.4" x14ac:dyDescent="0.3"/>
  <cols>
    <col min="1" max="1" width="12.5546875" bestFit="1" customWidth="1"/>
    <col min="2" max="2" width="19.77734375" bestFit="1" customWidth="1"/>
  </cols>
  <sheetData>
    <row r="3" spans="1:2" x14ac:dyDescent="0.3">
      <c r="A3" s="9" t="s">
        <v>1022</v>
      </c>
      <c r="B3" t="s">
        <v>1024</v>
      </c>
    </row>
    <row r="4" spans="1:2" x14ac:dyDescent="0.3">
      <c r="A4" s="10" t="s">
        <v>6</v>
      </c>
      <c r="B4" s="13">
        <v>0.31472587719298245</v>
      </c>
    </row>
    <row r="5" spans="1:2" x14ac:dyDescent="0.3">
      <c r="A5" s="10" t="s">
        <v>9</v>
      </c>
      <c r="B5" s="13">
        <v>0.34118421052631581</v>
      </c>
    </row>
    <row r="6" spans="1:2" x14ac:dyDescent="0.3">
      <c r="A6" s="10" t="s">
        <v>11</v>
      </c>
      <c r="B6" s="13">
        <v>0.34408991228070174</v>
      </c>
    </row>
    <row r="7" spans="1:2" x14ac:dyDescent="0.3">
      <c r="A7" s="10" t="s">
        <v>1023</v>
      </c>
      <c r="B7" s="13">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T9" sqref="T9"/>
    </sheetView>
  </sheetViews>
  <sheetFormatPr defaultRowHeight="14.4" x14ac:dyDescent="0.3"/>
  <cols>
    <col min="1" max="1" width="12.5546875" bestFit="1" customWidth="1"/>
    <col min="2" max="2" width="19.77734375" bestFit="1" customWidth="1"/>
  </cols>
  <sheetData>
    <row r="3" spans="1:2" x14ac:dyDescent="0.3">
      <c r="A3" s="9" t="s">
        <v>1022</v>
      </c>
      <c r="B3" t="s">
        <v>1024</v>
      </c>
    </row>
    <row r="4" spans="1:2" x14ac:dyDescent="0.3">
      <c r="A4" s="10" t="s">
        <v>1025</v>
      </c>
      <c r="B4" s="11">
        <v>36980</v>
      </c>
    </row>
    <row r="5" spans="1:2" x14ac:dyDescent="0.3">
      <c r="A5" s="10" t="s">
        <v>1026</v>
      </c>
      <c r="B5" s="11">
        <v>44060</v>
      </c>
    </row>
    <row r="6" spans="1:2" x14ac:dyDescent="0.3">
      <c r="A6" s="10" t="s">
        <v>1027</v>
      </c>
      <c r="B6" s="11">
        <v>28990</v>
      </c>
    </row>
    <row r="7" spans="1:2" x14ac:dyDescent="0.3">
      <c r="A7" s="10" t="s">
        <v>1028</v>
      </c>
      <c r="B7" s="11">
        <v>33870</v>
      </c>
    </row>
    <row r="8" spans="1:2" x14ac:dyDescent="0.3">
      <c r="A8" s="10" t="s">
        <v>1029</v>
      </c>
      <c r="B8" s="11">
        <v>53150</v>
      </c>
    </row>
    <row r="9" spans="1:2" x14ac:dyDescent="0.3">
      <c r="A9" s="10" t="s">
        <v>1030</v>
      </c>
      <c r="B9" s="11">
        <v>36715</v>
      </c>
    </row>
    <row r="10" spans="1:2" x14ac:dyDescent="0.3">
      <c r="A10" s="10" t="s">
        <v>1031</v>
      </c>
      <c r="B10" s="11">
        <v>35465</v>
      </c>
    </row>
    <row r="11" spans="1:2" x14ac:dyDescent="0.3">
      <c r="A11" s="10" t="s">
        <v>1032</v>
      </c>
      <c r="B11" s="11">
        <v>36960</v>
      </c>
    </row>
    <row r="12" spans="1:2" x14ac:dyDescent="0.3">
      <c r="A12" s="10" t="s">
        <v>1033</v>
      </c>
      <c r="B12" s="11">
        <v>23620</v>
      </c>
    </row>
    <row r="13" spans="1:2" x14ac:dyDescent="0.3">
      <c r="A13" s="10" t="s">
        <v>1034</v>
      </c>
      <c r="B13" s="11">
        <v>46580</v>
      </c>
    </row>
    <row r="14" spans="1:2" x14ac:dyDescent="0.3">
      <c r="A14" s="10" t="s">
        <v>1035</v>
      </c>
      <c r="B14" s="11">
        <v>34920</v>
      </c>
    </row>
    <row r="15" spans="1:2" x14ac:dyDescent="0.3">
      <c r="A15" s="10" t="s">
        <v>1036</v>
      </c>
      <c r="B15" s="11">
        <v>44690</v>
      </c>
    </row>
    <row r="16" spans="1:2" x14ac:dyDescent="0.3">
      <c r="A16" s="10" t="s">
        <v>1023</v>
      </c>
      <c r="B16" s="11">
        <v>456000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G16" sqref="G16"/>
    </sheetView>
  </sheetViews>
  <sheetFormatPr defaultRowHeight="14.4" x14ac:dyDescent="0.3"/>
  <cols>
    <col min="1" max="1" width="12.5546875" customWidth="1"/>
    <col min="2" max="2" width="19.77734375" bestFit="1" customWidth="1"/>
  </cols>
  <sheetData>
    <row r="3" spans="1:2" x14ac:dyDescent="0.3">
      <c r="A3" s="9" t="s">
        <v>1022</v>
      </c>
      <c r="B3" t="s">
        <v>1024</v>
      </c>
    </row>
    <row r="4" spans="1:2" x14ac:dyDescent="0.3">
      <c r="A4" s="10" t="s">
        <v>8</v>
      </c>
      <c r="B4" s="13">
        <v>0.5106140350877193</v>
      </c>
    </row>
    <row r="5" spans="1:2" x14ac:dyDescent="0.3">
      <c r="A5" s="10" t="s">
        <v>5</v>
      </c>
      <c r="B5" s="13">
        <v>0.4893859649122807</v>
      </c>
    </row>
    <row r="6" spans="1:2" x14ac:dyDescent="0.3">
      <c r="A6" s="10" t="s">
        <v>1023</v>
      </c>
      <c r="B6" s="13">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K23" sqref="K23"/>
    </sheetView>
  </sheetViews>
  <sheetFormatPr defaultRowHeight="14.4" x14ac:dyDescent="0.3"/>
  <cols>
    <col min="1" max="1" width="19.77734375" customWidth="1"/>
    <col min="2" max="2" width="15.5546875" customWidth="1"/>
    <col min="3" max="3" width="7" bestFit="1" customWidth="1"/>
    <col min="4" max="4" width="10.77734375" bestFit="1" customWidth="1"/>
  </cols>
  <sheetData>
    <row r="3" spans="1:4" x14ac:dyDescent="0.3">
      <c r="A3" s="9" t="s">
        <v>1024</v>
      </c>
      <c r="B3" s="9" t="s">
        <v>1040</v>
      </c>
    </row>
    <row r="4" spans="1:4" x14ac:dyDescent="0.3">
      <c r="A4" s="9" t="s">
        <v>1022</v>
      </c>
      <c r="B4" t="s">
        <v>8</v>
      </c>
      <c r="C4" t="s">
        <v>5</v>
      </c>
      <c r="D4" t="s">
        <v>1023</v>
      </c>
    </row>
    <row r="5" spans="1:4" x14ac:dyDescent="0.3">
      <c r="A5" s="10" t="s">
        <v>1037</v>
      </c>
      <c r="B5" s="11">
        <v>149600</v>
      </c>
      <c r="C5" s="11">
        <v>140230</v>
      </c>
      <c r="D5" s="11">
        <v>289830</v>
      </c>
    </row>
    <row r="6" spans="1:4" x14ac:dyDescent="0.3">
      <c r="A6" s="10" t="s">
        <v>1038</v>
      </c>
      <c r="B6" s="11">
        <v>13430</v>
      </c>
      <c r="C6" s="11">
        <v>19795</v>
      </c>
      <c r="D6" s="11">
        <v>33225</v>
      </c>
    </row>
    <row r="7" spans="1:4" x14ac:dyDescent="0.3">
      <c r="A7" s="10" t="s">
        <v>1039</v>
      </c>
      <c r="B7" s="11">
        <v>69810</v>
      </c>
      <c r="C7" s="11">
        <v>63135</v>
      </c>
      <c r="D7" s="11">
        <v>132945</v>
      </c>
    </row>
    <row r="8" spans="1:4" x14ac:dyDescent="0.3">
      <c r="A8" s="10" t="s">
        <v>1023</v>
      </c>
      <c r="B8" s="11">
        <v>232840</v>
      </c>
      <c r="C8" s="11">
        <v>223160</v>
      </c>
      <c r="D8" s="11">
        <v>456000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9"/>
  <sheetViews>
    <sheetView topLeftCell="A2" workbookViewId="0">
      <selection activeCell="C25" sqref="C25"/>
    </sheetView>
  </sheetViews>
  <sheetFormatPr defaultRowHeight="14.4" x14ac:dyDescent="0.3"/>
  <cols>
    <col min="1" max="1" width="19.77734375" customWidth="1"/>
    <col min="2" max="2" width="15.5546875" customWidth="1"/>
    <col min="3" max="3" width="8" bestFit="1" customWidth="1"/>
    <col min="4" max="4" width="10" customWidth="1"/>
    <col min="5" max="5" width="10.77734375" bestFit="1" customWidth="1"/>
  </cols>
  <sheetData>
    <row r="3" spans="1:5" x14ac:dyDescent="0.3">
      <c r="A3" s="9" t="s">
        <v>1024</v>
      </c>
      <c r="B3" s="9" t="s">
        <v>1040</v>
      </c>
    </row>
    <row r="4" spans="1:5" x14ac:dyDescent="0.3">
      <c r="A4" s="9" t="s">
        <v>1022</v>
      </c>
      <c r="B4" t="s">
        <v>6</v>
      </c>
      <c r="C4" t="s">
        <v>9</v>
      </c>
      <c r="D4" t="s">
        <v>11</v>
      </c>
      <c r="E4" t="s">
        <v>1023</v>
      </c>
    </row>
    <row r="5" spans="1:5" x14ac:dyDescent="0.3">
      <c r="A5" s="12">
        <v>1</v>
      </c>
      <c r="B5" s="11">
        <v>11730</v>
      </c>
      <c r="C5" s="11">
        <v>16115</v>
      </c>
      <c r="D5" s="11">
        <v>16960</v>
      </c>
      <c r="E5" s="11">
        <v>44805</v>
      </c>
    </row>
    <row r="6" spans="1:5" x14ac:dyDescent="0.3">
      <c r="A6" s="12">
        <v>2</v>
      </c>
      <c r="B6" s="11">
        <v>29930</v>
      </c>
      <c r="C6" s="11">
        <v>24670</v>
      </c>
      <c r="D6" s="11">
        <v>26450</v>
      </c>
      <c r="E6" s="11">
        <v>81050</v>
      </c>
    </row>
    <row r="7" spans="1:5" x14ac:dyDescent="0.3">
      <c r="A7" s="12">
        <v>3</v>
      </c>
      <c r="B7" s="11">
        <v>52155</v>
      </c>
      <c r="C7" s="11">
        <v>48315</v>
      </c>
      <c r="D7" s="11">
        <v>43815</v>
      </c>
      <c r="E7" s="11">
        <v>144285</v>
      </c>
    </row>
    <row r="8" spans="1:5" x14ac:dyDescent="0.3">
      <c r="A8" s="12">
        <v>4</v>
      </c>
      <c r="B8" s="11">
        <v>49700</v>
      </c>
      <c r="C8" s="11">
        <v>66480</v>
      </c>
      <c r="D8" s="11">
        <v>69680</v>
      </c>
      <c r="E8" s="11">
        <v>185860</v>
      </c>
    </row>
    <row r="9" spans="1:5" x14ac:dyDescent="0.3">
      <c r="A9" s="12" t="s">
        <v>1023</v>
      </c>
      <c r="B9" s="11">
        <v>143515</v>
      </c>
      <c r="C9" s="11">
        <v>155580</v>
      </c>
      <c r="D9" s="11">
        <v>156905</v>
      </c>
      <c r="E9" s="11">
        <v>456000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H3" sqref="H3"/>
    </sheetView>
  </sheetViews>
  <sheetFormatPr defaultRowHeight="14.4" x14ac:dyDescent="0.3"/>
  <cols>
    <col min="1" max="1" width="12.5546875" customWidth="1"/>
    <col min="2" max="2" width="19.77734375" customWidth="1"/>
    <col min="3" max="3" width="5" customWidth="1"/>
    <col min="4" max="6" width="10.77734375" customWidth="1"/>
    <col min="7" max="7" width="6.109375" customWidth="1"/>
    <col min="8" max="8" width="8.5546875" customWidth="1"/>
    <col min="9" max="9" width="10.77734375" bestFit="1" customWidth="1"/>
  </cols>
  <sheetData>
    <row r="3" spans="1:2" x14ac:dyDescent="0.3">
      <c r="A3" s="9" t="s">
        <v>1022</v>
      </c>
      <c r="B3" t="s">
        <v>1024</v>
      </c>
    </row>
    <row r="4" spans="1:2" x14ac:dyDescent="0.3">
      <c r="A4" s="10" t="s">
        <v>1041</v>
      </c>
      <c r="B4" s="11">
        <v>58600</v>
      </c>
    </row>
    <row r="5" spans="1:2" x14ac:dyDescent="0.3">
      <c r="A5" s="10" t="s">
        <v>1042</v>
      </c>
      <c r="B5" s="11">
        <v>70250</v>
      </c>
    </row>
    <row r="6" spans="1:2" x14ac:dyDescent="0.3">
      <c r="A6" s="10" t="s">
        <v>1043</v>
      </c>
      <c r="B6" s="11">
        <v>69440</v>
      </c>
    </row>
    <row r="7" spans="1:2" x14ac:dyDescent="0.3">
      <c r="A7" s="10" t="s">
        <v>1044</v>
      </c>
      <c r="B7" s="11">
        <v>58770</v>
      </c>
    </row>
    <row r="8" spans="1:2" x14ac:dyDescent="0.3">
      <c r="A8" s="10" t="s">
        <v>1045</v>
      </c>
      <c r="B8" s="11">
        <v>53835</v>
      </c>
    </row>
    <row r="9" spans="1:2" x14ac:dyDescent="0.3">
      <c r="A9" s="10" t="s">
        <v>1046</v>
      </c>
      <c r="B9" s="11">
        <v>66290</v>
      </c>
    </row>
    <row r="10" spans="1:2" x14ac:dyDescent="0.3">
      <c r="A10" s="10" t="s">
        <v>1047</v>
      </c>
      <c r="B10" s="11">
        <v>78815</v>
      </c>
    </row>
    <row r="11" spans="1:2" x14ac:dyDescent="0.3">
      <c r="A11" s="10" t="s">
        <v>1023</v>
      </c>
      <c r="B11" s="11">
        <v>456000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18" sqref="B18"/>
    </sheetView>
  </sheetViews>
  <sheetFormatPr defaultRowHeight="14.4" x14ac:dyDescent="0.3"/>
  <cols>
    <col min="1" max="1" width="12.5546875" bestFit="1" customWidth="1"/>
    <col min="2" max="2" width="19.77734375" bestFit="1" customWidth="1"/>
  </cols>
  <sheetData>
    <row r="3" spans="1:2" x14ac:dyDescent="0.3">
      <c r="A3" s="9" t="s">
        <v>1022</v>
      </c>
      <c r="B3" t="s">
        <v>1024</v>
      </c>
    </row>
    <row r="4" spans="1:2" x14ac:dyDescent="0.3">
      <c r="A4" s="12">
        <v>1</v>
      </c>
      <c r="B4" s="13">
        <v>0.24129385964912281</v>
      </c>
    </row>
    <row r="5" spans="1:2" x14ac:dyDescent="0.3">
      <c r="A5" s="12">
        <v>2</v>
      </c>
      <c r="B5" s="13">
        <v>0.27134868421052633</v>
      </c>
    </row>
    <row r="6" spans="1:2" x14ac:dyDescent="0.3">
      <c r="A6" s="12">
        <v>3</v>
      </c>
      <c r="B6" s="13">
        <v>0.21062500000000001</v>
      </c>
    </row>
    <row r="7" spans="1:2" x14ac:dyDescent="0.3">
      <c r="A7" s="12">
        <v>4</v>
      </c>
      <c r="B7" s="13">
        <v>0.27673245614035086</v>
      </c>
    </row>
    <row r="8" spans="1:2" x14ac:dyDescent="0.3">
      <c r="A8" s="12" t="s">
        <v>1023</v>
      </c>
      <c r="B8" s="13">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V16" sqref="V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lookup_operations</vt:lpstr>
      <vt:lpstr>index-match_operations</vt:lpstr>
      <vt:lpstr>sales_by_category</vt:lpstr>
      <vt:lpstr>sales_by_month</vt:lpstr>
      <vt:lpstr>sales_by_gender</vt:lpstr>
      <vt:lpstr>sales_by_agegroup_gender</vt:lpstr>
      <vt:lpstr>QuantityVsSalesbyCategory</vt:lpstr>
      <vt:lpstr>sales_by_day</vt:lpstr>
      <vt:lpstr>sales_by_quarter</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kapure</dc:creator>
  <cp:lastModifiedBy>abhishek kapure</cp:lastModifiedBy>
  <dcterms:created xsi:type="dcterms:W3CDTF">2025-10-02T15:36:14Z</dcterms:created>
  <dcterms:modified xsi:type="dcterms:W3CDTF">2025-11-25T15:19:37Z</dcterms:modified>
</cp:coreProperties>
</file>